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sktop\Odoo\ai-code\"/>
    </mc:Choice>
  </mc:AlternateContent>
  <xr:revisionPtr revIDLastSave="0" documentId="8_{33926408-B795-4248-8CDD-A62BF8F7ABF1}" xr6:coauthVersionLast="47" xr6:coauthVersionMax="47" xr10:uidLastSave="{00000000-0000-0000-0000-000000000000}"/>
  <bookViews>
    <workbookView xWindow="-90" yWindow="0" windowWidth="12980" windowHeight="15370" firstSheet="1" activeTab="1" xr2:uid="{00000000-000D-0000-FFFF-FFFF00000000}"/>
  </bookViews>
  <sheets>
    <sheet name="Waybill" sheetId="1" r:id="rId1"/>
    <sheet name="CustomerLine" sheetId="4" r:id="rId2"/>
    <sheet name="OrderLine" sheetId="5" r:id="rId3"/>
    <sheet name="GoodsLine" sheetId="6" r:id="rId4"/>
    <sheet name="数据输入表" sheetId="3" r:id="rId5"/>
    <sheet name="客户信息底表" sheetId="2" r:id="rId6"/>
  </sheets>
  <definedNames>
    <definedName name="_xlnm._FilterDatabase" localSheetId="0" hidden="1">Waybill!$A$1:$Q$1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D27" i="1"/>
  <c r="F27" i="1" s="1"/>
  <c r="D28" i="1"/>
  <c r="C28" i="1" s="1"/>
  <c r="D29" i="1"/>
  <c r="H29" i="1" s="1"/>
  <c r="D30" i="1"/>
  <c r="F30" i="1" s="1"/>
  <c r="D31" i="1"/>
  <c r="C31" i="1" s="1"/>
  <c r="D32" i="1"/>
  <c r="C32" i="1" s="1"/>
  <c r="D33" i="1"/>
  <c r="C33" i="1" s="1"/>
  <c r="D34" i="1"/>
  <c r="H34" i="1" s="1"/>
  <c r="D35" i="1"/>
  <c r="H35" i="1" s="1"/>
  <c r="D36" i="1"/>
  <c r="I36" i="1" s="1"/>
  <c r="D37" i="1"/>
  <c r="H37" i="1" s="1"/>
  <c r="D14" i="1"/>
  <c r="D15" i="1"/>
  <c r="D16" i="1"/>
  <c r="D17" i="1"/>
  <c r="F17" i="1" s="1"/>
  <c r="D18" i="1"/>
  <c r="D19" i="1"/>
  <c r="D20" i="1"/>
  <c r="D21" i="1"/>
  <c r="D22" i="1"/>
  <c r="D23" i="1"/>
  <c r="D24" i="1"/>
  <c r="D25" i="1"/>
  <c r="C25" i="1" s="1"/>
  <c r="D26" i="1"/>
  <c r="I26" i="1" s="1"/>
  <c r="M38" i="3" a="1"/>
  <c r="M38" i="3" s="1"/>
  <c r="L38" i="3" a="1"/>
  <c r="L38" i="3" s="1"/>
  <c r="K38" i="3" a="1"/>
  <c r="K38" i="3" s="1"/>
  <c r="J38" i="3" a="1"/>
  <c r="J38" i="3" s="1"/>
  <c r="I38" i="3" a="1"/>
  <c r="I38" i="3" s="1"/>
  <c r="M37" i="3" a="1"/>
  <c r="M37" i="3" s="1"/>
  <c r="L37" i="3" a="1"/>
  <c r="L37" i="3" s="1"/>
  <c r="K37" i="3" a="1"/>
  <c r="K37" i="3" s="1"/>
  <c r="J37" i="3" a="1"/>
  <c r="J37" i="3" s="1"/>
  <c r="I37" i="3" a="1"/>
  <c r="I37" i="3" s="1"/>
  <c r="M36" i="3" a="1"/>
  <c r="M36" i="3" s="1"/>
  <c r="L36" i="3" a="1"/>
  <c r="L36" i="3" s="1"/>
  <c r="K36" i="3" a="1"/>
  <c r="K36" i="3" s="1"/>
  <c r="J36" i="3" a="1"/>
  <c r="J36" i="3" s="1"/>
  <c r="I36" i="3" a="1"/>
  <c r="I36" i="3" s="1"/>
  <c r="M35" i="3" a="1"/>
  <c r="M35" i="3" s="1"/>
  <c r="L35" i="3" a="1"/>
  <c r="L35" i="3" s="1"/>
  <c r="K35" i="3" a="1"/>
  <c r="K35" i="3" s="1"/>
  <c r="J35" i="3" a="1"/>
  <c r="J35" i="3" s="1"/>
  <c r="I35" i="3" a="1"/>
  <c r="I35" i="3" s="1"/>
  <c r="M34" i="3" a="1"/>
  <c r="M34" i="3" s="1"/>
  <c r="L34" i="3" a="1"/>
  <c r="L34" i="3" s="1"/>
  <c r="K34" i="3" a="1"/>
  <c r="K34" i="3" s="1"/>
  <c r="J34" i="3" a="1"/>
  <c r="J34" i="3" s="1"/>
  <c r="I34" i="3" a="1"/>
  <c r="I34" i="3" s="1"/>
  <c r="M33" i="3" a="1"/>
  <c r="M33" i="3" s="1"/>
  <c r="L33" i="3" a="1"/>
  <c r="L33" i="3" s="1"/>
  <c r="K33" i="3" a="1"/>
  <c r="K33" i="3" s="1"/>
  <c r="J33" i="3" a="1"/>
  <c r="J33" i="3" s="1"/>
  <c r="I33" i="3" a="1"/>
  <c r="I33" i="3" s="1"/>
  <c r="M32" i="3" a="1"/>
  <c r="M32" i="3" s="1"/>
  <c r="L32" i="3" a="1"/>
  <c r="L32" i="3" s="1"/>
  <c r="K32" i="3" a="1"/>
  <c r="K32" i="3" s="1"/>
  <c r="J32" i="3" a="1"/>
  <c r="J32" i="3" s="1"/>
  <c r="I32" i="3" a="1"/>
  <c r="I32" i="3" s="1"/>
  <c r="M31" i="3" a="1"/>
  <c r="M31" i="3" s="1"/>
  <c r="L31" i="3" a="1"/>
  <c r="L31" i="3" s="1"/>
  <c r="K31" i="3" a="1"/>
  <c r="K31" i="3" s="1"/>
  <c r="J31" i="3" a="1"/>
  <c r="J31" i="3" s="1"/>
  <c r="I31" i="3" a="1"/>
  <c r="I31" i="3" s="1"/>
  <c r="M30" i="3" a="1"/>
  <c r="M30" i="3" s="1"/>
  <c r="L30" i="3" a="1"/>
  <c r="L30" i="3" s="1"/>
  <c r="K30" i="3" a="1"/>
  <c r="K30" i="3" s="1"/>
  <c r="J30" i="3" a="1"/>
  <c r="J30" i="3" s="1"/>
  <c r="I30" i="3" a="1"/>
  <c r="I30" i="3" s="1"/>
  <c r="M29" i="3" a="1"/>
  <c r="M29" i="3" s="1"/>
  <c r="L29" i="3" a="1"/>
  <c r="L29" i="3" s="1"/>
  <c r="K29" i="3" a="1"/>
  <c r="K29" i="3" s="1"/>
  <c r="J29" i="3" a="1"/>
  <c r="J29" i="3" s="1"/>
  <c r="I29" i="3" a="1"/>
  <c r="I29" i="3" s="1"/>
  <c r="M28" i="3" a="1"/>
  <c r="M28" i="3" s="1"/>
  <c r="L28" i="3" a="1"/>
  <c r="L28" i="3" s="1"/>
  <c r="K28" i="3" a="1"/>
  <c r="K28" i="3" s="1"/>
  <c r="J28" i="3" a="1"/>
  <c r="J28" i="3" s="1"/>
  <c r="I28" i="3" a="1"/>
  <c r="I28" i="3" s="1"/>
  <c r="M27" i="3" a="1"/>
  <c r="M27" i="3" s="1"/>
  <c r="L27" i="3" a="1"/>
  <c r="L27" i="3" s="1"/>
  <c r="K27" i="3" a="1"/>
  <c r="K27" i="3" s="1"/>
  <c r="J27" i="3" a="1"/>
  <c r="J27" i="3" s="1"/>
  <c r="I27" i="3" a="1"/>
  <c r="I27" i="3" s="1"/>
  <c r="M26" i="3" a="1"/>
  <c r="M26" i="3" s="1"/>
  <c r="L26" i="3" a="1"/>
  <c r="L26" i="3" s="1"/>
  <c r="K26" i="3" a="1"/>
  <c r="K26" i="3" s="1"/>
  <c r="J26" i="3" a="1"/>
  <c r="J26" i="3" s="1"/>
  <c r="I26" i="3" a="1"/>
  <c r="I26" i="3" s="1"/>
  <c r="M25" i="3" a="1"/>
  <c r="M25" i="3" s="1"/>
  <c r="L25" i="3" a="1"/>
  <c r="L25" i="3" s="1"/>
  <c r="K25" i="3" a="1"/>
  <c r="K25" i="3" s="1"/>
  <c r="J25" i="3" a="1"/>
  <c r="J25" i="3" s="1"/>
  <c r="I25" i="3" a="1"/>
  <c r="I25" i="3" s="1"/>
  <c r="M24" i="3" a="1"/>
  <c r="M24" i="3" s="1"/>
  <c r="L24" i="3" a="1"/>
  <c r="L24" i="3" s="1"/>
  <c r="K24" i="3" a="1"/>
  <c r="K24" i="3" s="1"/>
  <c r="J24" i="3" a="1"/>
  <c r="J24" i="3" s="1"/>
  <c r="I24" i="3" a="1"/>
  <c r="I24" i="3" s="1"/>
  <c r="M23" i="3" a="1"/>
  <c r="M23" i="3" s="1"/>
  <c r="L23" i="3" a="1"/>
  <c r="L23" i="3" s="1"/>
  <c r="K23" i="3" a="1"/>
  <c r="K23" i="3" s="1"/>
  <c r="J23" i="3" a="1"/>
  <c r="J23" i="3" s="1"/>
  <c r="I23" i="3" a="1"/>
  <c r="I23" i="3" s="1"/>
  <c r="M22" i="3" a="1"/>
  <c r="M22" i="3" s="1"/>
  <c r="L22" i="3" a="1"/>
  <c r="L22" i="3" s="1"/>
  <c r="K22" i="3" a="1"/>
  <c r="K22" i="3" s="1"/>
  <c r="J22" i="3" a="1"/>
  <c r="J22" i="3" s="1"/>
  <c r="I22" i="3" a="1"/>
  <c r="I22" i="3" s="1"/>
  <c r="M21" i="3" a="1"/>
  <c r="M21" i="3" s="1"/>
  <c r="L21" i="3" a="1"/>
  <c r="L21" i="3" s="1"/>
  <c r="K21" i="3" a="1"/>
  <c r="K21" i="3" s="1"/>
  <c r="J21" i="3" a="1"/>
  <c r="J21" i="3" s="1"/>
  <c r="I21" i="3" a="1"/>
  <c r="I21" i="3" s="1"/>
  <c r="M20" i="3" a="1"/>
  <c r="M20" i="3" s="1"/>
  <c r="L20" i="3" a="1"/>
  <c r="L20" i="3" s="1"/>
  <c r="K20" i="3" a="1"/>
  <c r="K20" i="3" s="1"/>
  <c r="J20" i="3" a="1"/>
  <c r="J20" i="3" s="1"/>
  <c r="I20" i="3" a="1"/>
  <c r="I20" i="3" s="1"/>
  <c r="M19" i="3" a="1"/>
  <c r="M19" i="3" s="1"/>
  <c r="L19" i="3" a="1"/>
  <c r="L19" i="3" s="1"/>
  <c r="K19" i="3" a="1"/>
  <c r="K19" i="3" s="1"/>
  <c r="J19" i="3" a="1"/>
  <c r="J19" i="3" s="1"/>
  <c r="I19" i="3" a="1"/>
  <c r="I19" i="3" s="1"/>
  <c r="M18" i="3" a="1"/>
  <c r="M18" i="3" s="1"/>
  <c r="L18" i="3" a="1"/>
  <c r="L18" i="3" s="1"/>
  <c r="K18" i="3" a="1"/>
  <c r="K18" i="3" s="1"/>
  <c r="J18" i="3" a="1"/>
  <c r="J18" i="3" s="1"/>
  <c r="I18" i="3" a="1"/>
  <c r="I18" i="3" s="1"/>
  <c r="M17" i="3" a="1"/>
  <c r="M17" i="3" s="1"/>
  <c r="L17" i="3" a="1"/>
  <c r="L17" i="3" s="1"/>
  <c r="K17" i="3" a="1"/>
  <c r="K17" i="3" s="1"/>
  <c r="J17" i="3" a="1"/>
  <c r="J17" i="3" s="1"/>
  <c r="I17" i="3" a="1"/>
  <c r="I17" i="3" s="1"/>
  <c r="H5" i="3" a="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C34" i="1"/>
  <c r="C36"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F18" i="1"/>
  <c r="F35" i="1"/>
  <c r="F36" i="1"/>
  <c r="F38" i="1"/>
  <c r="F39" i="1"/>
  <c r="F40" i="1"/>
  <c r="F41" i="1"/>
  <c r="F42"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G33" i="1" l="1"/>
  <c r="G32" i="1"/>
  <c r="F33" i="1"/>
  <c r="F32" i="1"/>
  <c r="A33" i="1"/>
  <c r="A32" i="1"/>
  <c r="C30" i="1"/>
  <c r="E36" i="1"/>
  <c r="E35" i="1"/>
  <c r="E34" i="1"/>
  <c r="E33" i="1"/>
  <c r="H36" i="1"/>
  <c r="E32" i="1"/>
  <c r="H33" i="1"/>
  <c r="C27" i="1"/>
  <c r="H26" i="1"/>
  <c r="H25" i="1"/>
  <c r="I34" i="1"/>
  <c r="I33" i="1"/>
  <c r="I32" i="1"/>
  <c r="F29" i="1"/>
  <c r="G25" i="1"/>
  <c r="I25" i="1"/>
  <c r="A23" i="1"/>
  <c r="H23" i="1"/>
  <c r="A22" i="1"/>
  <c r="H22" i="1"/>
  <c r="A21" i="1"/>
  <c r="H21" i="1"/>
  <c r="C21" i="1"/>
  <c r="A20" i="1"/>
  <c r="H20" i="1"/>
  <c r="C20" i="1"/>
  <c r="A19" i="1"/>
  <c r="H19" i="1"/>
  <c r="C19" i="1"/>
  <c r="A18" i="1"/>
  <c r="H18" i="1"/>
  <c r="C18" i="1"/>
  <c r="A17" i="1"/>
  <c r="H17" i="1"/>
  <c r="I17" i="1"/>
  <c r="C17" i="1"/>
  <c r="H16" i="1"/>
  <c r="I16" i="1"/>
  <c r="F16" i="1"/>
  <c r="A16" i="1"/>
  <c r="C16" i="1"/>
  <c r="H15" i="1"/>
  <c r="I15" i="1"/>
  <c r="F15" i="1"/>
  <c r="A15" i="1"/>
  <c r="C15" i="1"/>
  <c r="G14" i="1"/>
  <c r="I14" i="1"/>
  <c r="F14" i="1"/>
  <c r="A14" i="1"/>
  <c r="H14" i="1"/>
  <c r="C14" i="1"/>
  <c r="K16" i="3" a="1"/>
  <c r="K16" i="3" s="1"/>
  <c r="D5" i="1"/>
  <c r="D6" i="1"/>
  <c r="D7" i="1"/>
  <c r="D8" i="1"/>
  <c r="G8" i="1" s="1"/>
  <c r="D9" i="1"/>
  <c r="D10" i="1"/>
  <c r="G10" i="1" s="1"/>
  <c r="D11" i="1"/>
  <c r="G11" i="1" s="1"/>
  <c r="D12" i="1"/>
  <c r="D13" i="1"/>
  <c r="I22" i="1"/>
  <c r="E16" i="1"/>
  <c r="D4" i="1"/>
  <c r="I21" i="1"/>
  <c r="D3" i="1"/>
  <c r="C24" i="1"/>
  <c r="H24" i="1"/>
  <c r="F23" i="1"/>
  <c r="F31" i="1"/>
  <c r="G31" i="1"/>
  <c r="A31" i="1"/>
  <c r="G24" i="1"/>
  <c r="A30" i="1"/>
  <c r="G30" i="1"/>
  <c r="I31" i="1"/>
  <c r="E31" i="1"/>
  <c r="G23" i="1"/>
  <c r="C29" i="1"/>
  <c r="A29" i="1"/>
  <c r="G29" i="1"/>
  <c r="I30" i="1"/>
  <c r="E30" i="1"/>
  <c r="G22" i="1"/>
  <c r="F28" i="1"/>
  <c r="A28" i="1"/>
  <c r="G28" i="1"/>
  <c r="I29" i="1"/>
  <c r="E29" i="1"/>
  <c r="G20" i="1"/>
  <c r="A27" i="1"/>
  <c r="G27" i="1"/>
  <c r="I28" i="1"/>
  <c r="E27" i="1"/>
  <c r="G19" i="1"/>
  <c r="I27" i="1"/>
  <c r="E21" i="1"/>
  <c r="G18" i="1"/>
  <c r="E20" i="1"/>
  <c r="G17" i="1"/>
  <c r="E19" i="1"/>
  <c r="G16" i="1"/>
  <c r="I24" i="1"/>
  <c r="E18" i="1"/>
  <c r="G15" i="1"/>
  <c r="I23" i="1"/>
  <c r="E17" i="1"/>
  <c r="H30" i="1"/>
  <c r="E15" i="1"/>
  <c r="H28" i="1"/>
  <c r="I20" i="1"/>
  <c r="E14" i="1"/>
  <c r="H27" i="1"/>
  <c r="E26" i="1"/>
  <c r="G26" i="1"/>
  <c r="I19" i="1"/>
  <c r="I18" i="1"/>
  <c r="E37" i="1"/>
  <c r="I37" i="1"/>
  <c r="I35" i="1"/>
  <c r="H32" i="1"/>
  <c r="H31" i="1"/>
  <c r="E28" i="1"/>
  <c r="C37" i="1"/>
  <c r="F37" i="1"/>
  <c r="C35" i="1"/>
  <c r="F34" i="1"/>
  <c r="E23" i="1"/>
  <c r="C23" i="1"/>
  <c r="E22" i="1"/>
  <c r="C22" i="1"/>
  <c r="G21" i="1"/>
  <c r="F24" i="1"/>
  <c r="F22" i="1"/>
  <c r="F26" i="1"/>
  <c r="F21" i="1"/>
  <c r="F20" i="1"/>
  <c r="F19" i="1"/>
  <c r="A26" i="1"/>
  <c r="A25" i="1"/>
  <c r="A24" i="1"/>
  <c r="F25" i="1"/>
  <c r="C26" i="1"/>
  <c r="E25" i="1"/>
  <c r="E24" i="1"/>
  <c r="I8" i="3" a="1"/>
  <c r="I8" i="3" s="1"/>
  <c r="J11" i="3" a="1"/>
  <c r="J11" i="3" s="1"/>
  <c r="K14" i="3" a="1"/>
  <c r="K14" i="3" s="1"/>
  <c r="K10" i="3" a="1"/>
  <c r="K10" i="3" s="1"/>
  <c r="L13" i="3" a="1"/>
  <c r="L13" i="3" s="1"/>
  <c r="K7" i="3" a="1"/>
  <c r="K7" i="3" s="1"/>
  <c r="L7" i="3" a="1"/>
  <c r="L7" i="3" s="1"/>
  <c r="M10" i="3" a="1"/>
  <c r="M10" i="3" s="1"/>
  <c r="I14" i="3" a="1"/>
  <c r="I14" i="3" s="1"/>
  <c r="M7" i="3" a="1"/>
  <c r="M7" i="3" s="1"/>
  <c r="I11" i="3" a="1"/>
  <c r="I11" i="3" s="1"/>
  <c r="J14" i="3" a="1"/>
  <c r="J14" i="3" s="1"/>
  <c r="H5" i="3"/>
  <c r="J8" i="3" a="1"/>
  <c r="J8" i="3" s="1"/>
  <c r="K11" i="3" a="1"/>
  <c r="K11" i="3" s="1"/>
  <c r="L14" i="3" a="1"/>
  <c r="L14" i="3" s="1"/>
  <c r="I7" i="3" a="1"/>
  <c r="I7" i="3" s="1"/>
  <c r="J10" i="3" a="1"/>
  <c r="J10" i="3" s="1"/>
  <c r="K13" i="3" a="1"/>
  <c r="K13" i="3" s="1"/>
  <c r="L16" i="3" a="1"/>
  <c r="L16" i="3" s="1"/>
  <c r="J7" i="3" a="1"/>
  <c r="J7" i="3" s="1"/>
  <c r="K8" i="3" a="1"/>
  <c r="K8" i="3" s="1"/>
  <c r="L11" i="3" a="1"/>
  <c r="L11" i="3" s="1"/>
  <c r="M14" i="3" a="1"/>
  <c r="M14" i="3" s="1"/>
  <c r="I15" i="3" a="1"/>
  <c r="I15" i="3" s="1"/>
  <c r="M8" i="3" a="1"/>
  <c r="M8" i="3" s="1"/>
  <c r="I12" i="3" a="1"/>
  <c r="I12" i="3" s="1"/>
  <c r="J15" i="3" a="1"/>
  <c r="J15" i="3" s="1"/>
  <c r="I9" i="3" a="1"/>
  <c r="I9" i="3" s="1"/>
  <c r="J12" i="3" a="1"/>
  <c r="J12" i="3" s="1"/>
  <c r="K15" i="3" a="1"/>
  <c r="K15" i="3" s="1"/>
  <c r="I6" i="3" a="1"/>
  <c r="I6" i="3" s="1"/>
  <c r="J9" i="3" a="1"/>
  <c r="J9" i="3" s="1"/>
  <c r="K12" i="3" a="1"/>
  <c r="K12" i="3" s="1"/>
  <c r="L15" i="3" a="1"/>
  <c r="L15" i="3" s="1"/>
  <c r="J6" i="3" a="1"/>
  <c r="J6" i="3" s="1"/>
  <c r="K9" i="3" a="1"/>
  <c r="K9" i="3" s="1"/>
  <c r="L12" i="3" a="1"/>
  <c r="L12" i="3" s="1"/>
  <c r="M15" i="3" a="1"/>
  <c r="M15" i="3" s="1"/>
  <c r="M13" i="3" a="1"/>
  <c r="M13" i="3" s="1"/>
  <c r="K6" i="3" a="1"/>
  <c r="K6" i="3" s="1"/>
  <c r="L9" i="3" a="1"/>
  <c r="L9" i="3" s="1"/>
  <c r="M12" i="3" a="1"/>
  <c r="M12" i="3" s="1"/>
  <c r="I16" i="3" a="1"/>
  <c r="I16" i="3" s="1"/>
  <c r="L10" i="3" a="1"/>
  <c r="L10" i="3" s="1"/>
  <c r="L6" i="3" a="1"/>
  <c r="L6" i="3" s="1"/>
  <c r="M9" i="3" a="1"/>
  <c r="M9" i="3" s="1"/>
  <c r="I13" i="3" a="1"/>
  <c r="I13" i="3" s="1"/>
  <c r="J16" i="3" a="1"/>
  <c r="J16" i="3" s="1"/>
  <c r="M16" i="3" a="1"/>
  <c r="M16" i="3" s="1"/>
  <c r="M11" i="3" a="1"/>
  <c r="M11" i="3" s="1"/>
  <c r="L8" i="3" a="1"/>
  <c r="L8" i="3" s="1"/>
  <c r="M6" i="3" a="1"/>
  <c r="M6" i="3" s="1"/>
  <c r="I10" i="3" a="1"/>
  <c r="I10" i="3" s="1"/>
  <c r="J13" i="3" a="1"/>
  <c r="J13" i="3" s="1"/>
  <c r="H10" i="1" l="1"/>
  <c r="H2" i="1"/>
  <c r="E2" i="1"/>
  <c r="G2" i="1"/>
  <c r="F2" i="1"/>
  <c r="C2" i="1"/>
  <c r="I3" i="1"/>
  <c r="E3" i="1"/>
  <c r="A3" i="1"/>
  <c r="H3" i="1"/>
  <c r="G3" i="1"/>
  <c r="C3" i="1"/>
  <c r="F3" i="1"/>
  <c r="E4" i="1"/>
  <c r="A4" i="1"/>
  <c r="I4" i="1"/>
  <c r="G4" i="1"/>
  <c r="C4" i="1"/>
  <c r="F4" i="1"/>
  <c r="H4" i="1"/>
  <c r="G13" i="1"/>
  <c r="I13" i="1"/>
  <c r="F13" i="1"/>
  <c r="A13" i="1"/>
  <c r="H13" i="1"/>
  <c r="E13" i="1"/>
  <c r="C13" i="1"/>
  <c r="F11" i="1"/>
  <c r="I11" i="1"/>
  <c r="H11" i="1"/>
  <c r="A11" i="1"/>
  <c r="C11" i="1"/>
  <c r="E11" i="1"/>
  <c r="H9" i="1"/>
  <c r="I9" i="1"/>
  <c r="E9" i="1"/>
  <c r="A9" i="1"/>
  <c r="C9" i="1"/>
  <c r="G9" i="1"/>
  <c r="F9" i="1"/>
  <c r="C8" i="1"/>
  <c r="E8" i="1"/>
  <c r="A8" i="1"/>
  <c r="F8" i="1"/>
  <c r="I8" i="1"/>
  <c r="H8" i="1"/>
  <c r="A12" i="1"/>
  <c r="I12" i="1"/>
  <c r="F12" i="1"/>
  <c r="H12" i="1"/>
  <c r="G12" i="1"/>
  <c r="C12" i="1"/>
  <c r="E12" i="1"/>
  <c r="G7" i="1"/>
  <c r="E7" i="1"/>
  <c r="A7" i="1"/>
  <c r="F7" i="1"/>
  <c r="I7" i="1"/>
  <c r="H7" i="1"/>
  <c r="C7" i="1"/>
  <c r="G6" i="1"/>
  <c r="E6" i="1"/>
  <c r="A6" i="1"/>
  <c r="F6" i="1"/>
  <c r="I6" i="1"/>
  <c r="H6" i="1"/>
  <c r="C6" i="1"/>
  <c r="F5" i="1"/>
  <c r="G5" i="1"/>
  <c r="E5" i="1"/>
  <c r="A5" i="1"/>
  <c r="I5" i="1"/>
  <c r="H5" i="1"/>
  <c r="C5" i="1"/>
  <c r="F10" i="1"/>
  <c r="I10" i="1"/>
  <c r="E10" i="1"/>
  <c r="A10" i="1"/>
  <c r="C10" i="1"/>
  <c r="M5" i="3" a="1"/>
  <c r="M5" i="3" s="1"/>
  <c r="L5" i="3" a="1"/>
  <c r="L5" i="3" s="1"/>
  <c r="K5" i="3" a="1"/>
  <c r="K5" i="3" s="1"/>
  <c r="J5" i="3" a="1"/>
  <c r="J5" i="3" s="1"/>
  <c r="I5" i="3" a="1"/>
  <c r="I5" i="3" s="1"/>
  <c r="I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<sst xmlns="http://schemas.openxmlformats.org/spreadsheetml/2006/main" count="19352" uniqueCount="5811">
  <si>
    <t>配送日期</t>
  </si>
  <si>
    <t>司机姓名</t>
  </si>
  <si>
    <t>司机电话</t>
  </si>
  <si>
    <t>车牌号</t>
  </si>
  <si>
    <t>供应商名称</t>
  </si>
  <si>
    <t>停靠点顺序</t>
  </si>
  <si>
    <t>门店名称</t>
  </si>
  <si>
    <t>详细地址</t>
  </si>
  <si>
    <t>经度</t>
  </si>
  <si>
    <t>纬度</t>
  </si>
  <si>
    <t>门店联系电话</t>
  </si>
  <si>
    <t>货物信息</t>
  </si>
  <si>
    <t>熊猫很忙（东升店-广东中山）</t>
  </si>
  <si>
    <t>闪电达精品超市</t>
  </si>
  <si>
    <t>熊猫很忙（火炬店-广东中山）</t>
  </si>
  <si>
    <t>熊猫很忙（利和广场店-广东中山）</t>
  </si>
  <si>
    <t>熊猫很忙（坦洲店-广东中山）</t>
  </si>
  <si>
    <t>熊猫很忙（长隆店-广东珠海）</t>
  </si>
  <si>
    <t>熊猫很忙（珠峰-广东珠海）</t>
  </si>
  <si>
    <t>小榄镇高沙五队益兴街二巷四号熊猫很忙超市（1688送货上门</t>
  </si>
  <si>
    <t>银库路2号E8卡</t>
  </si>
  <si>
    <t>火炬开发区张家边康乐园商业广场康乐楼底层商铺31-36、38-43号</t>
  </si>
  <si>
    <t>东区豪逸华庭二期12栋一层17卡 熊猫很忙超市利和店</t>
  </si>
  <si>
    <t>同洁街1巷8号</t>
  </si>
  <si>
    <t>横琴镇红旗村德政街25号二楼 (格美造型发廊～三米粥铺楼上)熊猫很忙， 楼梯在后面 不放驿站 请送上门不送投诉谢谢</t>
  </si>
  <si>
    <t>井岸镇新青二路4号B栋109号</t>
  </si>
  <si>
    <t>13392599626</t>
  </si>
  <si>
    <t>18148808700</t>
  </si>
  <si>
    <t>13715603424</t>
  </si>
  <si>
    <t>19928029705</t>
  </si>
  <si>
    <t>13680117382</t>
  </si>
  <si>
    <t>15338181386</t>
  </si>
  <si>
    <t>13018477701</t>
  </si>
  <si>
    <t>LC20260421000980</t>
    <phoneticPr fontId="2" type="noConversion"/>
  </si>
  <si>
    <t>运单号</t>
    <phoneticPr fontId="2" type="noConversion"/>
  </si>
  <si>
    <t>批次号</t>
    <phoneticPr fontId="2" type="noConversion"/>
  </si>
  <si>
    <t>客户编号</t>
    <phoneticPr fontId="2" type="noConversion"/>
  </si>
  <si>
    <t>客户名称</t>
  </si>
  <si>
    <t>客户等级</t>
  </si>
  <si>
    <t>所属组织</t>
  </si>
  <si>
    <t>部门</t>
  </si>
  <si>
    <t>联系人</t>
  </si>
  <si>
    <t>手机号码</t>
  </si>
  <si>
    <t>省</t>
  </si>
  <si>
    <t>市</t>
  </si>
  <si>
    <t>区</t>
  </si>
  <si>
    <t>街道</t>
  </si>
  <si>
    <t>业务员</t>
  </si>
  <si>
    <t>线路</t>
  </si>
  <si>
    <t>渠道</t>
  </si>
  <si>
    <t>是否允许货到付款</t>
  </si>
  <si>
    <t>外部编码</t>
  </si>
  <si>
    <t>标签</t>
  </si>
  <si>
    <t>状态</t>
  </si>
  <si>
    <t>客户状态</t>
  </si>
  <si>
    <t>内部往来单位</t>
  </si>
  <si>
    <t>发票类型</t>
  </si>
  <si>
    <t>注册电话</t>
  </si>
  <si>
    <t>注册地址</t>
  </si>
  <si>
    <t>客户序号</t>
    <phoneticPr fontId="2" type="noConversion"/>
  </si>
  <si>
    <t>标准客户名称</t>
    <phoneticPr fontId="2" type="noConversion"/>
  </si>
  <si>
    <t>系统</t>
    <phoneticPr fontId="2" type="noConversion"/>
  </si>
  <si>
    <t>小巷子</t>
    <phoneticPr fontId="2" type="noConversion"/>
  </si>
  <si>
    <t>上楼层数</t>
    <phoneticPr fontId="2" type="noConversion"/>
  </si>
  <si>
    <t>违停</t>
    <phoneticPr fontId="2" type="noConversion"/>
  </si>
  <si>
    <t>地库限高</t>
    <phoneticPr fontId="2" type="noConversion"/>
  </si>
  <si>
    <t>免费停车时长_分钟</t>
    <phoneticPr fontId="2" type="noConversion"/>
  </si>
  <si>
    <t>停车费_小时</t>
    <phoneticPr fontId="2" type="noConversion"/>
  </si>
  <si>
    <t>开始收货时间</t>
    <phoneticPr fontId="2" type="noConversion"/>
  </si>
  <si>
    <t>截止收货时间</t>
    <phoneticPr fontId="2" type="noConversion"/>
  </si>
  <si>
    <t>收货时间段</t>
    <phoneticPr fontId="2" type="noConversion"/>
  </si>
  <si>
    <t>不收货时间段</t>
    <phoneticPr fontId="2" type="noConversion"/>
  </si>
  <si>
    <t>停车位置</t>
  </si>
  <si>
    <t>停车方式</t>
  </si>
  <si>
    <t>卸货入口</t>
  </si>
  <si>
    <t>卸货位置</t>
  </si>
  <si>
    <t>手推车</t>
  </si>
  <si>
    <t>托盘置换</t>
    <phoneticPr fontId="2" type="noConversion"/>
  </si>
  <si>
    <t>保温箱置换</t>
    <phoneticPr fontId="2" type="noConversion"/>
  </si>
  <si>
    <t>周一配送</t>
    <phoneticPr fontId="2" type="noConversion"/>
  </si>
  <si>
    <t>周二配送</t>
    <phoneticPr fontId="2" type="noConversion"/>
  </si>
  <si>
    <t>周三配送</t>
    <phoneticPr fontId="2" type="noConversion"/>
  </si>
  <si>
    <t>周四配送</t>
    <phoneticPr fontId="2" type="noConversion"/>
  </si>
  <si>
    <t>周五配送</t>
    <phoneticPr fontId="2" type="noConversion"/>
  </si>
  <si>
    <t>周六配送</t>
    <phoneticPr fontId="2" type="noConversion"/>
  </si>
  <si>
    <t>周日配送</t>
    <phoneticPr fontId="2" type="noConversion"/>
  </si>
  <si>
    <t>名称1</t>
    <phoneticPr fontId="2" type="noConversion"/>
  </si>
  <si>
    <t>名称2</t>
    <phoneticPr fontId="2" type="noConversion"/>
  </si>
  <si>
    <t>名称3</t>
    <phoneticPr fontId="2" type="noConversion"/>
  </si>
  <si>
    <t>KH00491</t>
  </si>
  <si>
    <t>京牛快送超市(官窑店）</t>
  </si>
  <si>
    <t>广州同超贸易有限公司</t>
  </si>
  <si>
    <t>销售部</t>
  </si>
  <si>
    <t>18475715521</t>
  </si>
  <si>
    <t>广东省</t>
  </si>
  <si>
    <t>佛山市</t>
  </si>
  <si>
    <t>南海区</t>
  </si>
  <si>
    <t>狮山镇</t>
  </si>
  <si>
    <t>佛山市南海区狮山镇官窑京牛快送超市</t>
  </si>
  <si>
    <t>同超2号</t>
  </si>
  <si>
    <t>默认线路</t>
  </si>
  <si>
    <t>其他</t>
  </si>
  <si>
    <t>是</t>
  </si>
  <si>
    <t>未登记</t>
  </si>
  <si>
    <t>启用</t>
  </si>
  <si>
    <t>正常</t>
  </si>
  <si>
    <t>否</t>
  </si>
  <si>
    <t>美宜佳</t>
  </si>
  <si>
    <t>KH00490</t>
  </si>
  <si>
    <t>熊猫很忙（新基-广东东莞）</t>
  </si>
  <si>
    <t>古丽</t>
  </si>
  <si>
    <t>13600290018</t>
  </si>
  <si>
    <t>东莞市</t>
  </si>
  <si>
    <t>南城街道</t>
  </si>
  <si>
    <t>南城区新基二横路三巷11号101室（熊猫很忙新基店）</t>
  </si>
  <si>
    <t>同超1号</t>
  </si>
  <si>
    <t>熊猫很忙</t>
  </si>
  <si>
    <t>KH00489</t>
  </si>
  <si>
    <t>小罐茶曾繁梓</t>
  </si>
  <si>
    <t>曾繁梓</t>
  </si>
  <si>
    <t>18529106745</t>
  </si>
  <si>
    <t>广州市</t>
  </si>
  <si>
    <t>天河区</t>
  </si>
  <si>
    <t/>
  </si>
  <si>
    <t>小罐茶</t>
  </si>
  <si>
    <t>运营</t>
  </si>
  <si>
    <t>消费者个人</t>
  </si>
  <si>
    <t>KH00488</t>
  </si>
  <si>
    <t>值小团（广州香江店）</t>
  </si>
  <si>
    <t>值小团超市香江店</t>
  </si>
  <si>
    <t>18902398996</t>
  </si>
  <si>
    <t>增城区</t>
  </si>
  <si>
    <t>广东省广州市增城区新塘镇南安村石隆大路1号大昌荣区栋101值小团超市香江店</t>
  </si>
  <si>
    <t>爱如</t>
  </si>
  <si>
    <t>值小团</t>
  </si>
  <si>
    <t>KH00487</t>
  </si>
  <si>
    <t>瑞利批发</t>
  </si>
  <si>
    <t>18620606797</t>
  </si>
  <si>
    <t>天河区西约西边坑大街上十巷28号</t>
  </si>
  <si>
    <t>采购2号【常温】</t>
  </si>
  <si>
    <t>便利店</t>
  </si>
  <si>
    <t>KH00486</t>
  </si>
  <si>
    <t>蜜蜂优选超市（广州南沙湾店）24小时收货</t>
  </si>
  <si>
    <t>蜜蜂优选超市</t>
  </si>
  <si>
    <t>15112109392</t>
  </si>
  <si>
    <t>南沙区</t>
  </si>
  <si>
    <t>广州市南沙区进港大道龟山街58号1楼101铺（请送货上门，勿放驿站，送货请电联！）</t>
  </si>
  <si>
    <t>KH00485</t>
  </si>
  <si>
    <t>蜜蜂优选超市（广州太石店）24小时收货</t>
  </si>
  <si>
    <t>13189843798</t>
  </si>
  <si>
    <t>广东省广州市南沙区东涌镇太石村太石综合市场D栋2楼之一铺（请送货上二楼，勿放驿站，送货请电联！）</t>
  </si>
  <si>
    <t>KH00098</t>
  </si>
  <si>
    <t>美宜多【总仓】</t>
  </si>
  <si>
    <t>13802799918</t>
  </si>
  <si>
    <t>天河区棠东广棠路41号</t>
  </si>
  <si>
    <t>超市</t>
  </si>
  <si>
    <t>KH00097</t>
  </si>
  <si>
    <t>熊猫很忙（梅江店-广东梅州）</t>
  </si>
  <si>
    <t>熊猫很忙梅江店</t>
  </si>
  <si>
    <t>14754591945</t>
  </si>
  <si>
    <t>梅州市</t>
  </si>
  <si>
    <t>梅江区</t>
  </si>
  <si>
    <t>江南丽都中路恒泰花园-A7栋1号</t>
  </si>
  <si>
    <t>KH00096</t>
  </si>
  <si>
    <t>熊猫很忙（富兴店-广东梅州）</t>
  </si>
  <si>
    <t>熊猫很忙富兴店</t>
  </si>
  <si>
    <t>18125512990</t>
  </si>
  <si>
    <t>五华县</t>
  </si>
  <si>
    <t>水寨镇富兴花园富强路二横街16号</t>
  </si>
  <si>
    <t>KH00087</t>
  </si>
  <si>
    <t>掌上E（三源色-仙湖试驾基地）</t>
  </si>
  <si>
    <t>掌上E</t>
  </si>
  <si>
    <t>13138471777</t>
  </si>
  <si>
    <t>南海区桂丹西路（三源色-仙湖试驾基地）</t>
  </si>
  <si>
    <t>默认路线</t>
  </si>
  <si>
    <t>批发部</t>
  </si>
  <si>
    <t>KH00484</t>
  </si>
  <si>
    <t>施来客（深圳香格丽湾店）</t>
  </si>
  <si>
    <t>深圳香格丽湾店</t>
  </si>
  <si>
    <t>13410336363</t>
  </si>
  <si>
    <t>深圳市</t>
  </si>
  <si>
    <t>宝安区</t>
  </si>
  <si>
    <t>广东省/深圳市/宝安区/深圳市宝安区西乡街道香格丽湾二期6栋110、111号商铺</t>
  </si>
  <si>
    <t>同超4号</t>
  </si>
  <si>
    <t>施来客</t>
  </si>
  <si>
    <t>KH00483</t>
  </si>
  <si>
    <t>施来客（深圳天富安店）</t>
  </si>
  <si>
    <t>深圳天富安店</t>
  </si>
  <si>
    <t>13237070819</t>
  </si>
  <si>
    <t>广东省/深圳市/宝安区/深圳市宝安区航城街道黄麻布社区靳竹角天富安工业园鸿都物业宿舍一楼26-28号</t>
  </si>
  <si>
    <t>KH00482</t>
  </si>
  <si>
    <t>施来客（深圳瑞尚居店）</t>
  </si>
  <si>
    <t>深圳瑞尚居店</t>
  </si>
  <si>
    <t>13682519874</t>
  </si>
  <si>
    <t>广东省/深圳市/宝安区/深圳市宝安区西乡街道瑞尚居3栋B单元1093栋A
单元110</t>
  </si>
  <si>
    <t>KH00481</t>
  </si>
  <si>
    <t>施来客（深圳富通城店）</t>
  </si>
  <si>
    <t>深圳富通城店</t>
  </si>
  <si>
    <t>18520243344</t>
  </si>
  <si>
    <t>广东省/深圳市/宝安区/深圳市宝安区西乡街道西乡大道西北侧碧海富通城17栋109-113房屋</t>
  </si>
  <si>
    <t>KH00480</t>
  </si>
  <si>
    <t>施来客（东莞中银花园店）</t>
  </si>
  <si>
    <t>东莞中银花园店</t>
  </si>
  <si>
    <t>13556673781</t>
  </si>
  <si>
    <t>广东省/东莞市/东莞市/东莞市南城区新中路1号新中银花园107号铺</t>
  </si>
  <si>
    <t>KH00479</t>
  </si>
  <si>
    <t>施来客（东莞阳光海岸店）</t>
  </si>
  <si>
    <t>东莞阳光海岸店</t>
  </si>
  <si>
    <t>13009633248</t>
  </si>
  <si>
    <t>广东省/东莞市/东莞市/东莞市万江阳光海岸晶岸4-6栋商铺42号商铺</t>
  </si>
  <si>
    <t>KH00478</t>
  </si>
  <si>
    <t>施来客（东莞市松山湖店）</t>
  </si>
  <si>
    <t>东莞市松山湖店</t>
  </si>
  <si>
    <t>13240549937</t>
  </si>
  <si>
    <t>广东省/东莞市/东莞市/东莞市松山湖高新技术产业开发区工业北四路2号收货仓库万科金域松湖花园39号楼商铺108、109</t>
  </si>
  <si>
    <t>KH00477</t>
  </si>
  <si>
    <t>施来客（东莞庆峰花园店）</t>
  </si>
  <si>
    <t>东莞庆峰花园店</t>
  </si>
  <si>
    <t>13922904519</t>
  </si>
  <si>
    <t>广东省/东莞市/东莞市/东莞市东城区温塘庆峰花园三期666768号商铺</t>
  </si>
  <si>
    <t>KH00476</t>
  </si>
  <si>
    <t>施来客（东莞大朗里悦里店）</t>
  </si>
  <si>
    <t>东莞大朗里悦里店</t>
  </si>
  <si>
    <t>15570152796</t>
  </si>
  <si>
    <t>广东省/东莞市/东莞市/东莞市大朗镇富民中路193号碧桂园名座广场18号商铺104一楼</t>
  </si>
  <si>
    <t>KH00076</t>
  </si>
  <si>
    <t>熊猫很忙（梅塘店-广东东莞）</t>
  </si>
  <si>
    <t>13798813989</t>
  </si>
  <si>
    <t>黄江镇聚龙巷51号201室熊猫很忙梅塘店（麻烦送上门，放驿站投诉）</t>
  </si>
  <si>
    <t>CUS00312</t>
  </si>
  <si>
    <t>龙岗店1688（提前电话联系）</t>
  </si>
  <si>
    <t>沃玛希龙岗店</t>
  </si>
  <si>
    <t>18819418881</t>
  </si>
  <si>
    <t>龙岗区</t>
  </si>
  <si>
    <t>南约社区南同大道11号南汉商业街锦东公寓一楼沃玛希超市</t>
  </si>
  <si>
    <t>沃玛希精品超市</t>
    <phoneticPr fontId="7" type="noConversion"/>
  </si>
  <si>
    <t>KH00475</t>
  </si>
  <si>
    <t>粤32915美宜佳湛江市遂溪县</t>
  </si>
  <si>
    <t>王女士</t>
  </si>
  <si>
    <t>19126637159</t>
  </si>
  <si>
    <t>湛江市</t>
  </si>
  <si>
    <t>遂溪县</t>
  </si>
  <si>
    <t>广东省湛江市遂溪县黄略镇校友路中心小学北侧</t>
  </si>
  <si>
    <t>20260201145621265336636-1</t>
  </si>
  <si>
    <t>美宜佳</t>
    <phoneticPr fontId="2" type="noConversion"/>
  </si>
  <si>
    <t>KH00474</t>
  </si>
  <si>
    <t>粤31952美宜佳湛江市遂溪县</t>
  </si>
  <si>
    <t>李女士</t>
  </si>
  <si>
    <t>13536371393</t>
  </si>
  <si>
    <t>广东省湛江市遂溪县遂城镇建设路外贸综合楼首层</t>
  </si>
  <si>
    <t>20260126212522278552244-1</t>
  </si>
  <si>
    <t>KH00473</t>
  </si>
  <si>
    <t>粤31540美宜佳湛江市遂溪县</t>
  </si>
  <si>
    <t>13714424451</t>
  </si>
  <si>
    <t>广东省湛江市遂溪县遂城镇遂海路南苑小区东圩河东片E1号</t>
  </si>
  <si>
    <t>20260126212017521536719-1</t>
  </si>
  <si>
    <t>KH00472</t>
  </si>
  <si>
    <t>粤30202美宜佳湛江市赤坎区</t>
  </si>
  <si>
    <t>杨先生</t>
  </si>
  <si>
    <t>15382620323</t>
  </si>
  <si>
    <t>赤坎区</t>
  </si>
  <si>
    <t>广东省湛江市赤坎区沙湾街道海田路28号海田创意广场5栋之二</t>
  </si>
  <si>
    <t>20260126213815600547702-1</t>
  </si>
  <si>
    <t>KH00471</t>
  </si>
  <si>
    <t>粤27658美宜佳湛江市遂溪县店家</t>
  </si>
  <si>
    <t>18028438552</t>
  </si>
  <si>
    <t>广东省湛江市遂溪县遂城镇站南路锐达豪苑一区B栋首层9号</t>
  </si>
  <si>
    <t>20260126211808006664604-1</t>
  </si>
  <si>
    <t>KH00470</t>
  </si>
  <si>
    <t>粤20693美宜佳湛江市遂溪县</t>
  </si>
  <si>
    <t>郑女士</t>
  </si>
  <si>
    <t>13727892690</t>
  </si>
  <si>
    <t>广东省湛江市遂溪县遂城镇城南市场湛兴路一横东2号一楼</t>
  </si>
  <si>
    <t>20260130091004255620621-1</t>
  </si>
  <si>
    <t>KH00469</t>
  </si>
  <si>
    <t>粤39971美宜佳江门开平</t>
  </si>
  <si>
    <t>李启宏</t>
  </si>
  <si>
    <t>15917815916</t>
  </si>
  <si>
    <t>江门市</t>
  </si>
  <si>
    <t>开平市</t>
  </si>
  <si>
    <t>广东省江门市开平市三埠街道富强路8号新外滩南门13幢115号</t>
  </si>
  <si>
    <t>20260130155423754519372-1</t>
  </si>
  <si>
    <t>KH00468</t>
  </si>
  <si>
    <t>粤37573美宜佳江门台山</t>
  </si>
  <si>
    <t>李华娣</t>
  </si>
  <si>
    <t>13555663648</t>
  </si>
  <si>
    <t>台山市</t>
  </si>
  <si>
    <t>广东省江门市台山市台城街道万达大都会二期S8-153</t>
  </si>
  <si>
    <t>20260205202440245701317-1</t>
  </si>
  <si>
    <t>KH00467</t>
  </si>
  <si>
    <t>粤37292美宜佳江门台山</t>
  </si>
  <si>
    <t>刘嘉欣</t>
  </si>
  <si>
    <t>17727033356</t>
  </si>
  <si>
    <t>广东省江门市台山市台城街道德政路2号翰林雅苑（1栋）107室</t>
  </si>
  <si>
    <t>20260130155036177067267-1</t>
  </si>
  <si>
    <t>KH00466</t>
  </si>
  <si>
    <t>粤36235美宜佳江门开平</t>
  </si>
  <si>
    <t>蔡燕虹</t>
  </si>
  <si>
    <t>18688488639</t>
  </si>
  <si>
    <t>广东省江门市开平市三埠街道百润花园北门134-135号铺位</t>
  </si>
  <si>
    <t>20260201160655892995604-1</t>
  </si>
  <si>
    <t>KH00465</t>
  </si>
  <si>
    <t>粤28846美宜佳江门开平水口</t>
  </si>
  <si>
    <t>沈少全</t>
  </si>
  <si>
    <t>18336254831</t>
  </si>
  <si>
    <t>广东省江门市开平市水口镇外环北路8号第一幢10-11号</t>
  </si>
  <si>
    <t>20260130160124486492876-1</t>
  </si>
  <si>
    <t>KH00464</t>
  </si>
  <si>
    <t>粤22289美宜佳江门开平</t>
  </si>
  <si>
    <t>刘付国辉</t>
  </si>
  <si>
    <t>13450622761</t>
  </si>
  <si>
    <t>广东省江门市开平市长沙街道曙光东路152号102卡</t>
  </si>
  <si>
    <t>20260130190216649955285-1</t>
  </si>
  <si>
    <t>KH00463</t>
  </si>
  <si>
    <t>粤11308美宜佳江门开平</t>
  </si>
  <si>
    <t>曾明聪</t>
  </si>
  <si>
    <t>13189431186</t>
  </si>
  <si>
    <t>广东省江门市开平市水口镇东乐路38号第1.2卡铺位</t>
  </si>
  <si>
    <t>20260130154439171152640-1</t>
  </si>
  <si>
    <t>KH00462</t>
  </si>
  <si>
    <t>K393美宜佳江门开平新昌</t>
  </si>
  <si>
    <t>马一波</t>
  </si>
  <si>
    <t>13431754575</t>
  </si>
  <si>
    <t>广东省江门市开平市三埠街道新昌东路中山城23幢首层103.104号铺位</t>
  </si>
  <si>
    <t>20260130153637066779461-1</t>
  </si>
  <si>
    <t>KH00461</t>
  </si>
  <si>
    <t>D345美宜佳江门开平</t>
  </si>
  <si>
    <t>赵香粉</t>
  </si>
  <si>
    <t>13168519219</t>
  </si>
  <si>
    <t>广东省江门市开平市长沙街道幕沙路88号101地铺</t>
  </si>
  <si>
    <t>20260203163752121924501-1</t>
  </si>
  <si>
    <t>KH00460</t>
  </si>
  <si>
    <t>粤K791美宜佳茂名市茂南区</t>
  </si>
  <si>
    <t xml:space="preserve">李松 </t>
  </si>
  <si>
    <t>18319158192</t>
  </si>
  <si>
    <t>茂名市</t>
  </si>
  <si>
    <t>茂南区</t>
  </si>
  <si>
    <t>广东省茂名市茂南区羊角镇油城十路东汇城第一层166号铺</t>
  </si>
  <si>
    <t>20260126190123867957883-1</t>
  </si>
  <si>
    <t>KH00459</t>
  </si>
  <si>
    <t>粤40039美宜佳珠海市香洲区前山街道翠微海宏苑店</t>
  </si>
  <si>
    <t>陈小姐</t>
  </si>
  <si>
    <t>13431724014</t>
  </si>
  <si>
    <t>珠海市</t>
  </si>
  <si>
    <t>香洲区</t>
  </si>
  <si>
    <t>广东省珠海市香洲区前山街道翠微西路海宏苑美宜佳</t>
  </si>
  <si>
    <t>20260129211211930694151-1</t>
  </si>
  <si>
    <t>KH00458</t>
  </si>
  <si>
    <t>39709（AB）广东中山三乡雅居乐万象郡1期美宜佳</t>
  </si>
  <si>
    <t>黄先生</t>
  </si>
  <si>
    <t>18148801060</t>
  </si>
  <si>
    <t>中山市</t>
  </si>
  <si>
    <t>三乡镇</t>
  </si>
  <si>
    <t>广东省中山市三乡镇金涌大道590号</t>
  </si>
  <si>
    <t>20260123125242955219452-1</t>
  </si>
  <si>
    <t>KH00457</t>
  </si>
  <si>
    <t>粤38048美宜佳珠海市唐家湾</t>
  </si>
  <si>
    <t>林嘉利</t>
  </si>
  <si>
    <t>13798979783</t>
  </si>
  <si>
    <t>广东省珠海市香洲区唐家湾镇金峰中路165号1幢</t>
  </si>
  <si>
    <t>20260131183810434793135-1</t>
  </si>
  <si>
    <t>KH00456</t>
  </si>
  <si>
    <t>粤28525美宜佳中山市三乡镇</t>
  </si>
  <si>
    <t>吴先生</t>
  </si>
  <si>
    <t>18924998886</t>
  </si>
  <si>
    <t>广东省中山市三乡镇万象郡二期12幢46卡</t>
  </si>
  <si>
    <t>20260129210530416501339-1</t>
  </si>
  <si>
    <t>KH00455</t>
  </si>
  <si>
    <t>粤21383美宜佳珠海市香洲区拱北口岸</t>
  </si>
  <si>
    <t>钟华</t>
  </si>
  <si>
    <t>15000928809</t>
  </si>
  <si>
    <t>广东省珠海市香洲区拱北街道围基路28号和园大厦12号</t>
  </si>
  <si>
    <t>20260129210747973326894-1</t>
  </si>
  <si>
    <t>KH00454</t>
  </si>
  <si>
    <t>17245（AB）广东珠海香洲中之华大厦美宜佳</t>
  </si>
  <si>
    <t>黄志锋</t>
  </si>
  <si>
    <t>15338187458</t>
  </si>
  <si>
    <t>广东省珠海市香洲区前山街道华威路112号</t>
  </si>
  <si>
    <t>20260123110753545556613-1</t>
  </si>
  <si>
    <t>KH00453</t>
  </si>
  <si>
    <t>M140美宜佳中山坦洲金碧路美宜佳</t>
  </si>
  <si>
    <t>刘小燕</t>
  </si>
  <si>
    <t>18028367082</t>
  </si>
  <si>
    <t>坦洲镇</t>
  </si>
  <si>
    <t>广东省中山市坦洲镇德溪路10号</t>
  </si>
  <si>
    <t>20260131150313083454358-1</t>
  </si>
  <si>
    <t>KH00452</t>
  </si>
  <si>
    <t>粤22782美宜佳江门市蓬江区远航店</t>
  </si>
  <si>
    <t>许大大</t>
  </si>
  <si>
    <t>13536138427</t>
  </si>
  <si>
    <t>蓬江区</t>
  </si>
  <si>
    <t>广东省江门市蓬江区白沙街道远航水产交易中心综合楼首层11号美宜佳</t>
  </si>
  <si>
    <t>20260128131406304350368-1</t>
  </si>
  <si>
    <t>KH00451</t>
  </si>
  <si>
    <t>M360美宜佳江门市江海区星海湾花园店</t>
  </si>
  <si>
    <t>姚姗姗</t>
  </si>
  <si>
    <t>13555616010</t>
  </si>
  <si>
    <t>江海区</t>
  </si>
  <si>
    <t>广东省江门市江海区滘头街道星海湾花园125号商铺</t>
  </si>
  <si>
    <t>20260128204741205104208-1</t>
  </si>
  <si>
    <t>KH00450</t>
  </si>
  <si>
    <t>0172天福珠海市高栏港经济区</t>
  </si>
  <si>
    <t>王先生</t>
  </si>
  <si>
    <t>13686006155</t>
  </si>
  <si>
    <t>金湾区</t>
  </si>
  <si>
    <t>南水镇</t>
  </si>
  <si>
    <t>珠海市高栏港经济区南水镇铁炉北路港城花园(金湾区铁路北路133号2栋)</t>
  </si>
  <si>
    <t>20260204145426395564445-1</t>
  </si>
  <si>
    <t>KH00449</t>
  </si>
  <si>
    <t>粤37862美宜佳珠海市斗门区白藤街道店</t>
  </si>
  <si>
    <t>13085810277</t>
  </si>
  <si>
    <t>斗门区</t>
  </si>
  <si>
    <t>广东省珠海市斗门区白藤街道白藤一路东187号</t>
  </si>
  <si>
    <t>20260128150335567621264-1</t>
  </si>
  <si>
    <t>KH00448</t>
  </si>
  <si>
    <t>粤33899美宜佳珠海市金湾区南水镇店</t>
  </si>
  <si>
    <t>13326693860</t>
  </si>
  <si>
    <t>广东省珠海市金湾区南水镇金都二街65号商铺</t>
  </si>
  <si>
    <t>20260128150926815786244-1</t>
  </si>
  <si>
    <t>KH00447</t>
  </si>
  <si>
    <t>粤33371美宜佳珠海市斗门区井岸镇店</t>
  </si>
  <si>
    <t>罗先生</t>
  </si>
  <si>
    <t>15876657667</t>
  </si>
  <si>
    <t>广东省珠海市斗门区井岸镇鸡嘴路</t>
  </si>
  <si>
    <t>20260128151106471709992-1</t>
  </si>
  <si>
    <t>KH00446</t>
  </si>
  <si>
    <t>粤19151美宜佳珠海市金湾区红旗镇</t>
  </si>
  <si>
    <t>18671506208</t>
  </si>
  <si>
    <t>广东省珠海市金湾区红旗镇矿山路口金山花园二期21栋商业广场10~11号商铺</t>
  </si>
  <si>
    <t>20260127144129134616169-1</t>
  </si>
  <si>
    <t>KH00445</t>
  </si>
  <si>
    <t>18573（AB）广东珠海斗门西浦光明路美宜佳</t>
  </si>
  <si>
    <t>13821590450</t>
  </si>
  <si>
    <t>广东省珠海市斗门区井岸镇西埔村光明路五港26号</t>
  </si>
  <si>
    <t>20260120185358126894531-1</t>
  </si>
  <si>
    <t>KH00444</t>
  </si>
  <si>
    <t>K150美宜佳珠海市斗门区乾务镇店</t>
  </si>
  <si>
    <t>广东省珠海市斗门区乾务镇乾南中路130号</t>
  </si>
  <si>
    <t>20260128150111172797535-1</t>
  </si>
  <si>
    <t>KH00443</t>
  </si>
  <si>
    <t>粤g180美宜佳珠海市斗门区井岸镇店</t>
  </si>
  <si>
    <t>18902864220</t>
  </si>
  <si>
    <t>广东省珠海市斗门区井岸镇西埔南厂桥头</t>
  </si>
  <si>
    <t>20260126212218323617934-1</t>
  </si>
  <si>
    <t>KH00442</t>
  </si>
  <si>
    <t>D932美宜佳珠海市斗门区井岸镇鸡咀路</t>
  </si>
  <si>
    <t>18028769831</t>
  </si>
  <si>
    <t>广东省珠海市斗门区井岸镇鸡咀村综合楼第B2栋第一号铺</t>
  </si>
  <si>
    <t>20260128150756951006923-1</t>
  </si>
  <si>
    <t>KH00441</t>
  </si>
  <si>
    <t>B125美宜佳井岸西埔</t>
  </si>
  <si>
    <t>18871511799</t>
  </si>
  <si>
    <t>广东省珠海市斗门区井岸镇新青村路南一巷四号</t>
  </si>
  <si>
    <t>20260126105450799991094-1</t>
  </si>
  <si>
    <t>KH00440</t>
  </si>
  <si>
    <t>粤2103合家欢珠海市斗门区井岸镇店</t>
  </si>
  <si>
    <t>邱全林</t>
  </si>
  <si>
    <t>15207561053</t>
  </si>
  <si>
    <t>广东省珠海市斗门区井岸西铺大三角C22号店合家欢</t>
  </si>
  <si>
    <t>20260205235545098498460-1</t>
  </si>
  <si>
    <t>KH00439</t>
  </si>
  <si>
    <t>合家欢2020珠海市金湾区红旗镇店</t>
  </si>
  <si>
    <t>陈先生</t>
  </si>
  <si>
    <t>17688177121</t>
  </si>
  <si>
    <t>广东省珠海市金湾区红旗虹晖路合家欢虹晖路店</t>
  </si>
  <si>
    <t>20260203135903848000152-1</t>
  </si>
  <si>
    <t>KH00438</t>
  </si>
  <si>
    <t>粤1879合家欢珠海市金湾区三灶镇店</t>
  </si>
  <si>
    <t>13326918808</t>
  </si>
  <si>
    <t>广东省珠海市金湾区保利香槟国际花园90号铺</t>
  </si>
  <si>
    <t>20260125185431984499059-1</t>
  </si>
  <si>
    <t>KH00437</t>
  </si>
  <si>
    <t>粤39603美宜佳中山市南朗镇岭南小区店</t>
  </si>
  <si>
    <t>李小姐</t>
  </si>
  <si>
    <t>18381608530</t>
  </si>
  <si>
    <t>南朗街道</t>
  </si>
  <si>
    <t>广东省中山市南朗街道南朗俊景路49号</t>
  </si>
  <si>
    <t>20260123225955598371967-1</t>
  </si>
  <si>
    <t>KH00436</t>
  </si>
  <si>
    <t>粤35952美宜佳中山市民众镇浪网大道中</t>
  </si>
  <si>
    <t>刘芬</t>
  </si>
  <si>
    <t>13424528545</t>
  </si>
  <si>
    <t>民众街道</t>
  </si>
  <si>
    <t>广东省中山市民众镇浪网大道256号</t>
  </si>
  <si>
    <t>20260205195741381885160-1</t>
  </si>
  <si>
    <t>KH00435</t>
  </si>
  <si>
    <t>粤35536美宜佳中山市火炬开发区幸福天禧店</t>
  </si>
  <si>
    <t>尹朝勇</t>
  </si>
  <si>
    <t>14789316693</t>
  </si>
  <si>
    <t>中山港街道</t>
  </si>
  <si>
    <t>广东省中山市火炬开发区街道火炬开发区幸福公寓伟盛路12号</t>
  </si>
  <si>
    <t>20260205195630170815329-1</t>
  </si>
  <si>
    <t>KH00434</t>
  </si>
  <si>
    <t>粤40245美宜佳中山市民众镇政通路美宜佳</t>
  </si>
  <si>
    <t>广东省中山市民众镇政通路美宜佳</t>
  </si>
  <si>
    <t>20260202100859520107119-1</t>
  </si>
  <si>
    <t>KH00433</t>
  </si>
  <si>
    <t>粤27879美宜佳中山市火炬开发区广盛店</t>
  </si>
  <si>
    <t>林先生</t>
  </si>
  <si>
    <t>13726028503</t>
  </si>
  <si>
    <t>广东省中山市火炬开发区街道沙边村广盛厂里</t>
  </si>
  <si>
    <t>20260129092404624699438-1</t>
  </si>
  <si>
    <t>KH00432</t>
  </si>
  <si>
    <t>粤26835美宜佳中山市民众镇锦标市场店</t>
  </si>
  <si>
    <t>广东省中山市民众镇锦丰东路47号</t>
  </si>
  <si>
    <t>20260205200046469845573-1</t>
  </si>
  <si>
    <t>KH00431</t>
  </si>
  <si>
    <t>粤22892美宜佳中山市东升镇美誉诚品店</t>
  </si>
  <si>
    <t>东升镇</t>
  </si>
  <si>
    <t>广东省中山市东升镇美誉诚品花园</t>
  </si>
  <si>
    <t>20260129091420674918201-1</t>
  </si>
  <si>
    <t>KH00430</t>
  </si>
  <si>
    <t>D185(AB)广东中山沙溪隆墟美宜佳</t>
  </si>
  <si>
    <t>王徳应</t>
  </si>
  <si>
    <t>13432103972</t>
  </si>
  <si>
    <t>沙溪镇</t>
  </si>
  <si>
    <t>广东省中山市沙溪镇隆都路115号</t>
  </si>
  <si>
    <t>20260130103159834365632-1</t>
  </si>
  <si>
    <t>KH00429</t>
  </si>
  <si>
    <t>9585(AB)广东中山火炬开发民康西美宜佳</t>
  </si>
  <si>
    <t>18928150193</t>
  </si>
  <si>
    <t>广东省中山市火炬开发区街道东利市场后侧商住楼A栋1卡</t>
  </si>
  <si>
    <t>20260123225909231463897-1</t>
  </si>
  <si>
    <t>KH00428</t>
  </si>
  <si>
    <t>16230美宜佳中山市三角镇锦城西三街美宜佳</t>
  </si>
  <si>
    <t>三角镇</t>
  </si>
  <si>
    <t>广东省中山市三角镇锦城西三街美宜佳</t>
  </si>
  <si>
    <t>20260202100412529960665-1</t>
  </si>
  <si>
    <t>KH00427</t>
  </si>
  <si>
    <t>30286天福及时中山市东升镇俊廷居店</t>
  </si>
  <si>
    <t>潘老板</t>
  </si>
  <si>
    <t>19178323106</t>
  </si>
  <si>
    <t>小榄镇</t>
  </si>
  <si>
    <t>广东省中山市小榄镇绩东一社区阜安路82号之</t>
  </si>
  <si>
    <t>20260205110614552713812-1</t>
  </si>
  <si>
    <t>KH00426</t>
  </si>
  <si>
    <t>粤33565美宜佳中山市东升镇美宜佳便利店</t>
  </si>
  <si>
    <t>何老板</t>
  </si>
  <si>
    <t>17820496689</t>
  </si>
  <si>
    <t>广东省中山市小榄镇阳光美加小区二期商铺32卡</t>
  </si>
  <si>
    <t>20260126090706979331703-1</t>
  </si>
  <si>
    <t>KH00425</t>
  </si>
  <si>
    <t>粤32395美宜佳中山市古镇镇东兴东路148号</t>
  </si>
  <si>
    <t>钱林妹</t>
  </si>
  <si>
    <t>15800162100</t>
  </si>
  <si>
    <t>古镇镇</t>
  </si>
  <si>
    <t>广东省中山市古镇镇同益广场</t>
  </si>
  <si>
    <t>20260127144343147354973-1</t>
  </si>
  <si>
    <t>KH00424</t>
  </si>
  <si>
    <t>粤30618美宜佳中山市古镇曹二综合市场店</t>
  </si>
  <si>
    <t>李世东</t>
  </si>
  <si>
    <t>13532063554</t>
  </si>
  <si>
    <t>广东省中山市古镇镇曹二路曹二市场</t>
  </si>
  <si>
    <t>20260130185515473655832-1</t>
  </si>
  <si>
    <t>KH00423</t>
  </si>
  <si>
    <t>粤29995美宜佳中山市南头镇穗隆路店</t>
  </si>
  <si>
    <t>王臭妮</t>
  </si>
  <si>
    <t>13271778077</t>
  </si>
  <si>
    <t>南头镇</t>
  </si>
  <si>
    <t>广东省中山市南头镇久顷西路11号</t>
  </si>
  <si>
    <t>20260129123545982630314-1</t>
  </si>
  <si>
    <t>KH00422</t>
  </si>
  <si>
    <t>粤29562美宜佳中山市小榄镇新永路路口店</t>
  </si>
  <si>
    <t>堂元兴</t>
  </si>
  <si>
    <t>17724599232</t>
  </si>
  <si>
    <t>广东省中山市小榄镇新永路22号</t>
  </si>
  <si>
    <t>20260128125939850759215-1</t>
  </si>
  <si>
    <t>KH00421</t>
  </si>
  <si>
    <t>粤25902美宜佳中山市黄圃镇雁南路店</t>
  </si>
  <si>
    <t>胡锦堂</t>
  </si>
  <si>
    <t>15723953013</t>
  </si>
  <si>
    <t>黄圃镇</t>
  </si>
  <si>
    <t>广东省中山市黄圃镇雁南路20号</t>
  </si>
  <si>
    <t>20260127172252310222445-1</t>
  </si>
  <si>
    <t>KH00420</t>
  </si>
  <si>
    <t>粤25126美宜佳中山市南头镇工业大道店</t>
  </si>
  <si>
    <t>封锦鸿</t>
  </si>
  <si>
    <t>13022078342</t>
  </si>
  <si>
    <t>广东省中山市南头镇朱槽西路1号</t>
  </si>
  <si>
    <t>20260125120615408708832-1</t>
  </si>
  <si>
    <t>KH00419</t>
  </si>
  <si>
    <t>粤23315美宜佳中山市小榄镇竹源路店</t>
  </si>
  <si>
    <t>王飞燕</t>
  </si>
  <si>
    <t>18125208832</t>
  </si>
  <si>
    <t>广东省中山市小榄镇竹源路18号</t>
  </si>
  <si>
    <t>20260128185335157338846-1</t>
  </si>
  <si>
    <t>KH00418</t>
  </si>
  <si>
    <t>粤21313美宜佳中山市东凤镇同乐二店</t>
  </si>
  <si>
    <t>黄文林</t>
  </si>
  <si>
    <t>15813146570</t>
  </si>
  <si>
    <t>东凤镇</t>
  </si>
  <si>
    <t>广东省中山市东凤镇安乐中二路47号</t>
  </si>
  <si>
    <t>20260130120941888753079-1</t>
  </si>
  <si>
    <t>KH00417</t>
  </si>
  <si>
    <t>粤 21000 美宜佳中山市南头镇晋合路店</t>
  </si>
  <si>
    <t>潘洁均</t>
  </si>
  <si>
    <t>13726144663</t>
  </si>
  <si>
    <t>广东省中山市南头镇晋合路35号</t>
  </si>
  <si>
    <t>20260125115957606379469-1</t>
  </si>
  <si>
    <t>KH00416</t>
  </si>
  <si>
    <t>粤19940美宜佳中山市南头镇双桥路店</t>
  </si>
  <si>
    <t>店长</t>
  </si>
  <si>
    <t>18948869759</t>
  </si>
  <si>
    <t>广东省中山市南头镇升辉南路20号</t>
  </si>
  <si>
    <t>20260127172451152864882-1</t>
  </si>
  <si>
    <t>KH00415</t>
  </si>
  <si>
    <t>粤18583(AB)广东省中山古镇镇曹一村美宜佳</t>
  </si>
  <si>
    <t>郑世晴</t>
  </si>
  <si>
    <t>13802690658</t>
  </si>
  <si>
    <t>广东省中山市古镇镇曹一乐昌西路118号1卡</t>
  </si>
  <si>
    <t>20260128084504462643465-1</t>
  </si>
  <si>
    <t>KH00414</t>
  </si>
  <si>
    <t>粤13493美宜佳中山市东升镇悦盛一路店</t>
  </si>
  <si>
    <t>13549925460</t>
  </si>
  <si>
    <t>广东省中山市东升镇同乐社区悦胜一路32号</t>
  </si>
  <si>
    <t>20260127112823643433872-1</t>
  </si>
  <si>
    <t>KH00413</t>
  </si>
  <si>
    <t>粤11978美宜佳中山市黄圃镇同济东路店</t>
  </si>
  <si>
    <t>老板</t>
  </si>
  <si>
    <t>18029903709</t>
  </si>
  <si>
    <t>广东省中山市南头镇将军社区华翠楼商铺第七卡</t>
  </si>
  <si>
    <t>20260131091201179137946-1</t>
  </si>
  <si>
    <t>KH00412</t>
  </si>
  <si>
    <t>30703-及时便利古镇为民北店</t>
  </si>
  <si>
    <t>罗美丽</t>
  </si>
  <si>
    <t>15875080265</t>
  </si>
  <si>
    <t>广东省中山市古镇镇新兴村古一新兴村北一路11号</t>
  </si>
  <si>
    <t>20260123212155333061402-1</t>
  </si>
  <si>
    <t>KH00411</t>
  </si>
  <si>
    <t>粤2148合家欢中山市南头镇将军市场店</t>
  </si>
  <si>
    <t>胡老板</t>
  </si>
  <si>
    <t>15307604074</t>
  </si>
  <si>
    <t>广东省中山市南头镇合胜东路102号</t>
  </si>
  <si>
    <t>20260125122718614381499-1</t>
  </si>
  <si>
    <t>KH00410</t>
  </si>
  <si>
    <t>粤38311美宜佳阳江市繁华里</t>
  </si>
  <si>
    <t>雷换英</t>
  </si>
  <si>
    <t>19068100188</t>
  </si>
  <si>
    <t>阳江市</t>
  </si>
  <si>
    <t>江城区</t>
  </si>
  <si>
    <t>广东省阳江市江城区城东街道湖湾路6号漠江花园B5栋9号铺</t>
  </si>
  <si>
    <t>20260128104946827627967-1</t>
  </si>
  <si>
    <t>KH00409</t>
  </si>
  <si>
    <t>30882天福及时中山市古镇冈东狮盾工厂店</t>
  </si>
  <si>
    <t>杨天江</t>
  </si>
  <si>
    <t>15362902959</t>
  </si>
  <si>
    <t>广东省中山市古镇镇冈东狮盾工厂内及时（盛丰街10号）</t>
  </si>
  <si>
    <t>20260203090518934832400-1</t>
  </si>
  <si>
    <t>KH00408</t>
  </si>
  <si>
    <t>粤39132美宜佳中山市横栏镇横栏路</t>
  </si>
  <si>
    <t>马旺红</t>
  </si>
  <si>
    <t>13528298233</t>
  </si>
  <si>
    <t>横栏镇</t>
  </si>
  <si>
    <t>广东省中山市横栏镇德龙中路33号</t>
  </si>
  <si>
    <t>20260130081221371945696-1</t>
  </si>
  <si>
    <t>KH00407</t>
  </si>
  <si>
    <t>粤18782美宜佳横栏镇乐丰六路店</t>
  </si>
  <si>
    <t>蒙海燕</t>
  </si>
  <si>
    <t>15728661059</t>
  </si>
  <si>
    <t>广东省中山市横栏镇茂辉工业区乐丰六路3号首层第8之1</t>
  </si>
  <si>
    <t>20260128130917800246486-1</t>
  </si>
  <si>
    <t>KH00406</t>
  </si>
  <si>
    <t>粤10362美宜佳中山市横栏镇三沙牌坊店</t>
  </si>
  <si>
    <t>戴全耀</t>
  </si>
  <si>
    <t>13527158073</t>
  </si>
  <si>
    <t>广东省中山市横栏镇横栏三沙综合市场</t>
  </si>
  <si>
    <t>20260130083434333368735-1</t>
  </si>
  <si>
    <t>KH00405</t>
  </si>
  <si>
    <t>粤10286美宜佳中山市横栏镇三沙牌坊路店</t>
  </si>
  <si>
    <t>李世伟</t>
  </si>
  <si>
    <t>17328153918</t>
  </si>
  <si>
    <t>广东省中山市横栏镇三沙牌坊路42号</t>
  </si>
  <si>
    <t>20260126105906932040967-1</t>
  </si>
  <si>
    <t>KH00404</t>
  </si>
  <si>
    <t>4153(AB)中山大涌南新北路美宜佳</t>
  </si>
  <si>
    <t>梁红</t>
  </si>
  <si>
    <t>18239632684</t>
  </si>
  <si>
    <t>大涌镇</t>
  </si>
  <si>
    <t>广东省中山市大涌镇街道旗山路南兴商住楼4栋第四商铺(2503搬)</t>
  </si>
  <si>
    <t>20260127073445899843757-1</t>
  </si>
  <si>
    <t>KH00403</t>
  </si>
  <si>
    <t>15833天福茂名市信宜市</t>
  </si>
  <si>
    <t>邱店长</t>
  </si>
  <si>
    <t>13686736612</t>
  </si>
  <si>
    <t>信宜市</t>
  </si>
  <si>
    <t>广东省信宣市玉都街道书香二路1号3号楼首层1号铺</t>
  </si>
  <si>
    <t>20260208103239498387353-1</t>
  </si>
  <si>
    <t>KH00402</t>
  </si>
  <si>
    <t>粤27930美宜佳茂名市高州市</t>
  </si>
  <si>
    <t>珍店长</t>
  </si>
  <si>
    <t>13924384175</t>
  </si>
  <si>
    <t>高州市</t>
  </si>
  <si>
    <t>广东省茂名市高州市石仔岭街道石仔岭街道红荔路</t>
  </si>
  <si>
    <t>20260202211125344209790-1</t>
  </si>
  <si>
    <t>KH00401</t>
  </si>
  <si>
    <t>粤23413美宜佳茂名市高州市</t>
  </si>
  <si>
    <t>钟杰花</t>
  </si>
  <si>
    <t>13580037215</t>
  </si>
  <si>
    <t>广东省茂名市高州市泗水镇和平路</t>
  </si>
  <si>
    <t>20260127140651726162325-1</t>
  </si>
  <si>
    <t>KH00400</t>
  </si>
  <si>
    <t>粤E621美宜佳茂名市高州市</t>
  </si>
  <si>
    <t>梁郁妹</t>
  </si>
  <si>
    <t>18476560680</t>
  </si>
  <si>
    <t>广东省茂名市高州市潘州街道茂名大道南侧住宅楼１号商铺（鼎豪精品酒店对面）</t>
  </si>
  <si>
    <t>20260127140223870395670-1</t>
  </si>
  <si>
    <t>KH00399</t>
  </si>
  <si>
    <t>E195（AB）广东茂名信宜新尚路美宜佳</t>
  </si>
  <si>
    <t>潘国均</t>
  </si>
  <si>
    <t>18218681108</t>
  </si>
  <si>
    <t>广东省茂名市信宜市东镇街道新尚路鸿泰豪庭首层商铺6号</t>
  </si>
  <si>
    <t>20260201084049370111510-1</t>
  </si>
  <si>
    <t>KH00398</t>
  </si>
  <si>
    <t>粤D485美宜佳茂名市高州市</t>
  </si>
  <si>
    <t>媚姐</t>
  </si>
  <si>
    <t>15218299580</t>
  </si>
  <si>
    <t>广东省茂名市高州市潘州街道茂名大道182号(2号商铺)</t>
  </si>
  <si>
    <t>20260201161331261780668-1</t>
  </si>
  <si>
    <t>KH00397</t>
  </si>
  <si>
    <t>37162（AB）广东韶关曲江石堡美宜佳</t>
  </si>
  <si>
    <t>江莹</t>
  </si>
  <si>
    <t>15113420340</t>
  </si>
  <si>
    <t>韶关市</t>
  </si>
  <si>
    <t>曲江区</t>
  </si>
  <si>
    <t>广东省韶关市曲江区马坝镇慧能路10号</t>
  </si>
  <si>
    <t>20260209095742523495708-1</t>
  </si>
  <si>
    <t>KH00396</t>
  </si>
  <si>
    <t>G775（AB）广东韶关江启明北路美宜佳</t>
  </si>
  <si>
    <t>莫小小</t>
  </si>
  <si>
    <t>13580131093</t>
  </si>
  <si>
    <t>浈江区</t>
  </si>
  <si>
    <t>广东省韶关市浈江区东河街道启明北路启明大厦7-8号铺</t>
  </si>
  <si>
    <t>20260203144754616210663-1</t>
  </si>
  <si>
    <t>KH00395</t>
  </si>
  <si>
    <t>粤17166美宜佳广州市番禺区洛浦街道沿沙路口店</t>
  </si>
  <si>
    <t>张世颖</t>
  </si>
  <si>
    <t>18924015602</t>
  </si>
  <si>
    <t>番禺区</t>
  </si>
  <si>
    <t>广东省广州市番禺区洛浦街道沿沙路7号</t>
  </si>
  <si>
    <t>20260209125202294056632-1</t>
  </si>
  <si>
    <t>KH00394</t>
  </si>
  <si>
    <t>粤15381美宜佳广州市番禺区</t>
  </si>
  <si>
    <t>18027162431</t>
  </si>
  <si>
    <t>广东省广州市番禺区洛浦街道康宁西路35号</t>
  </si>
  <si>
    <t>20260205155332056048261-1</t>
  </si>
  <si>
    <t>KH00393</t>
  </si>
  <si>
    <t>粤37268美宜佳佛山市顺德区大良五沙</t>
  </si>
  <si>
    <t>余建南</t>
  </si>
  <si>
    <t>13687908155</t>
  </si>
  <si>
    <t>顺德区</t>
  </si>
  <si>
    <t>广东省佛山市顺德区大良街道新汇路6号</t>
  </si>
  <si>
    <t>20260202113320545357276-1</t>
  </si>
  <si>
    <t>KH00392</t>
  </si>
  <si>
    <t>粤33875美宜佳伦教保利中央公园20栋1601</t>
  </si>
  <si>
    <t>陈生</t>
  </si>
  <si>
    <t>13106701510</t>
  </si>
  <si>
    <t>广东省佛山市顺德区伦教保利中央公园20栋1601</t>
  </si>
  <si>
    <t>20260127131617508082435-1</t>
  </si>
  <si>
    <t>KH00391</t>
  </si>
  <si>
    <t>粤25615美宜佳佛山市顺德区勒流光电工业区店</t>
  </si>
  <si>
    <t>江兴</t>
  </si>
  <si>
    <t>18718817561</t>
  </si>
  <si>
    <t>广东省佛山市顺德区勒流街道光电产业园114号铺</t>
  </si>
  <si>
    <t>20260127191643267676726-1</t>
  </si>
  <si>
    <t>KH00390</t>
  </si>
  <si>
    <t>粤18870美宜佳佛山市顺德乐从汇美店</t>
  </si>
  <si>
    <t>周立波</t>
  </si>
  <si>
    <t>13695202248</t>
  </si>
  <si>
    <t>广东省佛山市顺德区乐从镇北围工业区创兴三路8号汇美实木家具城电房小楼首层1-2仓</t>
  </si>
  <si>
    <t>20260125131127215524104-1</t>
  </si>
  <si>
    <t>KH00389</t>
  </si>
  <si>
    <t>粤18485美宜佳佛山市顺德区容桂街道高黎店</t>
  </si>
  <si>
    <t>张英</t>
  </si>
  <si>
    <t>15258338730</t>
  </si>
  <si>
    <t>广东省佛山市顺德区容桂街道高黎荣安路6号之5号</t>
  </si>
  <si>
    <t>20260127191246860204282-1</t>
  </si>
  <si>
    <t>KH00388</t>
  </si>
  <si>
    <t>粤7745美宜佳佛山市顺德区大良高坎路</t>
  </si>
  <si>
    <t>尹生</t>
  </si>
  <si>
    <t>18942427738</t>
  </si>
  <si>
    <t>广东省佛山市顺德区大良街道东乐路高坎路口美宜佳</t>
  </si>
  <si>
    <t>20260127191953410719050-1</t>
  </si>
  <si>
    <t>KH00387</t>
  </si>
  <si>
    <t>5978美宜佳佛山市顺德区容桂四基店</t>
  </si>
  <si>
    <t>钟巧</t>
  </si>
  <si>
    <t>13590598928</t>
  </si>
  <si>
    <t>广东省佛山市顺德区容桂街道长业路38号铺2-4号</t>
  </si>
  <si>
    <t>20260224163600134484062-1</t>
  </si>
  <si>
    <t>KH00386</t>
  </si>
  <si>
    <t>13279天福广州市黄埔区</t>
  </si>
  <si>
    <t>韦聪发</t>
  </si>
  <si>
    <t>15118580328</t>
  </si>
  <si>
    <t>黄埔区</t>
  </si>
  <si>
    <t>广州市黄埔区科学城光谱中路33号</t>
  </si>
  <si>
    <t>20260228201012679834586-1</t>
  </si>
  <si>
    <t>KH00385</t>
  </si>
  <si>
    <t>M699美宜佳广州市花都区新华街镜湖大道</t>
  </si>
  <si>
    <t>聂方兴</t>
  </si>
  <si>
    <t>18928758089</t>
  </si>
  <si>
    <t>花都区</t>
  </si>
  <si>
    <t>广东省广州市花都区新华街道镜湖路大窝经济社商铺18，19号铺</t>
  </si>
  <si>
    <t>20260129144725945539345-1</t>
  </si>
  <si>
    <t>KH00384</t>
  </si>
  <si>
    <t>15885天福广州增城新塘</t>
  </si>
  <si>
    <t>刘小姐</t>
  </si>
  <si>
    <t>18719385520</t>
  </si>
  <si>
    <t>广州市增城区新塘镇富源路2号</t>
  </si>
  <si>
    <t>20260205204842891189694-1</t>
  </si>
  <si>
    <t>KH00383</t>
  </si>
  <si>
    <t>15826天康广州增城新塘达康</t>
  </si>
  <si>
    <t>张老板</t>
  </si>
  <si>
    <t>15622775036</t>
  </si>
  <si>
    <t>广州市增城区新塘镇达康路3号</t>
  </si>
  <si>
    <t>20260204235528018221383-1</t>
  </si>
  <si>
    <t>KH00382</t>
  </si>
  <si>
    <t>13973天福广东增城新塘荣荔路</t>
  </si>
  <si>
    <t>邵老板</t>
  </si>
  <si>
    <t>13500004064</t>
  </si>
  <si>
    <t>广州市增城区新塘镇大敦村荣荔路29号</t>
  </si>
  <si>
    <t>20260201211659454897203-1</t>
  </si>
  <si>
    <t>KH00381</t>
  </si>
  <si>
    <t>13278天福广州增城新塘</t>
  </si>
  <si>
    <t>石小姐</t>
  </si>
  <si>
    <t>15171480778</t>
  </si>
  <si>
    <t>广州市增城区新塘镇新新大道南13号</t>
  </si>
  <si>
    <t>20260201215555573479302-1</t>
  </si>
  <si>
    <t>KH00380</t>
  </si>
  <si>
    <t>粤25003美宜佳广州增城新塘镇发达岭汇太东路39号</t>
  </si>
  <si>
    <t>张小姐</t>
  </si>
  <si>
    <t>18890200765</t>
  </si>
  <si>
    <t>广州市增城区新塘镇发达岭汇太东路39号</t>
  </si>
  <si>
    <t>20260202153948905937420-1</t>
  </si>
  <si>
    <t>KH00379</t>
  </si>
  <si>
    <t>粤39190美宜佳广州增城新塘</t>
  </si>
  <si>
    <t>陈李兵</t>
  </si>
  <si>
    <t>13144266213</t>
  </si>
  <si>
    <t>广东省广州市增城区新塘镇港口大道北339号</t>
  </si>
  <si>
    <t>20260303191812749834124-1</t>
  </si>
  <si>
    <t>KH00378</t>
  </si>
  <si>
    <t>粤38506美宜佳东莞市洪梅达瑞电子厂</t>
  </si>
  <si>
    <t>李老板</t>
  </si>
  <si>
    <t>13829270166</t>
  </si>
  <si>
    <t>洪梅镇</t>
  </si>
  <si>
    <t>广东省东莞市洪梅镇乌沙村洪金路49号</t>
  </si>
  <si>
    <t>20260204232208039551580-1</t>
  </si>
  <si>
    <t>KH00377</t>
  </si>
  <si>
    <t>粤34478美宜佳广州新塘</t>
  </si>
  <si>
    <t>江先生</t>
  </si>
  <si>
    <t>18659329538</t>
  </si>
  <si>
    <t>广东省广州市增城区新塘镇民营大道西3号</t>
  </si>
  <si>
    <t>20260131135425680036134-1</t>
  </si>
  <si>
    <t>KH00376</t>
  </si>
  <si>
    <t>粤33108美宜佳广州增城区新塘</t>
  </si>
  <si>
    <t>李先生</t>
  </si>
  <si>
    <t>13601085068</t>
  </si>
  <si>
    <t>广东省广州市增城区新塘镇豪泮街一巷3-1</t>
  </si>
  <si>
    <t>20260127184953888644178-1</t>
  </si>
  <si>
    <t>KH00375</t>
  </si>
  <si>
    <t>粤31155美宜佳广州增城新塘官湖</t>
  </si>
  <si>
    <t>蒋先生</t>
  </si>
  <si>
    <t>13902389873</t>
  </si>
  <si>
    <t>广东省广州市增城区新塘镇三角水路10号</t>
  </si>
  <si>
    <t>20260131205121802220952-1</t>
  </si>
  <si>
    <t>KH00374</t>
  </si>
  <si>
    <t>粤30810美宜佳增城区新塘镇大墩</t>
  </si>
  <si>
    <t>魏先生</t>
  </si>
  <si>
    <t>18026420377</t>
  </si>
  <si>
    <t>广东省广州市增城区新塘镇广荔路60号</t>
  </si>
  <si>
    <t>20260131135735397672120-1</t>
  </si>
  <si>
    <t>KH00373</t>
  </si>
  <si>
    <t>粤30773美宜佳增城新塘东坑三横路</t>
  </si>
  <si>
    <t>大眉</t>
  </si>
  <si>
    <t>13760608281</t>
  </si>
  <si>
    <t>广东省广州市增城区新塘镇三横路85号</t>
  </si>
  <si>
    <t>20260302153804739597049-1</t>
  </si>
  <si>
    <t>KH00372</t>
  </si>
  <si>
    <t>粤30375美宜佳增城创新大道永荟商铺</t>
  </si>
  <si>
    <t>谢先生</t>
  </si>
  <si>
    <t>15914080377</t>
  </si>
  <si>
    <t>广东省广州市增城区永宁街道永旺公寓B1-101号</t>
  </si>
  <si>
    <t>20260201211251817818677-1</t>
  </si>
  <si>
    <t>KH00371</t>
  </si>
  <si>
    <t>粤29476新塘美宜佳新塘华兴公寓</t>
  </si>
  <si>
    <t>杨小姐</t>
  </si>
  <si>
    <t>13332863517</t>
  </si>
  <si>
    <t>广东省广州市增城区新塘镇东坑四横路2号</t>
  </si>
  <si>
    <t>20260202215838969924718-1</t>
  </si>
  <si>
    <t>KH00370</t>
  </si>
  <si>
    <t>粤29372美宜佳广州市增城新塘</t>
  </si>
  <si>
    <t>广东省广州市增城区新塘镇东进路7号</t>
  </si>
  <si>
    <t>20260131231611868575784-1</t>
  </si>
  <si>
    <t>KH00369</t>
  </si>
  <si>
    <t>粤26239美宜佳新塘沙埔</t>
  </si>
  <si>
    <t>翁先生</t>
  </si>
  <si>
    <t>13602426476</t>
  </si>
  <si>
    <t>广东省广州市增城区新塘镇沙浦大道巷口村三角铺22号</t>
  </si>
  <si>
    <t>20260127181022350878261-1</t>
  </si>
  <si>
    <t>KH00368</t>
  </si>
  <si>
    <t>粤21061美宜佳增城永宁</t>
  </si>
  <si>
    <t>刘燕</t>
  </si>
  <si>
    <t>13928918931</t>
  </si>
  <si>
    <t>广东省广州市增城区永宁街道岗丰村中心街东12 巷7号</t>
  </si>
  <si>
    <t>20260131225253770515667-1</t>
  </si>
  <si>
    <t>KH00367</t>
  </si>
  <si>
    <t>粤19965美宜佳新塘地王广场</t>
  </si>
  <si>
    <t>梁小姐</t>
  </si>
  <si>
    <t>18027220922</t>
  </si>
  <si>
    <t>广东省广州市增城区新塘镇解放北路115号首层118号铺</t>
  </si>
  <si>
    <t>20260201163453533828973-1</t>
  </si>
  <si>
    <t>KH00366</t>
  </si>
  <si>
    <t>粤14631美宜佳广州增城新庄花园</t>
  </si>
  <si>
    <t>杨店长</t>
  </si>
  <si>
    <t>17665663626</t>
  </si>
  <si>
    <t>广东省广州市增城区新塘镇新新大道南27号农商银行隔壁新庄公寓120-121铺</t>
  </si>
  <si>
    <t>20260131180002539246180-1</t>
  </si>
  <si>
    <t>KH00365</t>
  </si>
  <si>
    <t xml:space="preserve">粤G851美宜佳东莞中堂潢涌银洲路  </t>
  </si>
  <si>
    <t>强老板</t>
  </si>
  <si>
    <t>13537088893</t>
  </si>
  <si>
    <t>中堂镇</t>
  </si>
  <si>
    <t>广东省东莞市中堂镇潢涌村潢涌银州路银州纸业厂正门对面商铺1至2号</t>
  </si>
  <si>
    <t>20260204234038038780790-1</t>
  </si>
  <si>
    <t>KH00364</t>
  </si>
  <si>
    <t>G610美宜佳广州新塘新墩</t>
  </si>
  <si>
    <t>朱老板</t>
  </si>
  <si>
    <t>13147337216</t>
  </si>
  <si>
    <t>广东省广州市增城区新塘镇新墩路178号</t>
  </si>
  <si>
    <t>20260129202901841832865-1</t>
  </si>
  <si>
    <t>KH00363</t>
  </si>
  <si>
    <t>G376美宜佳新塘广深大道东47号</t>
  </si>
  <si>
    <t>小叶</t>
  </si>
  <si>
    <t>15360450015</t>
  </si>
  <si>
    <t>广东省广州市增城区新塘镇广深大道东47号</t>
  </si>
  <si>
    <t>20260128110622158033823-1</t>
  </si>
  <si>
    <t>KH00362</t>
  </si>
  <si>
    <t>粤23483美宜佳广州港口大道北（水电医院）</t>
  </si>
  <si>
    <t>陈老板</t>
  </si>
  <si>
    <t>13711654999</t>
  </si>
  <si>
    <t>广东省广州市增城区新塘镇港口大道294号</t>
  </si>
  <si>
    <t>20260131183655372654442-1</t>
  </si>
  <si>
    <t>KH00361</t>
  </si>
  <si>
    <t>D135美宜佳广州增城新塘白江</t>
  </si>
  <si>
    <t>广东省广州市增城区新塘镇新塘大道西143号</t>
  </si>
  <si>
    <t>20260131203213167629359-1</t>
  </si>
  <si>
    <t>KH00360</t>
  </si>
  <si>
    <t>B011美宜佳广东省广州市新塘白水村</t>
  </si>
  <si>
    <t>容姐</t>
  </si>
  <si>
    <t>13928907576</t>
  </si>
  <si>
    <t>广东省广州市增城区宁西街道白水村榕园路六巷16号一楼商铺</t>
  </si>
  <si>
    <t>20260127142549533468735-1</t>
  </si>
  <si>
    <t>KH00359</t>
  </si>
  <si>
    <t>粤9532美宜佳广州市增城区新塘镇</t>
  </si>
  <si>
    <t>周老板</t>
  </si>
  <si>
    <t>13378456729</t>
  </si>
  <si>
    <t>广东省广州市增城区新塘镇水南大道西5号</t>
  </si>
  <si>
    <t>20260131203659030647419-1</t>
  </si>
  <si>
    <t>KH00358</t>
  </si>
  <si>
    <t>1232美宜佳广州增城新塘新镇</t>
  </si>
  <si>
    <t>唐老板</t>
  </si>
  <si>
    <t>13450288796</t>
  </si>
  <si>
    <t>广东省广州市增城区新塘镇新庄市场旁</t>
  </si>
  <si>
    <t>20260129112444653621791-1</t>
  </si>
  <si>
    <t>KH00357</t>
  </si>
  <si>
    <t>2673合家欢广州增城新塘久裕裕华路</t>
  </si>
  <si>
    <t>13622620132</t>
  </si>
  <si>
    <t>广东省广州市增城区新塘镇俗华路11-16号</t>
  </si>
  <si>
    <t>20260129113009303726329-1</t>
  </si>
  <si>
    <t>KH00356</t>
  </si>
  <si>
    <t>粤36718美宜佳广州市白云区永兴</t>
  </si>
  <si>
    <t>徐茂鑫</t>
  </si>
  <si>
    <t>15920350229</t>
  </si>
  <si>
    <t>白云区</t>
  </si>
  <si>
    <t>广东省广州市白云区龙归街道永兴中路2号</t>
  </si>
  <si>
    <t>20260205090238805795809-1</t>
  </si>
  <si>
    <t>KH00355</t>
  </si>
  <si>
    <t>粤34626美宜佳广州市白云区鹤龙</t>
  </si>
  <si>
    <t>王永高</t>
  </si>
  <si>
    <t>13711061360</t>
  </si>
  <si>
    <t>广东省广州市白云区鹤龙街道鹤南路1号</t>
  </si>
  <si>
    <t>20260129215514930539236-1</t>
  </si>
  <si>
    <t>KH00354</t>
  </si>
  <si>
    <t>粤29579美宜佳广州市白云区石井夏茅</t>
  </si>
  <si>
    <t>林有升</t>
  </si>
  <si>
    <t>17512959886</t>
  </si>
  <si>
    <t>广东省广州市白云区白云湖街道石夏路102号</t>
  </si>
  <si>
    <t>20260128003025121218408-1</t>
  </si>
  <si>
    <t>KH00353</t>
  </si>
  <si>
    <t>粤27619美宜佳广州市白云区嘉禾</t>
  </si>
  <si>
    <t>程取华</t>
  </si>
  <si>
    <t>15399858099</t>
  </si>
  <si>
    <t>广东省广州市白云区嘉禾街道二马路工业区41号C栋106-107号铺</t>
  </si>
  <si>
    <t>20260128003420667753244-1</t>
  </si>
  <si>
    <t>KH00352</t>
  </si>
  <si>
    <t>粤27360美宜佳广州市白云区太和</t>
  </si>
  <si>
    <t>吴华俊</t>
  </si>
  <si>
    <t>13430362580</t>
  </si>
  <si>
    <t>广东省广州市白云区太和镇谢家庄宝生二巷</t>
  </si>
  <si>
    <t>20260128001407516425691-1</t>
  </si>
  <si>
    <t>KH00351</t>
  </si>
  <si>
    <t>粤23755美宜佳广州市白云区同和</t>
  </si>
  <si>
    <t>郑先生</t>
  </si>
  <si>
    <t>18278931880</t>
  </si>
  <si>
    <t>广东省广州市白云区京溪街道犀牛角南门银兴路1号</t>
  </si>
  <si>
    <t>20260129215746649957570-1</t>
  </si>
  <si>
    <t>KH00350</t>
  </si>
  <si>
    <t>粤20966美宜佳广州市白云区大源田新店</t>
  </si>
  <si>
    <t>张先生</t>
  </si>
  <si>
    <t>15359276983</t>
  </si>
  <si>
    <t>广东省广州市白云区大源街道田新路32号</t>
  </si>
  <si>
    <t>20260128002341163224586-1</t>
  </si>
  <si>
    <t>KH00349</t>
  </si>
  <si>
    <t>粤17952美宜佳广州市白云区龙归长红</t>
  </si>
  <si>
    <t>陈泽</t>
  </si>
  <si>
    <t>18148995562</t>
  </si>
  <si>
    <t>广东省广州市白云区嘉禾街道嘉禾长红竹仔园下塘1号铺</t>
  </si>
  <si>
    <t>20260128211619286599894-1</t>
  </si>
  <si>
    <t>KH00348</t>
  </si>
  <si>
    <t>P220美宜佳广州市白云区庆丰路</t>
  </si>
  <si>
    <t>彭志刚</t>
  </si>
  <si>
    <t>18718048192</t>
  </si>
  <si>
    <t>广东省广州市白云区石井街道庆丰路32号</t>
  </si>
  <si>
    <t>20260128002849618084638-1</t>
  </si>
  <si>
    <t>KH00347</t>
  </si>
  <si>
    <t xml:space="preserve">粤14669美宜佳大沥镇南海路(明珠广场) </t>
  </si>
  <si>
    <t>余机德</t>
  </si>
  <si>
    <t>17710671709</t>
  </si>
  <si>
    <t xml:space="preserve">广东省佛山市南海区大沥镇南海路(明珠广场) </t>
  </si>
  <si>
    <t>20260206090108900520673-1</t>
  </si>
  <si>
    <t>KH00346</t>
  </si>
  <si>
    <t>粤21051美宜佳佛山市南海区大沥黄岐</t>
  </si>
  <si>
    <t>阿峰</t>
  </si>
  <si>
    <t>13128223152</t>
  </si>
  <si>
    <t>广东省佛山市南海区大沥镇明珠广场2座30B号铺</t>
  </si>
  <si>
    <t>20260129201631040594220-1</t>
  </si>
  <si>
    <t>KH00345</t>
  </si>
  <si>
    <t>粤18490美宜佳佛山市南海区和顺白岗东</t>
  </si>
  <si>
    <t>叶俊荣</t>
  </si>
  <si>
    <t>13542428741</t>
  </si>
  <si>
    <t>广东省佛山市南海区里水镇白岗路东段55-1号商铺</t>
  </si>
  <si>
    <t>20260129202655777615412-1</t>
  </si>
  <si>
    <t>KH00344</t>
  </si>
  <si>
    <t>粤17461美宜佳南海区大沥镇南海明珠广场富景店</t>
  </si>
  <si>
    <t>梁美直</t>
  </si>
  <si>
    <t>15277667198</t>
  </si>
  <si>
    <t>广东省佛山市南海区大沥镇南海路明珠广场63铺</t>
  </si>
  <si>
    <t>20260127192002908550239-1</t>
  </si>
  <si>
    <t>KH00343</t>
  </si>
  <si>
    <t>粤10291美宜佳佛山市南海区大沥镇</t>
  </si>
  <si>
    <t>蔡老板</t>
  </si>
  <si>
    <t>13560024295</t>
  </si>
  <si>
    <t>广东省佛山市南海区大沥镇大沥钟边牌坊工业区商业楼首层</t>
  </si>
  <si>
    <t>20260129203035671074210-1</t>
  </si>
  <si>
    <t>KH00342</t>
  </si>
  <si>
    <t>粤35650美宜佳佛山市三水区时代城1期</t>
  </si>
  <si>
    <t>冯伟祥</t>
  </si>
  <si>
    <t>15015550761</t>
  </si>
  <si>
    <t>三水区</t>
  </si>
  <si>
    <t>广东省佛山市三水区西南街道时代南湾一期123-23铺</t>
  </si>
  <si>
    <t>20260130202417984537422-1</t>
  </si>
  <si>
    <t>KH00341</t>
  </si>
  <si>
    <t>粤33008美宜佳佛山市南海区狮山镇</t>
  </si>
  <si>
    <t>小美</t>
  </si>
  <si>
    <t>15816920215</t>
  </si>
  <si>
    <t>广东省佛山市南海区狮山镇湖阳路1号首创禧瑞花园15座02铺</t>
  </si>
  <si>
    <t>20260128133411788368349-1</t>
  </si>
  <si>
    <t>KH00340</t>
  </si>
  <si>
    <t>粤31666美宜佳佛山市三水区恒大</t>
  </si>
  <si>
    <t>黄欢</t>
  </si>
  <si>
    <t>18200105260</t>
  </si>
  <si>
    <t>广东省佛山市三水区西南街道锦江路23号铂瑞府2座109铺-110铺</t>
  </si>
  <si>
    <t>20260130202151159639381-1</t>
  </si>
  <si>
    <t>KH00339</t>
  </si>
  <si>
    <t>粤28668美宜佳佛山市南海区三水西南常乐府</t>
  </si>
  <si>
    <t>刘静</t>
  </si>
  <si>
    <t>15976662831</t>
  </si>
  <si>
    <t>广东省佛山市三水区西南街道建设大道常乐府商铺4座101号</t>
  </si>
  <si>
    <t>20260128133103670076424-1</t>
  </si>
  <si>
    <t>KH00338</t>
  </si>
  <si>
    <t>粤19889美宜佳佛山市南海区丹灶金沙</t>
  </si>
  <si>
    <t>唐姐</t>
  </si>
  <si>
    <t>13534074915</t>
  </si>
  <si>
    <t>广东省佛山市南海区丹灶镇沙边联沙大道74号</t>
  </si>
  <si>
    <t>20260128133724555737388-1</t>
  </si>
  <si>
    <t>KH00337</t>
  </si>
  <si>
    <t>30788（AB）广东佛山禅城卓越浅水湾美宜佳</t>
  </si>
  <si>
    <t>龙哥</t>
  </si>
  <si>
    <t>19936036329</t>
  </si>
  <si>
    <t>禅城区</t>
  </si>
  <si>
    <t>广东省佛山市禅城区石湾镇街道魁奇二路32号首层20号</t>
  </si>
  <si>
    <t>20260128225904307592581-1</t>
  </si>
  <si>
    <t>KH00336</t>
  </si>
  <si>
    <t>26210美宜佳广州市番禺区大石伊川大厦店</t>
  </si>
  <si>
    <t>徐小姐</t>
  </si>
  <si>
    <t>13510796334</t>
  </si>
  <si>
    <t>广东省广州市番禺区大石街道富山路78号</t>
  </si>
  <si>
    <t>20260128121951316580319-1</t>
  </si>
  <si>
    <t>KH00335</t>
  </si>
  <si>
    <t>26128美宜佳广州番禺大龙街清河</t>
  </si>
  <si>
    <t>潘林娇</t>
  </si>
  <si>
    <t>13590416446</t>
  </si>
  <si>
    <t>广东省广州市番禺区大龙街道石岗东村振兴南路8号1195</t>
  </si>
  <si>
    <t>20260128103159358767011-1</t>
  </si>
  <si>
    <t>KH00334</t>
  </si>
  <si>
    <t>粤26063美宜佳广州番禺区大石街道冼村工业西路1号</t>
  </si>
  <si>
    <t>13380050095</t>
  </si>
  <si>
    <t>广东省广州市番禺区大石街道冼村工业西路1号</t>
  </si>
  <si>
    <t>20260130124706316888534-1</t>
  </si>
  <si>
    <t>KH00333</t>
  </si>
  <si>
    <t>粤32635美宜佳广州市黄埔</t>
  </si>
  <si>
    <t>董老板</t>
  </si>
  <si>
    <t>13424048329</t>
  </si>
  <si>
    <t>广东省广州市黄埔区云埔街道岭竹路754号</t>
  </si>
  <si>
    <t>20260131161449500075000-1</t>
  </si>
  <si>
    <t>KH00332</t>
  </si>
  <si>
    <t>粤3926美宜佳广州市黄埔区</t>
  </si>
  <si>
    <t>13625920605</t>
  </si>
  <si>
    <t>广东省广州市黄埔区南岗街道南岗朝阳楼2座C梯首层C103</t>
  </si>
  <si>
    <t>20260131161324254857274-1</t>
  </si>
  <si>
    <t>KH00331</t>
  </si>
  <si>
    <t>粤36426美宜佳深圳沙井展程路</t>
  </si>
  <si>
    <t>邓老板</t>
  </si>
  <si>
    <t>18925205457</t>
  </si>
  <si>
    <t>广东省深圳市宝安区沙井街道新城华苑04-01二期2栋商业1层144号铺</t>
  </si>
  <si>
    <t>20260202200213178010615-1</t>
  </si>
  <si>
    <t>KH00330</t>
  </si>
  <si>
    <t>粤36258美宜佳深圳福永大洋路</t>
  </si>
  <si>
    <t>13876683937</t>
  </si>
  <si>
    <t>广东省深圳市宝安区福海街道大洋路236-240号</t>
  </si>
  <si>
    <t>20260128201427585391953-1</t>
  </si>
  <si>
    <t>KH00329</t>
  </si>
  <si>
    <t>美宜佳粤33413宝安区福海街道重庆路12大族激光厂内</t>
  </si>
  <si>
    <t>袁老板</t>
  </si>
  <si>
    <t>13827233227</t>
  </si>
  <si>
    <t>广东省深圳市宝安区福海街道重庆路12大族激光厂内</t>
  </si>
  <si>
    <t>20260202201517061738143-1</t>
  </si>
  <si>
    <t>KH00328</t>
  </si>
  <si>
    <t>粤33110美宜佳福永塘尾</t>
  </si>
  <si>
    <t>19820851837</t>
  </si>
  <si>
    <t>广东省深圳市宝安区福海街道凤塘大道155号</t>
  </si>
  <si>
    <t>20260128215807965485665-1</t>
  </si>
  <si>
    <t>KH00327</t>
  </si>
  <si>
    <t>粤27562广东深圳宝安稔田社区美宜佳</t>
  </si>
  <si>
    <t>13302913761</t>
  </si>
  <si>
    <t>广东省深圳市宝安区福海街道广东省深圳市宝安区福海街道稔田社区新区81号新区85号</t>
  </si>
  <si>
    <t>20260127133332781697522-1</t>
  </si>
  <si>
    <t>KH00326</t>
  </si>
  <si>
    <t>粤27463美宜佳深圳沙井大王山</t>
  </si>
  <si>
    <t>18529066334</t>
  </si>
  <si>
    <t>广东省深圳市宝安区沙井街道大王山社区大王山第三工业区南国春天106</t>
  </si>
  <si>
    <t>20260301111327771929570-1</t>
  </si>
  <si>
    <t>KH00325</t>
  </si>
  <si>
    <t>V01262美宜佳深圳福永大洋田</t>
  </si>
  <si>
    <t>老板娘</t>
  </si>
  <si>
    <t>18476850005</t>
  </si>
  <si>
    <t>广东省深圳市宝安区福海街道稔田社区大洋路134号凤城一期大洋路166</t>
  </si>
  <si>
    <t>20260201134615280570293-1</t>
  </si>
  <si>
    <t>KH00324</t>
  </si>
  <si>
    <t>粤26349美宜佳深圳沙井</t>
  </si>
  <si>
    <t>林老板</t>
  </si>
  <si>
    <t>13232737035</t>
  </si>
  <si>
    <t>广东省深圳市宝安区沙井街道沙松路衙边学子围工业园4栋宿舍12号</t>
  </si>
  <si>
    <t>20260129194615158725115-1</t>
  </si>
  <si>
    <t>KH00323</t>
  </si>
  <si>
    <t>粤23995美宜佳深圳福永天福路</t>
  </si>
  <si>
    <t>15338714682</t>
  </si>
  <si>
    <t>广东省深圳市宝安区福永街道天福路58号</t>
  </si>
  <si>
    <t>20260131115819234864770-1</t>
  </si>
  <si>
    <t>KH00322</t>
  </si>
  <si>
    <t>粤23422美宜佳深圳沙井南环路</t>
  </si>
  <si>
    <t>13500063992</t>
  </si>
  <si>
    <t>广东省深圳市宝安区沙井街道大王山社区南环路381号B3栋一层A</t>
  </si>
  <si>
    <t>20260201134159620766044-1</t>
  </si>
  <si>
    <t>KH00321</t>
  </si>
  <si>
    <t>粤21826美宜佳深圳沙井</t>
  </si>
  <si>
    <t>凌老板</t>
  </si>
  <si>
    <t>15002056877</t>
  </si>
  <si>
    <t>广东省深圳市宝安区沙井街道恒明珠工业园14栋101号</t>
  </si>
  <si>
    <t>20260127135157792313153-1</t>
  </si>
  <si>
    <t>KH00320</t>
  </si>
  <si>
    <t>粤20145美宜佳深圳沙井大兴路</t>
  </si>
  <si>
    <t>15914150800</t>
  </si>
  <si>
    <t>广东省深圳市宝安区沙井街道共和社区大兴二路坤鹏公馆1、2号铺</t>
  </si>
  <si>
    <t>20260128203141628799140-1</t>
  </si>
  <si>
    <t>KH00319</t>
  </si>
  <si>
    <t>粤19250美宜佳深圳沙井</t>
  </si>
  <si>
    <t>吴老板</t>
  </si>
  <si>
    <t>15986707708</t>
  </si>
  <si>
    <t>广东省深圳市宝安区新桥街道万丰中心路22号-70号</t>
  </si>
  <si>
    <t>20260129194249272886044-1</t>
  </si>
  <si>
    <t>KH00318</t>
  </si>
  <si>
    <t>粤18995美宜佳深圳松岗</t>
  </si>
  <si>
    <t>刘老板</t>
  </si>
  <si>
    <t>13528817304</t>
  </si>
  <si>
    <t>广东省深圳市宝安区松岗街道松岗大道1号明伟产业园南区宿舍1栋1楼</t>
  </si>
  <si>
    <t>20260201204945269026164-1</t>
  </si>
  <si>
    <t>KH00317</t>
  </si>
  <si>
    <t>粤18276美宜佳深圳沙井步涌</t>
  </si>
  <si>
    <t>广东省深圳市宝安区沙井街道步涌东埔路1号</t>
  </si>
  <si>
    <t>20260127132611044200339-1</t>
  </si>
  <si>
    <t>KH00316</t>
  </si>
  <si>
    <t>粤17708美宜佳深圳沙井后亭</t>
  </si>
  <si>
    <t>15016905397</t>
  </si>
  <si>
    <t>广东省深圳市宝安区沙井街道后亭社区北亭路76号</t>
  </si>
  <si>
    <t>20260128203301581270937-1</t>
  </si>
  <si>
    <t>KH00315</t>
  </si>
  <si>
    <t>粤15732美宜佳深圳市福永街道</t>
  </si>
  <si>
    <t>13728682128</t>
  </si>
  <si>
    <t>广东省深圳市宝安区福永街道集创码头文化实业有限公司</t>
  </si>
  <si>
    <t>20260127135846431791315-1</t>
  </si>
  <si>
    <t>KH00314</t>
  </si>
  <si>
    <t>美宜佳粤10779深圳光明马田街道</t>
  </si>
  <si>
    <t>黄老板</t>
  </si>
  <si>
    <t>13560729488</t>
  </si>
  <si>
    <t>光明区</t>
  </si>
  <si>
    <t>广东省深圳市光明区马田街道马田路25-2号</t>
  </si>
  <si>
    <t>20260129204154147580305-1</t>
  </si>
  <si>
    <t>KH00313</t>
  </si>
  <si>
    <t>粤10679美宜佳深圳沙井大王山工业一路</t>
  </si>
  <si>
    <t>江老板</t>
  </si>
  <si>
    <t>19926812532</t>
  </si>
  <si>
    <t>广东省深圳市宝安区沙井街道大王山社区第二工业区一路20号</t>
  </si>
  <si>
    <t>20260128140040239828774-1</t>
  </si>
  <si>
    <t>KH00312</t>
  </si>
  <si>
    <t>P012美宜佳深圳沙井步涌二路</t>
  </si>
  <si>
    <t>13643094249</t>
  </si>
  <si>
    <t>广东省深圳市宝安区沙井街道步涌二路27号</t>
  </si>
  <si>
    <t>20260202195407724831438-1</t>
  </si>
  <si>
    <t>KH00311</t>
  </si>
  <si>
    <t>M865美宜佳深圳沙井大王山西环路</t>
  </si>
  <si>
    <t>13316531996</t>
  </si>
  <si>
    <t>广东省深圳市宝安区沙井街道西环路大王山腾芳花园一层1号铺</t>
  </si>
  <si>
    <t>20260129194011281147414-1</t>
  </si>
  <si>
    <t>KH00310</t>
  </si>
  <si>
    <t>E451美宜佳深圳沙井沙一围仔新村</t>
  </si>
  <si>
    <t>18600206287</t>
  </si>
  <si>
    <t>广东省深圳市宝安区沙井街道沙井围仔新村2巷18号铺</t>
  </si>
  <si>
    <t>20260129193646330551834-1</t>
  </si>
  <si>
    <t>KH00309</t>
  </si>
  <si>
    <t>D350美宜佳深圳沙井安山二路</t>
  </si>
  <si>
    <t>13612809941</t>
  </si>
  <si>
    <t>广东省深圳市宝安区沙井街道马安山北区121号</t>
  </si>
  <si>
    <t>20260127133743113682310-1</t>
  </si>
  <si>
    <t>KH00308</t>
  </si>
  <si>
    <t>A862美宜佳深圳沙井共和园和路</t>
  </si>
  <si>
    <t>13378650289</t>
  </si>
  <si>
    <t>广东省深圳市宝安区沙井街道沙井共和花园19号铺</t>
  </si>
  <si>
    <t>20260201133029005502101-1</t>
  </si>
  <si>
    <t>KH00307</t>
  </si>
  <si>
    <t>粤9761美宜佳深圳福永桥荣路</t>
  </si>
  <si>
    <t>余老板</t>
  </si>
  <si>
    <t>13590119035</t>
  </si>
  <si>
    <t>广东省深圳市宝安区福海街道桥荣路106号</t>
  </si>
  <si>
    <t>20260201205529607453164-1</t>
  </si>
  <si>
    <t>KH00306</t>
  </si>
  <si>
    <t>粤8881美宜佳深圳沙井（西环路）</t>
  </si>
  <si>
    <t>18002539058</t>
  </si>
  <si>
    <t>广东省深圳市宝安区沙井街道沙井西环路2121-2</t>
  </si>
  <si>
    <t>20260302135955903113489-1</t>
  </si>
  <si>
    <t>KH00305</t>
  </si>
  <si>
    <t>粤6942美宜佳深圳福永怀德</t>
  </si>
  <si>
    <t>戴老板</t>
  </si>
  <si>
    <t>18688740109</t>
  </si>
  <si>
    <t>广东省深圳市宝安区福永街道怀德咸田一区一巷9号铺</t>
  </si>
  <si>
    <t>20260128201807046982965-1</t>
  </si>
  <si>
    <t>KH00304</t>
  </si>
  <si>
    <t>粤1190美宜佳深圳福永德芳路</t>
  </si>
  <si>
    <t>18898409638</t>
  </si>
  <si>
    <t>广东省深圳市宝安区福永街道怀德芳华路</t>
  </si>
  <si>
    <t>20260128202123519878479-1</t>
  </si>
  <si>
    <t>KH00303</t>
  </si>
  <si>
    <t>粤36859店美宜佳惠州市惠城区</t>
  </si>
  <si>
    <t>张强辉</t>
  </si>
  <si>
    <t>15014287977</t>
  </si>
  <si>
    <t>惠州市</t>
  </si>
  <si>
    <t>惠城区</t>
  </si>
  <si>
    <t>广东省惠州市惠城区水口街道鹿岗村委会盐田李屋村惠泽大道路边1029号</t>
  </si>
  <si>
    <t>20260125173505630401514-1</t>
  </si>
  <si>
    <t>KH00302</t>
  </si>
  <si>
    <t>粤36035店美宜佳惠州市惠城区</t>
  </si>
  <si>
    <t>广东省惠州市惠城区水口街道华阳工业区B区2号门 对面</t>
  </si>
  <si>
    <t>20260125130126740795376-1</t>
  </si>
  <si>
    <t>KH00301</t>
  </si>
  <si>
    <t>38746（AB）广东东莞塘厦沙湖公园美宜佳</t>
  </si>
  <si>
    <t>蒋青</t>
  </si>
  <si>
    <t>18825988873</t>
  </si>
  <si>
    <t>塘厦镇</t>
  </si>
  <si>
    <t>广东省东莞市塘厦镇沙湖社区松山路18号</t>
  </si>
  <si>
    <t>20260123163338716082652-1</t>
  </si>
  <si>
    <t>KH00300</t>
  </si>
  <si>
    <t>35618美宜佳东莞凤岗镇黄洞</t>
  </si>
  <si>
    <t>15016880407</t>
  </si>
  <si>
    <t>凤岗镇</t>
  </si>
  <si>
    <t>广东省东莞市凤岗镇黄洞村玉泉路72号</t>
  </si>
  <si>
    <t>20260131112610623623421-1</t>
  </si>
  <si>
    <t>KH00299</t>
  </si>
  <si>
    <t>33218美宜佳东莞塘厦镇</t>
  </si>
  <si>
    <t>胡琴</t>
  </si>
  <si>
    <t>15870780800</t>
  </si>
  <si>
    <t>广东省东莞市塘厦镇凤凰岗社区塘厦大道南143号101</t>
  </si>
  <si>
    <t>20260126073908047348320-1</t>
  </si>
  <si>
    <t>KH00298</t>
  </si>
  <si>
    <t>32243美宜佳东莞塘厦镇</t>
  </si>
  <si>
    <t>李绪</t>
  </si>
  <si>
    <t>15354538047</t>
  </si>
  <si>
    <t>广东省东莞市塘厦镇田心社区鹿苑路80号104室</t>
  </si>
  <si>
    <t>20260124080551269764747-1</t>
  </si>
  <si>
    <t>KH00297</t>
  </si>
  <si>
    <t>粤29020美宜佳东莞塘厦镇</t>
  </si>
  <si>
    <t>周银</t>
  </si>
  <si>
    <t>13647213625</t>
  </si>
  <si>
    <t>广东省东莞市塘厦镇诸佛岭社区诸佛岭新村街北十巷1号105室</t>
  </si>
  <si>
    <t>20260205102005473421559-1</t>
  </si>
  <si>
    <t>KH00296</t>
  </si>
  <si>
    <t>粤26599美宜佳东莞市塘厦镇</t>
  </si>
  <si>
    <t>谢建兵</t>
  </si>
  <si>
    <t>13046274310</t>
  </si>
  <si>
    <t>广东省东莞市塘厦镇莲湖社区莲湖南路90号102</t>
  </si>
  <si>
    <t>20260205140649946770079-2</t>
  </si>
  <si>
    <t>KH00295</t>
  </si>
  <si>
    <t>22685(AB)广东东莞塘厦新阳南路美宜佳</t>
  </si>
  <si>
    <t>文波</t>
  </si>
  <si>
    <t>13758809197</t>
  </si>
  <si>
    <t>广东省东莞市塘厦镇林村社区新阳路32号101</t>
  </si>
  <si>
    <t>20260122092822570398612-1</t>
  </si>
  <si>
    <t>KH00294</t>
  </si>
  <si>
    <t>10242美宜佳东莞凤岗镇广源物流</t>
  </si>
  <si>
    <t>李水</t>
  </si>
  <si>
    <t>13538365532</t>
  </si>
  <si>
    <t>广东省东莞市凤岗镇塘沥村广源物流城1号铺</t>
  </si>
  <si>
    <t>20260127080235542790748-1</t>
  </si>
  <si>
    <t>KH00293</t>
  </si>
  <si>
    <t>8401美宜佳东莞塘厦沙湖广场</t>
  </si>
  <si>
    <t>颜学</t>
  </si>
  <si>
    <t>13757038254</t>
  </si>
  <si>
    <t>广东省东莞市塘厦镇沙湖社区沙湖地巷25号</t>
  </si>
  <si>
    <t>20260124081001859898170-1</t>
  </si>
  <si>
    <t>KH00292</t>
  </si>
  <si>
    <t>1678美宜佳东莞凤岗镇</t>
  </si>
  <si>
    <t>陈欢福</t>
  </si>
  <si>
    <t>13712011550</t>
  </si>
  <si>
    <t>广东省东莞市凤岗镇天堂围村天堂围村聚富豪园一楼</t>
  </si>
  <si>
    <t>20260127173734785377204-1</t>
  </si>
  <si>
    <t>KH00291</t>
  </si>
  <si>
    <t>0725美宜佳东莞市塘厦镇</t>
  </si>
  <si>
    <t>18598823110</t>
  </si>
  <si>
    <t>广东省东莞市塘厦镇诸佛岭社区大岭古新村大街北33号地下铺</t>
  </si>
  <si>
    <t>20260205125315816067591-1</t>
  </si>
  <si>
    <t>KH00290</t>
  </si>
  <si>
    <t>粤37545美宜佳东莞市寮步镇</t>
  </si>
  <si>
    <t>金老板</t>
  </si>
  <si>
    <t>13380394579</t>
  </si>
  <si>
    <t>寮步镇</t>
  </si>
  <si>
    <t>广东省东莞市寮步镇横坑社区横塘路35号</t>
  </si>
  <si>
    <t>20260128131112708899017-1</t>
  </si>
  <si>
    <t>KH00289</t>
  </si>
  <si>
    <t>粤23626美宜佳东莞市东城区温塘</t>
  </si>
  <si>
    <t>肖老板</t>
  </si>
  <si>
    <t>13807950745</t>
  </si>
  <si>
    <t>东城街道</t>
  </si>
  <si>
    <t>广东省东莞市东城街道温塘社区广场路186号</t>
  </si>
  <si>
    <t>20260126195659398746226-1</t>
  </si>
  <si>
    <t>KH00288</t>
  </si>
  <si>
    <t>粤23128美宜佳东莞市寮步镇</t>
  </si>
  <si>
    <t>叶老板</t>
  </si>
  <si>
    <t>18002690252</t>
  </si>
  <si>
    <t>广东省东莞市寮步镇竹园村竹园村创新一路32号101</t>
  </si>
  <si>
    <t>20260126115134619315690-1</t>
  </si>
  <si>
    <t>KH00287</t>
  </si>
  <si>
    <t>粤20258美宜佳东莞市寮步镇</t>
  </si>
  <si>
    <t>18024653001</t>
  </si>
  <si>
    <t>广东省东莞市寮步镇上屯村上屯村康业街一号</t>
  </si>
  <si>
    <t>20260127184331227206685-1</t>
  </si>
  <si>
    <t>KH00286</t>
  </si>
  <si>
    <t>16832美宜佳东莞市东城街道同沙</t>
  </si>
  <si>
    <t>13546915203</t>
  </si>
  <si>
    <t>广东省东莞市东城街道同沙社区广汇工业区7号楼13号铺</t>
  </si>
  <si>
    <t>20260130153659051244082-1</t>
  </si>
  <si>
    <t>KH00285</t>
  </si>
  <si>
    <t>粤14216美宜佳东莞万江茶叶市场</t>
  </si>
  <si>
    <t>13450038906</t>
  </si>
  <si>
    <t>万江街道</t>
  </si>
  <si>
    <t>广东省东莞市万江街道石美社区治安综合大楼铺8号</t>
  </si>
  <si>
    <t>20260124131044743958289-1</t>
  </si>
  <si>
    <t>KH00284</t>
  </si>
  <si>
    <t>粤G866美宜佳东莞市万江区</t>
  </si>
  <si>
    <t>赖老板</t>
  </si>
  <si>
    <t>18002680979</t>
  </si>
  <si>
    <t>广东省东莞市万江街道万江社区华宇大厦10号铺</t>
  </si>
  <si>
    <t>20260202091343054244877-1</t>
  </si>
  <si>
    <t>KH00283</t>
  </si>
  <si>
    <t>3836美宜佳东莞市寮步镇下岭贝聚福街67号</t>
  </si>
  <si>
    <t>13669500319</t>
  </si>
  <si>
    <t>广东省东莞市寮步镇下岭贝村下岭贝村聚福街73号</t>
  </si>
  <si>
    <t>20260203144555766080092-1</t>
  </si>
  <si>
    <t>KH00282</t>
  </si>
  <si>
    <t>粤39706美宜佳东莞市寮步镇石大路寮步段店</t>
  </si>
  <si>
    <t>盛非</t>
  </si>
  <si>
    <t>13729951385</t>
  </si>
  <si>
    <t>广东省东莞市寮步镇石步村石大路寮步段199号4栋</t>
  </si>
  <si>
    <t>20260126164015067516536-1</t>
  </si>
  <si>
    <t>KH00281</t>
  </si>
  <si>
    <t>粤38001美宜佳东莞市寮步镇东方商业街c区店</t>
  </si>
  <si>
    <t>黄远浪</t>
  </si>
  <si>
    <t>18100272883</t>
  </si>
  <si>
    <t>广东省东莞市寮步镇寮步社区东方商业街c区</t>
  </si>
  <si>
    <t>20260129160616202494436-1</t>
  </si>
  <si>
    <t>KH00280</t>
  </si>
  <si>
    <t>35388美宜佳东莞市寮步镇坑口兴民路11号店</t>
  </si>
  <si>
    <t>陈长忠</t>
  </si>
  <si>
    <t>15119325530</t>
  </si>
  <si>
    <t>广东省东莞市寮步镇坑口社区兴民路11号</t>
  </si>
  <si>
    <t>20260126164201437112797-1</t>
  </si>
  <si>
    <t>KH00279</t>
  </si>
  <si>
    <t>粤32928美宜佳东莞市寮步镇</t>
  </si>
  <si>
    <t>张秋林</t>
  </si>
  <si>
    <t>13790139906</t>
  </si>
  <si>
    <t>广东省东莞市寮步镇西溪村金兴路438号</t>
  </si>
  <si>
    <t>20260130090233506384495-1</t>
  </si>
  <si>
    <t>KH00278</t>
  </si>
  <si>
    <t>粤29228美宜佳东莞市寮步镇</t>
  </si>
  <si>
    <t>陈洪毅</t>
  </si>
  <si>
    <t>15219171521</t>
  </si>
  <si>
    <t>广东省东莞市寮步镇石龙坑村金龙街149号</t>
  </si>
  <si>
    <t>20260126164356816473334-1</t>
  </si>
  <si>
    <t>KH00277</t>
  </si>
  <si>
    <t>粤29028美宜佳东莞市寮步镇</t>
  </si>
  <si>
    <t>巫生贵</t>
  </si>
  <si>
    <t>广东省东莞市寮步镇泉塘社区龙泉路302号-101</t>
  </si>
  <si>
    <t>20260126164505031463828-1</t>
  </si>
  <si>
    <t>KH00276</t>
  </si>
  <si>
    <t>粤28490美宜佳东莞市寮步镇</t>
  </si>
  <si>
    <t>艾小春</t>
  </si>
  <si>
    <t>13751248244</t>
  </si>
  <si>
    <t>广东省东莞市寮步镇富竹山村紫荆路23号</t>
  </si>
  <si>
    <t>20260130140202867293508-1</t>
  </si>
  <si>
    <t>KH00275</t>
  </si>
  <si>
    <t>粤25608美宜佳东莞市寮步镇</t>
  </si>
  <si>
    <t>任小改</t>
  </si>
  <si>
    <t>13592101830</t>
  </si>
  <si>
    <t>广东省东莞市寮步镇西溪村金兴路330号101室</t>
  </si>
  <si>
    <t>20260202143246659324726-1</t>
  </si>
  <si>
    <t>KH00274</t>
  </si>
  <si>
    <t>粤24983美宜佳东莞市寮步镇</t>
  </si>
  <si>
    <t>杨旭浩</t>
  </si>
  <si>
    <t>13712020113</t>
  </si>
  <si>
    <t>广东省东莞市寮步镇寮步社区大坣街107号</t>
  </si>
  <si>
    <t>20260128174630004134855-1</t>
  </si>
  <si>
    <t>KH00273</t>
  </si>
  <si>
    <t>粤23333美宜佳东莞市寮步镇</t>
  </si>
  <si>
    <t>陈长远</t>
  </si>
  <si>
    <t>13669831185</t>
  </si>
  <si>
    <t>广东省东莞市寮步镇泉塘社区坑口荔兴二街2号</t>
  </si>
  <si>
    <t>20260126164717704555960-1</t>
  </si>
  <si>
    <t>KH00272</t>
  </si>
  <si>
    <t>粤22033美宜佳东莞市寮步镇</t>
  </si>
  <si>
    <t>张顺利</t>
  </si>
  <si>
    <t>13412682614</t>
  </si>
  <si>
    <t>广东省东莞市寮步镇凫山村凫山村长明街19号101号铺</t>
  </si>
  <si>
    <t>20260126164559944100538-1</t>
  </si>
  <si>
    <t>KH00271</t>
  </si>
  <si>
    <t>21050美宜佳东莞市寮步镇香市路112号</t>
  </si>
  <si>
    <t>杨海波</t>
  </si>
  <si>
    <t>13556793011</t>
  </si>
  <si>
    <t>广东省东莞市寮步镇寮步社区香市路112号商铺</t>
  </si>
  <si>
    <t>20260128162336201709478-1</t>
  </si>
  <si>
    <t>KH00270</t>
  </si>
  <si>
    <t>粤16666美宜佳东莞市寮步镇</t>
  </si>
  <si>
    <t>江精富</t>
  </si>
  <si>
    <t>18128548336</t>
  </si>
  <si>
    <t>广东省东莞市寮步镇石龙坑村石龙坑岗头村荔园路161号</t>
  </si>
  <si>
    <t>20260126164302826218463-1</t>
  </si>
  <si>
    <t>KH00269</t>
  </si>
  <si>
    <t>粤15000美宜佳东莞市东坑镇</t>
  </si>
  <si>
    <t>王兴克</t>
  </si>
  <si>
    <t>15015170416</t>
  </si>
  <si>
    <t>东坑镇</t>
  </si>
  <si>
    <t>广东省东莞市东坑镇初坑村东坑大道南289号</t>
  </si>
  <si>
    <t>20260210144945627896625-1</t>
  </si>
  <si>
    <t>KH00268</t>
  </si>
  <si>
    <t>粤4912美宜佳东莞市寮步镇</t>
  </si>
  <si>
    <t>彭艳</t>
  </si>
  <si>
    <t>13712655215</t>
  </si>
  <si>
    <t>广东省东莞市寮步镇富竹山村金富路8号金富皇商业城内B座一层1001号商铺</t>
  </si>
  <si>
    <t>20260204093357089995420-1</t>
  </si>
  <si>
    <t>KH00267</t>
  </si>
  <si>
    <t>粤1993美宜佳东莞市寮步镇</t>
  </si>
  <si>
    <t>许丽</t>
  </si>
  <si>
    <t>13777576971</t>
  </si>
  <si>
    <t>广东省东莞市寮步镇寮步社区兴隆新街</t>
  </si>
  <si>
    <t>20260201201016663814999-1</t>
  </si>
  <si>
    <t>KH00266</t>
  </si>
  <si>
    <t>2220合家欢东莞市寮步镇</t>
  </si>
  <si>
    <t>常大杰</t>
  </si>
  <si>
    <t>13215274399</t>
  </si>
  <si>
    <t>广东省东莞市寮步镇寮东路</t>
  </si>
  <si>
    <t>20260124155748869165270-1</t>
  </si>
  <si>
    <t>KH00265</t>
  </si>
  <si>
    <t>粤38136美宜佳东莞市长安镇梅园路首铸华庭店</t>
  </si>
  <si>
    <t>赖煌荣</t>
  </si>
  <si>
    <t>15362038188</t>
  </si>
  <si>
    <t>长安镇</t>
  </si>
  <si>
    <t>广东省东莞市长安镇新安社区新安梅园路1号9栋110</t>
  </si>
  <si>
    <t>20260206182236118057829-1</t>
  </si>
  <si>
    <t>KH00264</t>
  </si>
  <si>
    <t>美宜佳37990东莞市长安镇靖海东路环保滨海湾</t>
  </si>
  <si>
    <t>李冬丽</t>
  </si>
  <si>
    <t>13532345393</t>
  </si>
  <si>
    <t>广东省东莞市长安镇沙头社区靖海东路166号</t>
  </si>
  <si>
    <t>20260128163832475775831-1</t>
  </si>
  <si>
    <t>KH00263</t>
  </si>
  <si>
    <t>4010美宜佳东莞市长安镇增田聚源公寓</t>
  </si>
  <si>
    <t>谢建锋</t>
  </si>
  <si>
    <t>15728125565</t>
  </si>
  <si>
    <t>广东省东莞市长安镇新安社区增田村横增路383号A8、A9</t>
  </si>
  <si>
    <t>20260204143843171581459-1</t>
  </si>
  <si>
    <t>KH00262</t>
  </si>
  <si>
    <t>粤39432美宜佳东莞市高埗镇</t>
  </si>
  <si>
    <t>13509218065</t>
  </si>
  <si>
    <t>高埗镇</t>
  </si>
  <si>
    <t>广东省东莞市高埗镇高埗村振兴东七横路45号102</t>
  </si>
  <si>
    <t>20260130203718710097050-1</t>
  </si>
  <si>
    <t>KH00261</t>
  </si>
  <si>
    <t>粤39401美宜佳惠州市石湾镇</t>
  </si>
  <si>
    <t>13480561052</t>
  </si>
  <si>
    <t>博罗县</t>
  </si>
  <si>
    <t>广东省惠州市博罗县石湾镇建设西路106</t>
  </si>
  <si>
    <t>20260130202049222090737-1</t>
  </si>
  <si>
    <t>KH00260</t>
  </si>
  <si>
    <t>粤30569美宜佳东莞市茶山镇</t>
  </si>
  <si>
    <t>王老板</t>
  </si>
  <si>
    <t>18046975808</t>
  </si>
  <si>
    <t>茶山镇</t>
  </si>
  <si>
    <t>广东省东莞市茶山镇塘角村马鞍二路3号2号楼103室</t>
  </si>
  <si>
    <t>20260127204404991549533-1</t>
  </si>
  <si>
    <t>KH00259</t>
  </si>
  <si>
    <t>粤29840美宜佳东莞市石碣镇</t>
  </si>
  <si>
    <t>13650443998</t>
  </si>
  <si>
    <t>石碣镇</t>
  </si>
  <si>
    <t>广东省东莞市石碣镇西南村石碣明珠西路76号101</t>
  </si>
  <si>
    <t>20260127210815293898763-1</t>
  </si>
  <si>
    <t>KH00258</t>
  </si>
  <si>
    <t>粤27546美宜佳惠州市石湾镇</t>
  </si>
  <si>
    <t>韦老板</t>
  </si>
  <si>
    <t>15016065664</t>
  </si>
  <si>
    <t>广东省惠州市博罗县石湾镇人民路与营业大道交叉口</t>
  </si>
  <si>
    <t>20260126125642037739318-1</t>
  </si>
  <si>
    <t>KH00257</t>
  </si>
  <si>
    <t>粤27119美宜佳东莞市高埗镇</t>
  </si>
  <si>
    <t>谭老板</t>
  </si>
  <si>
    <t>18146673649</t>
  </si>
  <si>
    <t>广东省东莞市高埗镇低涌村高埗大道288号110室</t>
  </si>
  <si>
    <t>20260127210502294165132-1</t>
  </si>
  <si>
    <t>KH00256</t>
  </si>
  <si>
    <t>粤25883美宜佳东莞市茶山镇</t>
  </si>
  <si>
    <t>缪老板</t>
  </si>
  <si>
    <t>13662083688</t>
  </si>
  <si>
    <t>广东省东莞市茶山镇上元村秋源路11号</t>
  </si>
  <si>
    <t>20260127205315762709088-1</t>
  </si>
  <si>
    <t>KH00255</t>
  </si>
  <si>
    <t>粤24773美宜佳东莞市石碣镇</t>
  </si>
  <si>
    <t>方老板</t>
  </si>
  <si>
    <t>18925632962</t>
  </si>
  <si>
    <t>广东省东莞市石碣镇刘屋村流沙南路69号117室</t>
  </si>
  <si>
    <t>20260127211318226872050-1</t>
  </si>
  <si>
    <t>KH00254</t>
  </si>
  <si>
    <t>粤24062美宜佳东莞市石排镇</t>
  </si>
  <si>
    <t>葛老板</t>
  </si>
  <si>
    <t>13268723677</t>
  </si>
  <si>
    <t>石排镇</t>
  </si>
  <si>
    <t>广东省东莞市石排镇李家坊村李家坊商业街18号</t>
  </si>
  <si>
    <t>20260126123200118420589-1</t>
  </si>
  <si>
    <t>KH00253</t>
  </si>
  <si>
    <t>粤22549美宜佳东莞市高埗镇</t>
  </si>
  <si>
    <t>谢老板</t>
  </si>
  <si>
    <t>15017157591</t>
  </si>
  <si>
    <t>广东省东莞市高埗镇卢溪村第五城16号商业楼B段101号</t>
  </si>
  <si>
    <t>20260204203457851664271-1</t>
  </si>
  <si>
    <t>KH00252</t>
  </si>
  <si>
    <t>粤20895美宜佳东莞市高埗镇</t>
  </si>
  <si>
    <t>13423009669</t>
  </si>
  <si>
    <t>广东省东莞市高埗镇下江城村下江城工业区一号</t>
  </si>
  <si>
    <t>20260127211025260300589-1</t>
  </si>
  <si>
    <t>KH00251</t>
  </si>
  <si>
    <t>粤19880美宜佳东莞市茶山镇</t>
  </si>
  <si>
    <t>盛老板</t>
  </si>
  <si>
    <t>13538585951</t>
  </si>
  <si>
    <t>广东省东莞市茶山镇京山村站前路270号101室</t>
  </si>
  <si>
    <t>20260127204725231336908-1</t>
  </si>
  <si>
    <t>KH00250</t>
  </si>
  <si>
    <t>粤12048美宜佳东莞市茶山镇</t>
  </si>
  <si>
    <t>廖老板</t>
  </si>
  <si>
    <t>13712850448</t>
  </si>
  <si>
    <t>广东省东莞市茶山镇茶山村茶南路62号</t>
  </si>
  <si>
    <t>20260127205047924162630-1</t>
  </si>
  <si>
    <t>KH00249</t>
  </si>
  <si>
    <t>粤10058美宜佳东莞市高埗镇</t>
  </si>
  <si>
    <t>杨老板</t>
  </si>
  <si>
    <t>13480011646</t>
  </si>
  <si>
    <t>广东省东莞市高埗镇冼沙村广场南路二下坊草坡铺位1-2号</t>
  </si>
  <si>
    <t>20260204203925439660989-1</t>
  </si>
  <si>
    <t>KH00248</t>
  </si>
  <si>
    <t>粤M728美宜佳东莞市茶山镇</t>
  </si>
  <si>
    <t>13527950441</t>
  </si>
  <si>
    <t>广东省东莞市茶山镇塘角村塘角村对塘花岭工业区横岭2--4号铺</t>
  </si>
  <si>
    <t>20260130203034872789314-1</t>
  </si>
  <si>
    <t>KH00247</t>
  </si>
  <si>
    <t>粤 M170美宜佳东莞市高埗镇</t>
  </si>
  <si>
    <t>13580828503</t>
  </si>
  <si>
    <t>广东省东莞市高埗镇高埗村振兴北路3号</t>
  </si>
  <si>
    <t>20260206082426699475017-1</t>
  </si>
  <si>
    <t>KH00246</t>
  </si>
  <si>
    <t>粤E868美宜佳东莞市石排镇</t>
  </si>
  <si>
    <t>13537173668</t>
  </si>
  <si>
    <t>广东省东莞市石排镇福隆村联兴路与振兴路交汇处</t>
  </si>
  <si>
    <t>20260207073732023729886-1</t>
  </si>
  <si>
    <t>KH00245</t>
  </si>
  <si>
    <t>粤E322美宜佳东莞市石龙镇</t>
  </si>
  <si>
    <t>15362669535</t>
  </si>
  <si>
    <t>石龙镇</t>
  </si>
  <si>
    <t>广东省东莞市石龙镇中山东社区中山东社区怡枫苑八排111号</t>
  </si>
  <si>
    <t>20260127205900152856717-1</t>
  </si>
  <si>
    <t>KH00244</t>
  </si>
  <si>
    <t>D388美宜佳东莞市石碣镇</t>
  </si>
  <si>
    <t>13414442979</t>
  </si>
  <si>
    <t>广东省东莞市石碣镇鹤田厦村鹤田厦村裕田路83号</t>
  </si>
  <si>
    <t>20260127211729414384137-1</t>
  </si>
  <si>
    <t>KH00243</t>
  </si>
  <si>
    <t>B566美宜佳惠州市石湾镇</t>
  </si>
  <si>
    <t>13316776565</t>
  </si>
  <si>
    <t>广东省惠州市博罗县石湾镇明月一路510号河源客家菜馆（湖山农贸批发市场）</t>
  </si>
  <si>
    <t>20260127213125484202053-1</t>
  </si>
  <si>
    <t>KH00242</t>
  </si>
  <si>
    <t>粤9419美宜佳东莞市高埗镇</t>
  </si>
  <si>
    <t>英姐</t>
  </si>
  <si>
    <t>13650292123</t>
  </si>
  <si>
    <t>广东省东莞市高埗镇低涌村低涌新洲村54号</t>
  </si>
  <si>
    <t>20260130201514075148598-1</t>
  </si>
  <si>
    <t>KH00241</t>
  </si>
  <si>
    <t>粤5488美宜佳东莞市高埗镇</t>
  </si>
  <si>
    <t>郑老板</t>
  </si>
  <si>
    <t>13532530152</t>
  </si>
  <si>
    <t>广东省东莞市高埗镇冼沙村冼沙二上坊2区48号</t>
  </si>
  <si>
    <t>20260127212922859777584-1</t>
  </si>
  <si>
    <t>KH00240</t>
  </si>
  <si>
    <t>粤4666美宜佳东莞市高埗镇</t>
  </si>
  <si>
    <t>13652622602</t>
  </si>
  <si>
    <t>广东省东莞市高埗镇冼沙村村尾市场6区126号</t>
  </si>
  <si>
    <t>20260126130348931462553-1</t>
  </si>
  <si>
    <t>KH00239</t>
  </si>
  <si>
    <t>粤3595美宜佳东莞市石碣镇</t>
  </si>
  <si>
    <t>13412040061</t>
  </si>
  <si>
    <t>广东省东莞市石碣镇刘屋村刘屋同德路西洲头村路段B18、19号铺</t>
  </si>
  <si>
    <t>20260130202826906880087-1</t>
  </si>
  <si>
    <t>KH00238</t>
  </si>
  <si>
    <t>粤2651美宜佳东莞市石碣镇</t>
  </si>
  <si>
    <t>13798873639</t>
  </si>
  <si>
    <t>广东省东莞市石碣镇鹤田厦村鹤田厦管理区</t>
  </si>
  <si>
    <t>20260201195505575932765-1</t>
  </si>
  <si>
    <t>KH00237</t>
  </si>
  <si>
    <t>粤1743美宜佳东莞市高埗镇</t>
  </si>
  <si>
    <t>左老板</t>
  </si>
  <si>
    <t>13532375666</t>
  </si>
  <si>
    <t>广东省东莞市高埗镇冼沙村冼沙四坊129号</t>
  </si>
  <si>
    <t>20260127212735945393689-1</t>
  </si>
  <si>
    <t>KH00236</t>
  </si>
  <si>
    <t>11198东莞常平镇旺福天福店T</t>
  </si>
  <si>
    <t>魏振威</t>
  </si>
  <si>
    <t>13802362771</t>
  </si>
  <si>
    <t>常平镇</t>
  </si>
  <si>
    <t>东莞市常平镇板石村板石北区二街151号</t>
  </si>
  <si>
    <t>20260127203150971590037-1</t>
  </si>
  <si>
    <t>KH00235</t>
  </si>
  <si>
    <t>35913美宜佳东莞市桥头镇赢芯大旺产业园内</t>
  </si>
  <si>
    <t>梁永豪</t>
  </si>
  <si>
    <t>13794900288</t>
  </si>
  <si>
    <t>桥头镇</t>
  </si>
  <si>
    <t>广东省东莞市桥头镇大洲社区桥新路7号赢芯大旺产业园宿舍楼1号101</t>
  </si>
  <si>
    <t>20260205144611892875174-1</t>
  </si>
  <si>
    <t>KH00234</t>
  </si>
  <si>
    <t>粤31789美宜佳东莞市常平镇木伦市场</t>
  </si>
  <si>
    <t>董黄豆</t>
  </si>
  <si>
    <t>13928307037</t>
  </si>
  <si>
    <t>广东省东莞市常平镇木棆村木棆路101号101室</t>
  </si>
  <si>
    <t>20260130173027866884725-1</t>
  </si>
  <si>
    <t>KH00233</t>
  </si>
  <si>
    <t>11315美宜佳东莞市桥头镇岭头</t>
  </si>
  <si>
    <t>叶新兰</t>
  </si>
  <si>
    <t>17386308602</t>
  </si>
  <si>
    <t>广东省东莞市桥头镇岭头社区岭头社区工业大路工业大路西五巷路囗</t>
  </si>
  <si>
    <t>20260205145120328935419-1</t>
  </si>
  <si>
    <t>KH00232</t>
  </si>
  <si>
    <t>粤38219美宜佳深圳市坪山区坑梓街道</t>
  </si>
  <si>
    <t>钟老板</t>
  </si>
  <si>
    <t>15070509100</t>
  </si>
  <si>
    <t>坪山区</t>
  </si>
  <si>
    <t>广东省深圳市坪山区坑梓街道禾田路2栋</t>
  </si>
  <si>
    <t>20260206214532780503244-1</t>
  </si>
  <si>
    <t>KH00231</t>
  </si>
  <si>
    <t>粤37525美宜佳坪山街道硕华科</t>
  </si>
  <si>
    <t>廉老板</t>
  </si>
  <si>
    <t>18278786317</t>
  </si>
  <si>
    <t>广东省深圳市坪山街道硕华科</t>
  </si>
  <si>
    <t>20260207074755749149954-1</t>
  </si>
  <si>
    <t>KH00230</t>
  </si>
  <si>
    <t>粤36933美宜佳深圳市龙岗区宝龙街道</t>
  </si>
  <si>
    <t>聂老板</t>
  </si>
  <si>
    <t>15013462355</t>
  </si>
  <si>
    <t>广东省深圳市龙岗区宝龙街道宝龙二路77号</t>
  </si>
  <si>
    <t>20260125161759360883554-1</t>
  </si>
  <si>
    <t>KH00229</t>
  </si>
  <si>
    <t>粤33556美宜佳深圳市坪山区乐安居</t>
  </si>
  <si>
    <t>罗老板</t>
  </si>
  <si>
    <t>13418623484</t>
  </si>
  <si>
    <t>广东省深圳市坪山区马峦街道坪山大道3002-23</t>
  </si>
  <si>
    <t>20260130091123258854255-1</t>
  </si>
  <si>
    <t>KH00228</t>
  </si>
  <si>
    <t>粤31055美宜佳深圳市坪山区</t>
  </si>
  <si>
    <t>广东省深圳市坪山区龙田街道金茂园大酒店</t>
  </si>
  <si>
    <t>20260130095028114649269-1</t>
  </si>
  <si>
    <t>KH00227</t>
  </si>
  <si>
    <t>粤19519美宜佳深圳市龙岗区五联街道</t>
  </si>
  <si>
    <t>雷小辉</t>
  </si>
  <si>
    <t>13559929054</t>
  </si>
  <si>
    <t>广东省深圳市龙岗区龙城街道清水路177号</t>
  </si>
  <si>
    <t>20260205205115194134298-1</t>
  </si>
  <si>
    <t>KH00226</t>
  </si>
  <si>
    <t>6227(AB)深圳龙岗仙人岭建青美宜佳</t>
  </si>
  <si>
    <t>雷老板</t>
  </si>
  <si>
    <t>13530333284</t>
  </si>
  <si>
    <t>广东省深圳市龙岗区龙岗街道新生社区仙人岭路46号</t>
  </si>
  <si>
    <t>20260205211630042034802-1</t>
  </si>
  <si>
    <t>KH00225</t>
  </si>
  <si>
    <t>粤38298美宜佳，东莞市大朗镇。</t>
  </si>
  <si>
    <t>13929232897</t>
  </si>
  <si>
    <t>大朗镇</t>
  </si>
  <si>
    <t>广东省东莞市大朗镇松柏朗村松佛路650号</t>
  </si>
  <si>
    <t>20260127190225975339797-1</t>
  </si>
  <si>
    <t>KH00224</t>
  </si>
  <si>
    <t>粤37229美宜佳东莞市大郎镇</t>
  </si>
  <si>
    <t>15015258532</t>
  </si>
  <si>
    <t>广东省东莞市大朗镇黎贝岭村贝丽路23号</t>
  </si>
  <si>
    <t>20260128040543629590619-1</t>
  </si>
  <si>
    <t>KH00223</t>
  </si>
  <si>
    <t>粤36938美宜佳东莞市大岭山镇</t>
  </si>
  <si>
    <t>18188831868</t>
  </si>
  <si>
    <t>大岭山镇</t>
  </si>
  <si>
    <t>广东省东莞市大岭山镇太公岭村渭溪路65号</t>
  </si>
  <si>
    <t>20260204101856695075167-1</t>
  </si>
  <si>
    <t>KH00222</t>
  </si>
  <si>
    <t>粤36136美宜佳东莞市大领山镇</t>
  </si>
  <si>
    <t>18938153968</t>
  </si>
  <si>
    <t>广东省东莞市大岭山镇大片美村井前一街16号</t>
  </si>
  <si>
    <t>20260204103341072422009-1</t>
  </si>
  <si>
    <t>KH00221</t>
  </si>
  <si>
    <t>粤36099美宜佳东莞市大朗镇</t>
  </si>
  <si>
    <t>广东省东莞市大朗镇蔡边村富通路123号</t>
  </si>
  <si>
    <t>20260128040147780458699-1</t>
  </si>
  <si>
    <t>KH00220</t>
  </si>
  <si>
    <t>粤35266美宜佳东莞市大朗镇</t>
  </si>
  <si>
    <t>13711854313</t>
  </si>
  <si>
    <t>广东省东莞市大朗镇蔡边村宗兴街45号</t>
  </si>
  <si>
    <t>20260204153101757284786-1</t>
  </si>
  <si>
    <t>KH00219</t>
  </si>
  <si>
    <t>粤34060美宜佳东莞市大岭山镇大片美</t>
  </si>
  <si>
    <t>15322847958</t>
  </si>
  <si>
    <t>广东省东莞市大岭山镇大片美村大片美路179号101</t>
  </si>
  <si>
    <t>20260204153804047563740-1</t>
  </si>
  <si>
    <t>KH00218</t>
  </si>
  <si>
    <t>粤33559美宜佳东莞市大朗镇</t>
  </si>
  <si>
    <t>15876989605</t>
  </si>
  <si>
    <t>广东省东莞市大朗镇黎贝岭村新围仔六巷5号</t>
  </si>
  <si>
    <t>20260204155308681695026-1</t>
  </si>
  <si>
    <t>KH00217</t>
  </si>
  <si>
    <t>粤33383美宜佳东莞市大岭镇新塘村</t>
  </si>
  <si>
    <t>18779550409</t>
  </si>
  <si>
    <t>广东省东莞市大岭山镇新塘村新塘新路82号</t>
  </si>
  <si>
    <t>20260131070541155272691-1</t>
  </si>
  <si>
    <t>KH00216</t>
  </si>
  <si>
    <t>粤32566美宜佳东莞市大朗镇</t>
  </si>
  <si>
    <t>13113250909</t>
  </si>
  <si>
    <t>广东省东莞市大朗镇黄草朗社区富通路749号</t>
  </si>
  <si>
    <t>20260127175826618315955-1</t>
  </si>
  <si>
    <t>KH00215</t>
  </si>
  <si>
    <t>32539美宜佳东莞市大朗镇美景西路</t>
  </si>
  <si>
    <t>詹老板</t>
  </si>
  <si>
    <t>18033490353</t>
  </si>
  <si>
    <t>广东省东莞市大朗镇犀牛陂村美景西路818号</t>
  </si>
  <si>
    <t>20260130190404003108209-1</t>
  </si>
  <si>
    <t>KH00214</t>
  </si>
  <si>
    <t>31186美宜佳东莞市大朗镇巷头 昌盛园</t>
  </si>
  <si>
    <t>13794963889</t>
  </si>
  <si>
    <t>广东省东莞市大朗镇巷头社区康丰路25号1栋119室</t>
  </si>
  <si>
    <t>20260125132918509584894-1</t>
  </si>
  <si>
    <t>KH00213</t>
  </si>
  <si>
    <t>28901美宜佳东莞市松山湖区华为溪村</t>
  </si>
  <si>
    <t>徐老板</t>
  </si>
  <si>
    <t>13509232785</t>
  </si>
  <si>
    <t>广东省东莞市大朗镇犀牛陂村湖景路36号</t>
  </si>
  <si>
    <t>20260127181559542506725-1</t>
  </si>
  <si>
    <t>KH00212</t>
  </si>
  <si>
    <t>粤28839美宜佳东莞市大岭山镇大沙路</t>
  </si>
  <si>
    <t>13532411911</t>
  </si>
  <si>
    <t>广东省东莞市大岭山镇大沙村大沙路</t>
  </si>
  <si>
    <t>20260204192803083132452-1</t>
  </si>
  <si>
    <t>KH00211</t>
  </si>
  <si>
    <t>28169美宜佳东莞市大朗镇荔平路</t>
  </si>
  <si>
    <t>13076117426</t>
  </si>
  <si>
    <t>广东省东莞市大朗镇水平村荔平路29号</t>
  </si>
  <si>
    <t>20260127133608737249684-1</t>
  </si>
  <si>
    <t>KH00210</t>
  </si>
  <si>
    <t>25329美宜佳东莞市大岭山镇纵队路</t>
  </si>
  <si>
    <t>13480008220</t>
  </si>
  <si>
    <t>广东省东莞市大岭山镇大岭村纵队路98号101</t>
  </si>
  <si>
    <t>20260203120155354613952-1</t>
  </si>
  <si>
    <t>KH00209</t>
  </si>
  <si>
    <t>25169美宜佳东莞市大朗镇兴市二路6-8号铺</t>
  </si>
  <si>
    <t>15019999197</t>
  </si>
  <si>
    <t>广东省东莞市大朗镇黎贝岭村兴市二路6-8号铺</t>
  </si>
  <si>
    <t>20260127163829110854145-1</t>
  </si>
  <si>
    <t>KH00208</t>
  </si>
  <si>
    <t>25128美宜佳东莞市大朗镇</t>
  </si>
  <si>
    <t>18926857925</t>
  </si>
  <si>
    <t>广东省东莞市大朗镇佛子凹村富民南路60号108-109铺</t>
  </si>
  <si>
    <t>20260128130009664136577-1</t>
  </si>
  <si>
    <t>KH00207</t>
  </si>
  <si>
    <t>粤24689美宜佳东莞市大朗镇犀牛坡</t>
  </si>
  <si>
    <t>13711932759</t>
  </si>
  <si>
    <t>广东省东莞市大朗镇犀牛陂村美景西路1246号</t>
  </si>
  <si>
    <t>20260130115909366980121-1</t>
  </si>
  <si>
    <t>KH00206</t>
  </si>
  <si>
    <t>粤21740美宜佳东莞市大朗镇巷头花园石桥街南</t>
  </si>
  <si>
    <t>13556552791</t>
  </si>
  <si>
    <t>广东省东莞市大朗镇巷头社区银康街毛织商贸街5街001铺</t>
  </si>
  <si>
    <t>20260127164347593958778-1</t>
  </si>
  <si>
    <t>KH00205</t>
  </si>
  <si>
    <t>16831美宜佳东莞市大朗镇佛新银源二街60号</t>
  </si>
  <si>
    <t>15018259801</t>
  </si>
  <si>
    <t>广东省东莞市大朗镇佛新社区佛新银源二街60号</t>
  </si>
  <si>
    <t>20260127225109131672020-1</t>
  </si>
  <si>
    <t>KH00204</t>
  </si>
  <si>
    <t>14166美宜佳东莞市大岭山镇大片美</t>
  </si>
  <si>
    <t>13590166465</t>
  </si>
  <si>
    <t>广东省东莞市大岭山镇大片美村大片美路</t>
  </si>
  <si>
    <t>20260128143812694718807-1</t>
  </si>
  <si>
    <t>KH00203</t>
  </si>
  <si>
    <t>13349美宜佳东莞市大朗镇佛富路130号</t>
  </si>
  <si>
    <t>13622610863</t>
  </si>
  <si>
    <t>广东省东莞市大朗镇佛子凹村佛子凹佛富路新建公寓空铺</t>
  </si>
  <si>
    <t>20260127195926295184960-1</t>
  </si>
  <si>
    <t>KH00202</t>
  </si>
  <si>
    <t>粤12193美宜佳东莞市大朗镇政和路117号</t>
  </si>
  <si>
    <t>13652525080</t>
  </si>
  <si>
    <t>广东省东莞市大朗镇巷尾社区巷尾村政和咯117号</t>
  </si>
  <si>
    <t>20260127131922643858738-1</t>
  </si>
  <si>
    <t>KH00201</t>
  </si>
  <si>
    <t>11568美宜佳东莞市大朗镇牛过路96号</t>
  </si>
  <si>
    <t>18816876490</t>
  </si>
  <si>
    <t>广东省东莞市大朗镇求富路社区牛过路92号</t>
  </si>
  <si>
    <t>20260127174040555868613-1</t>
  </si>
  <si>
    <t>KH00200</t>
  </si>
  <si>
    <t>P133(AB)美宜佳广东东莞大朗新长富中路</t>
  </si>
  <si>
    <t>13412182658</t>
  </si>
  <si>
    <t>广东省东莞市大朗镇求富路社区求富社区长富中路311号</t>
  </si>
  <si>
    <t>20260128125854165737191-1</t>
  </si>
  <si>
    <t>KH00199</t>
  </si>
  <si>
    <t>G211(AB)美宜佳广东省东莞市大朗镇行者山</t>
  </si>
  <si>
    <t>汪老板</t>
  </si>
  <si>
    <t>15989942667</t>
  </si>
  <si>
    <t>广东省东莞市大朗镇松柏朗村松柏朗行者山369</t>
  </si>
  <si>
    <t>20260127141407492402136-1</t>
  </si>
  <si>
    <t>KH00198</t>
  </si>
  <si>
    <t>G041美宜佳东莞市大朗镇</t>
  </si>
  <si>
    <t>赵老板</t>
  </si>
  <si>
    <t>15992714997</t>
  </si>
  <si>
    <t>广东省东莞市大朗镇巷尾社区新和路8号-9</t>
  </si>
  <si>
    <t>20260127140753786133254-1</t>
  </si>
  <si>
    <t>KH00197</t>
  </si>
  <si>
    <t>E219美宜佳东莞市大朗镇</t>
  </si>
  <si>
    <t>广东省东莞市大朗镇犀牛陂村美景西路1020号</t>
  </si>
  <si>
    <t>20260202132415621653037-1</t>
  </si>
  <si>
    <t>KH00196</t>
  </si>
  <si>
    <t>8433美宜佳东莞市大朗镇财富公馆1号楼</t>
  </si>
  <si>
    <t>13549433308</t>
  </si>
  <si>
    <t>广东省东莞市大朗镇长塘社区大朗体育馆北侧财富公馆1号楼O7铺</t>
  </si>
  <si>
    <t>20260127091230860428699-1</t>
  </si>
  <si>
    <t>KH00195</t>
  </si>
  <si>
    <t>6560美宜佳东莞市大岭山镇长富街</t>
  </si>
  <si>
    <t>13510648298</t>
  </si>
  <si>
    <t>广东省东莞市大岭山镇矮岭冚村长富街雍盛居1-2-51号</t>
  </si>
  <si>
    <t>20260201080658187408413-1</t>
  </si>
  <si>
    <t>KH00194</t>
  </si>
  <si>
    <t>5775美宜佳东莞市大朗镇</t>
  </si>
  <si>
    <t>19270018619</t>
  </si>
  <si>
    <t>广东省东莞市大朗镇水平村水平村华丽工业园3号宿舍楼10号商铺</t>
  </si>
  <si>
    <t>20260204155425043004483-1</t>
  </si>
  <si>
    <t>KH00193</t>
  </si>
  <si>
    <t>4050美宜佳东莞市大朗镇新市二街43号</t>
  </si>
  <si>
    <t>15920219098</t>
  </si>
  <si>
    <t>广东省东莞市大朗镇圣堂社区圣堂新市二街43号</t>
  </si>
  <si>
    <t>20260204152710978205510-1</t>
  </si>
  <si>
    <t>KH00192</t>
  </si>
  <si>
    <t>3511天福快迪便利店惠州市惠阳区1</t>
  </si>
  <si>
    <t>黄泰汪</t>
  </si>
  <si>
    <t>17620698403</t>
  </si>
  <si>
    <t>惠阳区</t>
  </si>
  <si>
    <t>惠州市惠阳区淡水新桥村行诚科技园胜宏科技股份有限公司</t>
  </si>
  <si>
    <t>20260204163103101192662-1</t>
  </si>
  <si>
    <t>KH00191</t>
  </si>
  <si>
    <t>粤11061美宜佳惠州市惠阳区</t>
  </si>
  <si>
    <t>肖红平</t>
  </si>
  <si>
    <t>18127721434</t>
  </si>
  <si>
    <t>广东省惠州市惠阳区澳头街道新溪路3号铺</t>
  </si>
  <si>
    <t>20260129190332558161156-1</t>
  </si>
  <si>
    <t>KH00190</t>
  </si>
  <si>
    <t>12613天福河源江东新区</t>
  </si>
  <si>
    <t>周子航</t>
  </si>
  <si>
    <t>13635674347</t>
  </si>
  <si>
    <t>河源市</t>
  </si>
  <si>
    <t>紫金县</t>
  </si>
  <si>
    <t>广东省河源市紫金县临江镇联心村经八路河源市铂科新材料有限公司一楼</t>
  </si>
  <si>
    <t>20260127135436729445898-1</t>
  </si>
  <si>
    <t>KH00189</t>
  </si>
  <si>
    <t>5032天福深圳市石岩街道</t>
  </si>
  <si>
    <t>奉老板</t>
  </si>
  <si>
    <t>19151837788</t>
  </si>
  <si>
    <t>深圳市宝安区石岩应人石香象丰南花园</t>
  </si>
  <si>
    <t>20260203091352506284745-1</t>
  </si>
  <si>
    <t>KH00188</t>
  </si>
  <si>
    <t>15932天福深圳市石岩街道</t>
  </si>
  <si>
    <t>13647945843</t>
  </si>
  <si>
    <t>深圳宝安区石岩街道应人石社区天宝路232号</t>
  </si>
  <si>
    <t>20260203091841486052636-1</t>
  </si>
  <si>
    <t>KH00187</t>
  </si>
  <si>
    <t>15169天福深圳市石岩街道</t>
  </si>
  <si>
    <t>15112114791</t>
  </si>
  <si>
    <t>深圳市宝安区石岩街道应人石社区松柏路2030号102</t>
  </si>
  <si>
    <t>20260207223223729309437-1</t>
  </si>
  <si>
    <t>KH00186</t>
  </si>
  <si>
    <t>粤29785美宜佳深圳市石岩街道</t>
  </si>
  <si>
    <t>13530229235</t>
  </si>
  <si>
    <t>广东省深圳市宝安区石岩街道横当岭四路7-4</t>
  </si>
  <si>
    <t>20260130210942126827701-1</t>
  </si>
  <si>
    <t>KH00185</t>
  </si>
  <si>
    <t>粤21915美宜佳深圳市大浪街道</t>
  </si>
  <si>
    <t>18126171985</t>
  </si>
  <si>
    <t>龙华区</t>
  </si>
  <si>
    <t>广东省深圳市龙华区大浪街道大浪凯豪达商业广场容锦酒店一楼</t>
  </si>
  <si>
    <t>20260204190509481215836-1</t>
  </si>
  <si>
    <t>KH00184</t>
  </si>
  <si>
    <t>粤17642美宜佳深圳市石岩街道</t>
  </si>
  <si>
    <t>13015655989</t>
  </si>
  <si>
    <t>广东省深圳市宝安区石岩街道石环路5号</t>
  </si>
  <si>
    <t>20260203092259738128192-1</t>
  </si>
  <si>
    <t>KH00183</t>
  </si>
  <si>
    <t>D021美宜佳深圳市石岩街道</t>
  </si>
  <si>
    <t>13609614923</t>
  </si>
  <si>
    <t>广东省深圳市宝安区石岩街道同富裕工业园办公楼01号铺</t>
  </si>
  <si>
    <t>20260130210001141746015-1</t>
  </si>
  <si>
    <t>KH00182</t>
  </si>
  <si>
    <t>粤8812美宜佳深圳市大浪街道</t>
  </si>
  <si>
    <t>13751933685</t>
  </si>
  <si>
    <t>广东省深圳市龙华区大浪街道赖屋山新村三巷7号</t>
  </si>
  <si>
    <t>20260127222205563804019-1</t>
  </si>
  <si>
    <t>KH00181</t>
  </si>
  <si>
    <t>粤8647美宜佳深圳市石岩街道</t>
  </si>
  <si>
    <t>13434953286</t>
  </si>
  <si>
    <t>广东省深圳市宝安区石岩街道石龙社区石龙新村三区37号一楼</t>
  </si>
  <si>
    <t>20260206151711136199348-1</t>
  </si>
  <si>
    <t>KH00180</t>
  </si>
  <si>
    <t>6292美宜佳深圳市石岩街道</t>
  </si>
  <si>
    <t>13924595879</t>
  </si>
  <si>
    <t>广东省深圳市宝安区石岩街道三祝里村三号一楼</t>
  </si>
  <si>
    <t>20260131205558746160075-1</t>
  </si>
  <si>
    <t>KH00179</t>
  </si>
  <si>
    <t>粤4932美宜佳深圳市玉塘街道</t>
  </si>
  <si>
    <t>13612829558</t>
  </si>
  <si>
    <t>广东省深圳市光明区玉塘街道玉律村玉泉西路72号一楼</t>
  </si>
  <si>
    <t>20260127222811002989663-1</t>
  </si>
  <si>
    <t>KH00178</t>
  </si>
  <si>
    <t>粤39463东莞市南城区莞太路64号</t>
  </si>
  <si>
    <t>15601607695</t>
  </si>
  <si>
    <t>广东省东莞市南城区莞太路64号</t>
  </si>
  <si>
    <t>20260303104101489782911-1</t>
  </si>
  <si>
    <t>KH00177</t>
  </si>
  <si>
    <t>合家欢2918店东莞市南城区-2</t>
  </si>
  <si>
    <t>位老板</t>
  </si>
  <si>
    <t>15875573663</t>
  </si>
  <si>
    <t>东莞市南城区元美路26号102铺</t>
  </si>
  <si>
    <t>20260303104235228152918-1</t>
  </si>
  <si>
    <t>KH00176</t>
  </si>
  <si>
    <t>合家欢2415店东莞市南城区-1</t>
  </si>
  <si>
    <t>申老板</t>
  </si>
  <si>
    <t>13377761282</t>
  </si>
  <si>
    <t>东莞市南城区蛤地大新路38号116室</t>
  </si>
  <si>
    <t>20260303104534924155274-1</t>
  </si>
  <si>
    <t>KH00175</t>
  </si>
  <si>
    <t>京牛快送超市(白坭店）</t>
  </si>
  <si>
    <t>19878778673</t>
  </si>
  <si>
    <t>广东省佛山市三水区富景一路50号京牛快送超市(白坭店）</t>
  </si>
  <si>
    <t>KH00174</t>
  </si>
  <si>
    <t>KLH-广州冷藏1仓-GZ0210</t>
  </si>
  <si>
    <t>1017292</t>
  </si>
  <si>
    <t>19157409180</t>
  </si>
  <si>
    <t>连云路182号聚福德冷库</t>
  </si>
  <si>
    <t>KH00173</t>
  </si>
  <si>
    <t>广州阳光食品批发</t>
  </si>
  <si>
    <t>18928788100</t>
  </si>
  <si>
    <t>荔湾区</t>
  </si>
  <si>
    <t>荔湾区冲口街道墩兴西街荔湾区儿童公园东南侧约80米广州白云山制药总厂（芳村厂区）</t>
  </si>
  <si>
    <t>KH00172</t>
  </si>
  <si>
    <t>广州汇珑贸易有限公司</t>
  </si>
  <si>
    <t>汇珑贸易</t>
  </si>
  <si>
    <t>13318765880</t>
  </si>
  <si>
    <t>荔湾区海龙街道龙溪大道龙溪配送装卸区1号门物流三路B区B5-B6</t>
  </si>
  <si>
    <t>KH00171</t>
  </si>
  <si>
    <t>源泉贸易</t>
  </si>
  <si>
    <t>源泉</t>
  </si>
  <si>
    <t>19973446641</t>
  </si>
  <si>
    <t>保盈大道广百物流三号仓</t>
  </si>
  <si>
    <t>采购1号【低温】</t>
  </si>
  <si>
    <t>KH00170</t>
  </si>
  <si>
    <t>大斌家串串火锅（广州庆达广场店）</t>
  </si>
  <si>
    <t>18508826568</t>
  </si>
  <si>
    <t>钟落潭镇105国道庆达广场182铺</t>
  </si>
  <si>
    <t>KH00169</t>
  </si>
  <si>
    <t>遇见个超市（天益城店）</t>
  </si>
  <si>
    <t>18029994428</t>
  </si>
  <si>
    <t>广东省 惠州市 惠城区 陈江街道 锦霞街8号厂房三楼（需要送货上门，拒绝三无产品需要贴合格证）</t>
  </si>
  <si>
    <t>1204284</t>
  </si>
  <si>
    <t>遇见个超市</t>
  </si>
  <si>
    <t>KH00168</t>
  </si>
  <si>
    <t>遇见个超市（新港汇店）</t>
  </si>
  <si>
    <t>18129736030</t>
  </si>
  <si>
    <t>广东省 惠州市 惠城区 河南岸演达1路9号帝景广场负一层（请送货上门，需要标签，请勿三无）</t>
  </si>
  <si>
    <t>1204285</t>
  </si>
  <si>
    <t>KH00167</t>
  </si>
  <si>
    <t>遇见个超市（淡水店）</t>
  </si>
  <si>
    <t>18148899360</t>
  </si>
  <si>
    <t>广东省 惠州市 惠阳区 淡水镇人民五路155号2楼（ 不送货上楼拒收 需要标签 请勿三无）</t>
  </si>
  <si>
    <t>1204282</t>
  </si>
  <si>
    <t>KH00166</t>
  </si>
  <si>
    <t>遇见个超市（惠城店）</t>
  </si>
  <si>
    <t>19902546179</t>
  </si>
  <si>
    <t>广东省 惠州市 惠城区 江北街道 花园路6号东江工业园2号厂房2楼里面</t>
  </si>
  <si>
    <t>1201287</t>
  </si>
  <si>
    <t>KH00165</t>
  </si>
  <si>
    <t>遇见个超市（西丽店）</t>
  </si>
  <si>
    <t>19926498612</t>
  </si>
  <si>
    <t>南山区</t>
  </si>
  <si>
    <t xml:space="preserve">广东省 深圳市 南山区 西丽街道 新围社区官龙村第一工业园G栋104遇见个超市 </t>
  </si>
  <si>
    <t>1082452</t>
  </si>
  <si>
    <t>KH00164</t>
  </si>
  <si>
    <t>遇见个超市（龙华店）</t>
  </si>
  <si>
    <t>18926486373</t>
  </si>
  <si>
    <t>广东省 深圳市 龙华区 龙华街道 颖博工业园B栋108室</t>
  </si>
  <si>
    <t>1046068</t>
  </si>
  <si>
    <t>KH00163</t>
  </si>
  <si>
    <t>遇见个超市（上李朗店）</t>
  </si>
  <si>
    <t>19074241990</t>
  </si>
  <si>
    <t>广东省 深圳市 龙岗区 南湾街道 上李朗村洲腾工业园厂房1栋2楼203室</t>
  </si>
  <si>
    <t>1233208</t>
  </si>
  <si>
    <t>KH00162</t>
  </si>
  <si>
    <t>遇见个超市（福田店）</t>
  </si>
  <si>
    <t>18018788984</t>
  </si>
  <si>
    <t>福田区</t>
  </si>
  <si>
    <t>广东省 深圳市 福田区 泰然四路24号中联大厦105b（请送货上门，需要标签，请勿三无）</t>
  </si>
  <si>
    <t>1225353</t>
  </si>
  <si>
    <t>KH00161</t>
  </si>
  <si>
    <t>遇见个超市（大运店）</t>
  </si>
  <si>
    <t>18025340660</t>
  </si>
  <si>
    <t>广东省 深圳市 龙岗区 龙城街道 爱联台中工业区A6-203遇见个超市</t>
  </si>
  <si>
    <t>1207214</t>
  </si>
  <si>
    <t>KH00160</t>
  </si>
  <si>
    <t>遇见个超市（西乡店）</t>
  </si>
  <si>
    <t>18028757865</t>
  </si>
  <si>
    <t>广东省 深圳市 宝安区 西乡街道 西乡荔园路4号西万大厦二楼</t>
  </si>
  <si>
    <t>1156997</t>
  </si>
  <si>
    <t>KH00159</t>
  </si>
  <si>
    <t>遇见个超市（福城店）</t>
  </si>
  <si>
    <t>18002537889</t>
  </si>
  <si>
    <t>广东省 深圳市 龙华区福城街道 章阁社区章阁路78号荣力科技园G栋二楼</t>
  </si>
  <si>
    <t>1229131</t>
  </si>
  <si>
    <t>KH00158</t>
  </si>
  <si>
    <t>遇见个超市（凤凰城店）</t>
  </si>
  <si>
    <t>18098911871</t>
  </si>
  <si>
    <t>广东省 深圳市 光明区 凤凰街道 塘家社区塘兴路22号A栋101</t>
  </si>
  <si>
    <t>1128598</t>
  </si>
  <si>
    <t>KH00157</t>
  </si>
  <si>
    <t>遇见个超市（横岗店）</t>
  </si>
  <si>
    <t>19584629968</t>
  </si>
  <si>
    <t>广东省 深圳市 龙岗区 横岗街道 横岗社区华西二路17号华西电商创意园C栋102</t>
  </si>
  <si>
    <t>1216088</t>
  </si>
  <si>
    <t>KH00156</t>
  </si>
  <si>
    <t>遇见个超市（清湖店）</t>
  </si>
  <si>
    <t>18028728154</t>
  </si>
  <si>
    <t>广东省 深圳市 龙华区 河背工业区遇见个超市清湖店</t>
  </si>
  <si>
    <t>1082451</t>
  </si>
  <si>
    <t>KH00155</t>
  </si>
  <si>
    <t>遇见个超市（观澜店）</t>
  </si>
  <si>
    <t>18025431822</t>
  </si>
  <si>
    <t xml:space="preserve">广东省 深圳市 龙华区 观湖街道 金茂路17号 4栋2楼 </t>
  </si>
  <si>
    <t>1147792</t>
  </si>
  <si>
    <t>KH00154</t>
  </si>
  <si>
    <t>遇见个超市（笋岗店）</t>
  </si>
  <si>
    <t>遇见个超市（深圳笋岗店）</t>
  </si>
  <si>
    <t>13360975856</t>
  </si>
  <si>
    <t>广东省 深圳市 福田区 园岭街道八卦四路先科大院2栋4楼B区1`1</t>
  </si>
  <si>
    <t>1202097</t>
  </si>
  <si>
    <t>KH00153</t>
  </si>
  <si>
    <t>遇见个超市（民治店）</t>
  </si>
  <si>
    <t>18126521797</t>
  </si>
  <si>
    <t>广东省 深圳市 龙华区 民治街道 樟坑社区樟坑老村30-1（商品需要贴标签 必须送上门，没送上门拒收）</t>
  </si>
  <si>
    <t>1179325</t>
  </si>
  <si>
    <t>KH00152</t>
  </si>
  <si>
    <t>遇见个超市（布吉店）</t>
  </si>
  <si>
    <t>13133701332</t>
  </si>
  <si>
    <t>广东省 深圳市 龙岗区 布吉吉昌街振伟大厦201 （需送货上门 需要标签 请勿三无）</t>
  </si>
  <si>
    <t>1196991</t>
  </si>
  <si>
    <t>KH00151</t>
  </si>
  <si>
    <t>遇见个超市（坪地店）</t>
  </si>
  <si>
    <t>15361009695</t>
  </si>
  <si>
    <t>广东省 深圳市 龙岗区 宝地工业区1号1楼</t>
  </si>
  <si>
    <t>1194148</t>
  </si>
  <si>
    <t>KH00150</t>
  </si>
  <si>
    <t>遇见个超市（松岗店）</t>
  </si>
  <si>
    <t>17322324009</t>
  </si>
  <si>
    <t>广东省 深圳市 宝安区 松岗街道 红星社区松明大道185号二楼204</t>
  </si>
  <si>
    <t>1150463</t>
  </si>
  <si>
    <t>KH00149</t>
  </si>
  <si>
    <t>遇见个超市（光明店）</t>
  </si>
  <si>
    <t>18503093393</t>
  </si>
  <si>
    <t>广东省 深圳市 光明区 马田街道 合水口第二工业区13栋16号楼（需要送货上门）</t>
  </si>
  <si>
    <t>1116123</t>
  </si>
  <si>
    <t>KH00148</t>
  </si>
  <si>
    <t>遇见个超市（丹竹头店）</t>
  </si>
  <si>
    <t>18028738386</t>
  </si>
  <si>
    <t>广东省 深圳市 龙岗区 南湾街道 丹竹头立信路41号浦良工业区A111室</t>
  </si>
  <si>
    <t>1166358</t>
  </si>
  <si>
    <t>KH00147</t>
  </si>
  <si>
    <t>遇见个超市（平湖店）</t>
  </si>
  <si>
    <t>18824621434</t>
  </si>
  <si>
    <t>广东省 深圳市 龙岗区 平湖街道 平龙东路96-2号</t>
  </si>
  <si>
    <t>1066325</t>
  </si>
  <si>
    <t>KH00146</t>
  </si>
  <si>
    <t>遇见个超市（坂田店）</t>
  </si>
  <si>
    <t>17318088271</t>
  </si>
  <si>
    <t>广东省 深圳市 龙岗区 (稼先路北)万晟科创 1 楼103-108 室（需要送货上门，拒绝三无临期食品）</t>
  </si>
  <si>
    <t>1250083</t>
  </si>
  <si>
    <t>KH00145</t>
  </si>
  <si>
    <t>遇见个超市（深圳大学店）</t>
  </si>
  <si>
    <t>15602986436</t>
  </si>
  <si>
    <t>广东省 深圳市 南山区 粤海街道 M-10栋1号厂房东南角一楼</t>
  </si>
  <si>
    <t>1202096</t>
  </si>
  <si>
    <t>KH00144</t>
  </si>
  <si>
    <t>遇见个超市（石岩店）</t>
  </si>
  <si>
    <t>15302692597</t>
  </si>
  <si>
    <t>广东省 深圳市 宝安区 石岩街道 石岩镇成功里光辉路1号B栋二楼203</t>
  </si>
  <si>
    <t>1142509</t>
  </si>
  <si>
    <t>KH00124</t>
  </si>
  <si>
    <t>遇见个超市（沙井店）</t>
  </si>
  <si>
    <t>18028756842</t>
  </si>
  <si>
    <t>广东省 深圳市 宝安区 沙井街道 坣岗社区崇光路9号209亿康广场二楼</t>
  </si>
  <si>
    <t>1128599</t>
  </si>
  <si>
    <t>KH00122</t>
  </si>
  <si>
    <t>遇见个超市(桥头店)</t>
  </si>
  <si>
    <t>18824283147</t>
  </si>
  <si>
    <t xml:space="preserve">广东省 深圳市 宝安区 福海街道 桥头社区桥荣路42号207 </t>
  </si>
  <si>
    <t>1137180</t>
  </si>
  <si>
    <t>KH00121</t>
  </si>
  <si>
    <t>遇见个超市（坪山店）</t>
  </si>
  <si>
    <t>13332949932</t>
  </si>
  <si>
    <t>广东省 深圳市 坪山区 马峦街道 坪环工业城102栋2楼遇见个超市（请勿三五，需要标签）</t>
  </si>
  <si>
    <t>1150464</t>
  </si>
  <si>
    <t>KH00120</t>
  </si>
  <si>
    <t>遇见个超市（龙岗店）</t>
  </si>
  <si>
    <t>19926807325</t>
  </si>
  <si>
    <t>广东省 深圳市 龙岗区 向银路祥达利文创园32号3栋101</t>
  </si>
  <si>
    <t>1096930</t>
  </si>
  <si>
    <t>KH00099</t>
  </si>
  <si>
    <t>遇见个超市（固戍店）</t>
  </si>
  <si>
    <t>18018758035</t>
  </si>
  <si>
    <t>广东省 深圳市 宝安区 航城街道 三围社区三围顺发楼3楼遇见【需送货上门】</t>
  </si>
  <si>
    <t>1161639</t>
  </si>
  <si>
    <t>KH00143</t>
  </si>
  <si>
    <t>松鼠便利（斗门万达店）</t>
  </si>
  <si>
    <t>徐斌</t>
  </si>
  <si>
    <t>15390975678</t>
  </si>
  <si>
    <t>井岸镇</t>
  </si>
  <si>
    <t>五福村南路88号A区一号厂房一楼（快递不要放驿站，辛苦直送门店）</t>
  </si>
  <si>
    <t>松鼠便利</t>
  </si>
  <si>
    <t>KH00142</t>
  </si>
  <si>
    <t>松鼠便利（广州西塱店）</t>
  </si>
  <si>
    <t>邹溪桐</t>
  </si>
  <si>
    <t>13827583060</t>
  </si>
  <si>
    <t>花地大道中449号6栋106室</t>
  </si>
  <si>
    <t>KH00141</t>
  </si>
  <si>
    <t>蒙牛嘉禾配送站</t>
  </si>
  <si>
    <t>13724837570</t>
  </si>
  <si>
    <t>嘉禾街道盈通城C2106-107档</t>
  </si>
  <si>
    <t>KH00140</t>
  </si>
  <si>
    <t>名创优品（深圳龙岗坂田长发西路店）</t>
  </si>
  <si>
    <t>袁晓漫</t>
  </si>
  <si>
    <t>19926008956</t>
  </si>
  <si>
    <t>坂田街道大发埔社区长发西路34号中宝通B3栋103房</t>
  </si>
  <si>
    <t>名创优品</t>
  </si>
  <si>
    <t>KH00139</t>
  </si>
  <si>
    <t>名创优品（深圳龙华民治店）</t>
  </si>
  <si>
    <t>眭玲</t>
  </si>
  <si>
    <t>19917997505</t>
  </si>
  <si>
    <t>龙华新区民治街道上芬社区西头村西头东苑1栋A203室</t>
  </si>
  <si>
    <t>KH00138</t>
  </si>
  <si>
    <t>名创优品（深圳南山南头国兴大厦店）</t>
  </si>
  <si>
    <t>15323872703</t>
  </si>
  <si>
    <t>南头街道田厦社区国兴大厦9A房</t>
  </si>
  <si>
    <t>KH00137</t>
  </si>
  <si>
    <t>名创优品（深圳罗湖洪湖路店）</t>
  </si>
  <si>
    <t>廖友珠</t>
  </si>
  <si>
    <t>13049069633</t>
  </si>
  <si>
    <t>罗湖区</t>
  </si>
  <si>
    <t>笋岗街道湖景社区洪湖路32号湖景花园湖滨阁裙楼第二层L2-I2#</t>
  </si>
  <si>
    <t>KH00136</t>
  </si>
  <si>
    <t>名创优品（深圳沙井松山西路店）</t>
  </si>
  <si>
    <t>黄兰萍</t>
  </si>
  <si>
    <t>19022080602</t>
  </si>
  <si>
    <t>沙井街道壆岗社区松山西路10号厂房205</t>
  </si>
  <si>
    <t>KH00135</t>
  </si>
  <si>
    <t>名创优品（深圳龙华福城店）</t>
  </si>
  <si>
    <t>胡威</t>
  </si>
  <si>
    <t>15329886052</t>
  </si>
  <si>
    <t>福城街道四和社区人民路181号楼房八103</t>
  </si>
  <si>
    <t>KH00134</t>
  </si>
  <si>
    <t>名创优品（深圳福田中港城店）</t>
  </si>
  <si>
    <t>何鑫玲</t>
  </si>
  <si>
    <t>13113675543</t>
  </si>
  <si>
    <t>中港城大厦4楼小班布教育城4层L416-2室</t>
  </si>
  <si>
    <t>KH00133</t>
  </si>
  <si>
    <t>名创优品（深圳福田车公庙店）</t>
  </si>
  <si>
    <t>陈千悦</t>
  </si>
  <si>
    <t>18620320182</t>
  </si>
  <si>
    <t>泰然四路24号中联大厦2楼201室</t>
  </si>
  <si>
    <t>KH00132</t>
  </si>
  <si>
    <t>名创优品（深圳福田华强北店）</t>
  </si>
  <si>
    <t>陈木兰</t>
  </si>
  <si>
    <t>19022080561</t>
  </si>
  <si>
    <t>华强北街道荔村社区华强北路3012号赛格科技园2栋东1001室</t>
  </si>
  <si>
    <t>KH00131</t>
  </si>
  <si>
    <t>名创优品（深圳南山粤海琼宇路店）</t>
  </si>
  <si>
    <t>陈敏敏</t>
  </si>
  <si>
    <t>17818951730</t>
  </si>
  <si>
    <t>粤海街道科技园社区科技园琼宇路5号51栋厂房208</t>
  </si>
  <si>
    <t>KH00130</t>
  </si>
  <si>
    <t>名创优品（深圳宝安西乡海滨新村店）</t>
  </si>
  <si>
    <t>白国伟</t>
  </si>
  <si>
    <t>15323724437</t>
  </si>
  <si>
    <t>西乡街道蚝业社区海滨新村沿河路14栋26号铺</t>
  </si>
  <si>
    <t>KH00129</t>
  </si>
  <si>
    <t>名创优品（广州天河育英路店）</t>
  </si>
  <si>
    <t>周雅吉</t>
  </si>
  <si>
    <t>19120355106</t>
  </si>
  <si>
    <t>广州市天河区黄村育英路31号自编C106</t>
  </si>
  <si>
    <t>KH00128</t>
  </si>
  <si>
    <t>名创优品（广州越秀寺右新马路店）</t>
  </si>
  <si>
    <t>赵小棋</t>
  </si>
  <si>
    <t>19129287464</t>
  </si>
  <si>
    <t>越秀区</t>
  </si>
  <si>
    <t>寺右新马路77号地下1层</t>
  </si>
  <si>
    <t>KH00127</t>
  </si>
  <si>
    <t>名创优品（广州番禺南村店）</t>
  </si>
  <si>
    <t>麦宇霞</t>
  </si>
  <si>
    <t>13232157824</t>
  </si>
  <si>
    <t>南村镇万惠一路36号201</t>
  </si>
  <si>
    <t>KH00126</t>
  </si>
  <si>
    <t>名创优品（广州荔湾周门北路店）</t>
  </si>
  <si>
    <t>林燕煌</t>
  </si>
  <si>
    <t>18823932132</t>
  </si>
  <si>
    <t>周门北路35号首层自编A01</t>
  </si>
  <si>
    <t>KH00125</t>
  </si>
  <si>
    <t>名创优品（广州越秀黄华路店）</t>
  </si>
  <si>
    <t>梁东浩</t>
  </si>
  <si>
    <t>19878912059</t>
  </si>
  <si>
    <t>黄华路中约外街9号之一102房</t>
  </si>
  <si>
    <t>KH00123</t>
  </si>
  <si>
    <t>名创优品（广州海珠敦和路店）</t>
  </si>
  <si>
    <t>雷永骏</t>
  </si>
  <si>
    <t>19120661026</t>
  </si>
  <si>
    <t>海珠区</t>
  </si>
  <si>
    <t>协爽IDEA创工场B栋4楼出电梯右转再左转直走403</t>
  </si>
  <si>
    <t>KH00119</t>
  </si>
  <si>
    <t>顺发百货超市(古镇店)收货时间8：00-23：00</t>
  </si>
  <si>
    <t>陆如意</t>
  </si>
  <si>
    <t>18022015845</t>
  </si>
  <si>
    <t>古镇镇岐江公路冈东文兴大道1号A2卡商铺(顺发百货)</t>
  </si>
  <si>
    <t>顺发百货超市</t>
  </si>
  <si>
    <t>KH00100</t>
  </si>
  <si>
    <t>维好客天源交通店</t>
  </si>
  <si>
    <t>18707139892</t>
  </si>
  <si>
    <t>天源路789号广东交通职业技术学院(南校区)</t>
  </si>
  <si>
    <t>便民便利店</t>
  </si>
  <si>
    <t>KH00118</t>
  </si>
  <si>
    <t>一围肥牛火锅（佛山顺德万象汇店）</t>
  </si>
  <si>
    <t>熊喜民</t>
  </si>
  <si>
    <t>13302560861</t>
  </si>
  <si>
    <t>顺德区驹荣路3号顺德万象汇负一楼一围肥牛小火锅</t>
  </si>
  <si>
    <t>一围肥牛火锅</t>
  </si>
  <si>
    <t>KH00117</t>
  </si>
  <si>
    <t>一围肥牛火锅（佛山永旺梦乐城店）</t>
  </si>
  <si>
    <t>彭仁辉</t>
  </si>
  <si>
    <t>15388380759</t>
  </si>
  <si>
    <t>南海区滘口路13号永旺梦乐城B1层（一围肥牛肉小火锅）</t>
  </si>
  <si>
    <t>KH00116</t>
  </si>
  <si>
    <t>一围肥牛火锅（佛山王府井店）</t>
  </si>
  <si>
    <t>杨洁玲</t>
  </si>
  <si>
    <t>15917196346</t>
  </si>
  <si>
    <t>禅城区王府井紫薇岗负一楼一围肥牛小火锅</t>
  </si>
  <si>
    <t>KH00115</t>
  </si>
  <si>
    <t>一围肥牛火锅（佛山金沙洲金铂店）</t>
  </si>
  <si>
    <t>文威</t>
  </si>
  <si>
    <t>13149379656</t>
  </si>
  <si>
    <t>南海区大沥镇黄岐建设道33号金沙洲金铂天地三楼374铺（一围肥牛肉小火锅）</t>
  </si>
  <si>
    <t>KH00114</t>
  </si>
  <si>
    <t>一围肥牛火锅（佛山桂城金铂中心店）</t>
  </si>
  <si>
    <t>司晨</t>
  </si>
  <si>
    <t>13659112111</t>
  </si>
  <si>
    <t>南海区桂城街道（石肯）桂业路88号金铂中心商业广场负二层B212号商铺一围肥牛小火锅</t>
  </si>
  <si>
    <t>KH00113</t>
  </si>
  <si>
    <t>一围肥牛火锅（广州北京路天河店）</t>
  </si>
  <si>
    <t>李林雄</t>
  </si>
  <si>
    <t>19948105613</t>
  </si>
  <si>
    <t>越秀区北京路168号北京路天河城 6 楼一围肥牛小火锅</t>
  </si>
  <si>
    <t>KH00112</t>
  </si>
  <si>
    <t>一围肥牛火锅（广州龙洞海悦城店）</t>
  </si>
  <si>
    <t>李定瀚</t>
  </si>
  <si>
    <t>15526009899</t>
  </si>
  <si>
    <t>天河区龙洞街道海悦城2楼（一围肥牛肉小火锅）</t>
  </si>
  <si>
    <t>KH00111</t>
  </si>
  <si>
    <t>一围肥牛火锅（广州天娱广场店）</t>
  </si>
  <si>
    <t>马兴龙</t>
  </si>
  <si>
    <t>18787156523</t>
  </si>
  <si>
    <t>天河区天河路天娱广场B1楼（一围肥牛肉小火锅）</t>
  </si>
  <si>
    <t>KH00110</t>
  </si>
  <si>
    <t>一围肥牛火锅（广州欣荣宏店）</t>
  </si>
  <si>
    <t>刘向军</t>
  </si>
  <si>
    <t>19576558648</t>
  </si>
  <si>
    <t>从化区</t>
  </si>
  <si>
    <t>从化区江埔街欣荣宏商业街b1层（一围肥牛肉小火锅）</t>
  </si>
  <si>
    <t>KH00109</t>
  </si>
  <si>
    <t>一围肥牛火锅（广州融创茂店）</t>
  </si>
  <si>
    <t>辜俊</t>
  </si>
  <si>
    <t>17628398372</t>
  </si>
  <si>
    <t>花都区凤凰北路广州融创茂3楼（一围肥牛肉小火锅）</t>
  </si>
  <si>
    <t>KH00108</t>
  </si>
  <si>
    <t>一围肥牛火锅（广州增城万达店）</t>
  </si>
  <si>
    <t>徐士海</t>
  </si>
  <si>
    <t>18256402184</t>
  </si>
  <si>
    <t>增城区增城大道69号增城万达广场2层（一围肥牛肉小火锅）</t>
  </si>
  <si>
    <t>KH00107</t>
  </si>
  <si>
    <t>一围肥牛火锅（广州白云湖金铂天地店）</t>
  </si>
  <si>
    <t>吕秀才</t>
  </si>
  <si>
    <t>17759535358</t>
  </si>
  <si>
    <t>白云区白云湖金铂天地负一楼（一围肥牛肉小火锅）</t>
  </si>
  <si>
    <t>KH00106</t>
  </si>
  <si>
    <t>一围肥牛火锅（广州嘉禾金铂店）</t>
  </si>
  <si>
    <t>银杰</t>
  </si>
  <si>
    <t>17620051947</t>
  </si>
  <si>
    <t>白云区鹤⻰二路 85号金铂天地 1 层 135 号商铺一围肥牛小火锅（肯德基旁边）</t>
  </si>
  <si>
    <t>KH00105</t>
  </si>
  <si>
    <t>一围肥牛火锅（广州大学城gogo新天地店）</t>
  </si>
  <si>
    <t>李立兴</t>
  </si>
  <si>
    <t>19977855432</t>
  </si>
  <si>
    <t>番禺区大学城GOGO新天地二楼一围肥牛小火锅</t>
  </si>
  <si>
    <t>KH00104</t>
  </si>
  <si>
    <t>一围肥牛火锅（广州富力海珠城店）</t>
  </si>
  <si>
    <t>李永平</t>
  </si>
  <si>
    <t>15399912555</t>
  </si>
  <si>
    <t>海珠区江南西路1号富力海珠城A区负二层一围肥牛小火锅（文通冰室隔壁）</t>
  </si>
  <si>
    <t>KH00103</t>
  </si>
  <si>
    <t>一围肥牛火锅（广州百信广场店）</t>
  </si>
  <si>
    <t>周敏</t>
  </si>
  <si>
    <t>15894582032</t>
  </si>
  <si>
    <t>白云区棠乐路1357号百信广场西区B1层（一围肥牛肉小火锅）</t>
  </si>
  <si>
    <t>KH00102</t>
  </si>
  <si>
    <t>一围肥牛火锅（广州同和金铂天地店）</t>
  </si>
  <si>
    <t>黄泽丽</t>
  </si>
  <si>
    <t>15766889918</t>
  </si>
  <si>
    <t>同和金铂天地负一层005号铺面一围肥牛小火锅</t>
  </si>
  <si>
    <t>KH00101</t>
  </si>
  <si>
    <t>一围肥牛火锅（广州佳兆业广场店）</t>
  </si>
  <si>
    <t>伍玉豪</t>
  </si>
  <si>
    <t>18692812201</t>
  </si>
  <si>
    <t>天河区天河南街道体育西路191号佳兆业广场负一层一围肥牛小火锅</t>
  </si>
  <si>
    <t>KH00095</t>
  </si>
  <si>
    <t>哈哈莱贸易仓储</t>
  </si>
  <si>
    <t>13247566603</t>
  </si>
  <si>
    <t>海珠区瑞宝街道恒远大楼西北侧100米</t>
  </si>
  <si>
    <t>KH00094</t>
  </si>
  <si>
    <t>广州市番禺穗安工业气体有限公司</t>
  </si>
  <si>
    <t>穗安工业气体</t>
  </si>
  <si>
    <t>13288478398</t>
  </si>
  <si>
    <t>番禺区南村镇迎宾大道224号四桂堡后面</t>
  </si>
  <si>
    <t>KH00093</t>
  </si>
  <si>
    <t>顺德鱼生（环村东路店）</t>
  </si>
  <si>
    <t>15013138646</t>
  </si>
  <si>
    <t>海珠区官洲街道环村东路（广州市穗华职业技术学校东北侧约50米）</t>
  </si>
  <si>
    <t>顺德鱼生</t>
  </si>
  <si>
    <t>KH00092</t>
  </si>
  <si>
    <t>广州市瑞日机电设备有限公司-优品</t>
  </si>
  <si>
    <t>瑞日机电（优品）</t>
  </si>
  <si>
    <t>13427584599</t>
  </si>
  <si>
    <t>番禺区桥南街道蚬涌中心路3横2号101</t>
  </si>
  <si>
    <t>KH00091</t>
  </si>
  <si>
    <t>熊猫很忙（博美-广东东莞）</t>
  </si>
  <si>
    <t>18802049858</t>
  </si>
  <si>
    <t>虎门博涌明苑路176号(明苑小区南门-龙源口创业园)A栋301室</t>
  </si>
  <si>
    <t>KH00090</t>
  </si>
  <si>
    <t>美宜多【兴贤店】</t>
  </si>
  <si>
    <t>兴贤店</t>
  </si>
  <si>
    <t>KH00089</t>
  </si>
  <si>
    <t>美宜多【新鸿店】</t>
  </si>
  <si>
    <t>新鸿店</t>
  </si>
  <si>
    <t>KH00088</t>
  </si>
  <si>
    <t>美宜多【富田店】</t>
  </si>
  <si>
    <t>富田店</t>
  </si>
  <si>
    <t>KH00086</t>
  </si>
  <si>
    <t>京牛快送超市（金沙店）</t>
  </si>
  <si>
    <t>19928211107</t>
  </si>
  <si>
    <t>丹灶镇</t>
  </si>
  <si>
    <t>东省 佛山市 南海区 丹灶镇 金业路，金牛快送超市金沙店 门口</t>
  </si>
  <si>
    <t>KH00085</t>
  </si>
  <si>
    <t>胜佳（华景店）</t>
  </si>
  <si>
    <t>胜佳华景店</t>
  </si>
  <si>
    <t>18126818015</t>
  </si>
  <si>
    <t>广州市天河区华景路91号</t>
  </si>
  <si>
    <t>胜佳</t>
  </si>
  <si>
    <t>KH00084</t>
  </si>
  <si>
    <t>施来客（东莞大仓）</t>
  </si>
  <si>
    <t>18678395375</t>
  </si>
  <si>
    <t>广东省东莞市大朗镇石厦村富民南路336号（天虹物流中心）北门</t>
  </si>
  <si>
    <t>KH00083</t>
  </si>
  <si>
    <t>遇见个超市（黄江店）</t>
  </si>
  <si>
    <t>遇见个超市（东莞黄江店）</t>
  </si>
  <si>
    <t>18025907198</t>
  </si>
  <si>
    <t>黄江镇</t>
  </si>
  <si>
    <t>广东省 东莞市 黄江镇江阳路18号101室后面东莞市潮万食餐饮供应链厂家直销总仓遇见个超市</t>
  </si>
  <si>
    <t>1202553</t>
  </si>
  <si>
    <t>KH00082</t>
  </si>
  <si>
    <t>遇见个超市(茶山店)</t>
  </si>
  <si>
    <t>13316639769</t>
  </si>
  <si>
    <t>广东省东莞市茶山镇 鹏程制衣厂118号201遇见个超市请送货上门 请勿三无需要标签</t>
  </si>
  <si>
    <t>1250101</t>
  </si>
  <si>
    <t>KH00081</t>
  </si>
  <si>
    <t>遇见个超市（长安镇店）</t>
  </si>
  <si>
    <t>遇见个超市（东莞长安镇店）</t>
  </si>
  <si>
    <t>19928188272</t>
  </si>
  <si>
    <t>东莞市长安镇莲花路10号2栋205室遇见个超市，需送货上门，需要标签，请勿三无</t>
  </si>
  <si>
    <t>1194581</t>
  </si>
  <si>
    <t>KH00080</t>
  </si>
  <si>
    <t>遇见个超市（高明店）</t>
  </si>
  <si>
    <t>彭丽婷</t>
  </si>
  <si>
    <t>17722789174</t>
  </si>
  <si>
    <t>高明区</t>
  </si>
  <si>
    <t>佛山市高明区荷城街道文华路508号204（需要送货上门，拒绝三无临期产品）</t>
  </si>
  <si>
    <t>1252267</t>
  </si>
  <si>
    <t>KH00079</t>
  </si>
  <si>
    <t>畅盈到家超市（广州柯木塱店）</t>
  </si>
  <si>
    <t>柯木塱店</t>
  </si>
  <si>
    <t>16676352003</t>
  </si>
  <si>
    <t>柯木塱背坪社下街29之一，畅盈到家超市柯木塱店</t>
  </si>
  <si>
    <t>KH00078</t>
  </si>
  <si>
    <t>熊猫很忙（高要-广东肇庆）</t>
  </si>
  <si>
    <t>19125994296</t>
  </si>
  <si>
    <t>肇庆市</t>
  </si>
  <si>
    <t>高要区</t>
  </si>
  <si>
    <t>陈孔村湖西二路14号熊猫很忙超市(送货上门 放驿站拒收)</t>
  </si>
  <si>
    <t>KH00077</t>
  </si>
  <si>
    <t>云邻优先超市南城店（9点到18点）</t>
  </si>
  <si>
    <t>门店</t>
  </si>
  <si>
    <t>13267426885</t>
  </si>
  <si>
    <t>南城区莞太路73号</t>
  </si>
  <si>
    <t>云邻优先超市南城店</t>
  </si>
  <si>
    <t>KH00075</t>
  </si>
  <si>
    <t>菜大全（艺展路店）9点-18点收货</t>
  </si>
  <si>
    <t>菜大全</t>
  </si>
  <si>
    <t>18664104323</t>
  </si>
  <si>
    <t>南城街道宏图路55号之一103室(527运动球馆旁边30米)菜大全生鲜果蔬超市(艺展路店)</t>
  </si>
  <si>
    <t>KH00074</t>
  </si>
  <si>
    <t>优客恬（同德店）</t>
  </si>
  <si>
    <t>兰小姐</t>
  </si>
  <si>
    <t>18662184856</t>
  </si>
  <si>
    <t>同德街道</t>
  </si>
  <si>
    <t>粤溪北路北环广场2号楼211房（优客恬超市）</t>
  </si>
  <si>
    <t>优客恬</t>
  </si>
  <si>
    <t>KH00073</t>
  </si>
  <si>
    <t>优客恬（太和店）21点前收货</t>
  </si>
  <si>
    <t>18024045762</t>
  </si>
  <si>
    <t>大源街陈太路145号401室绿色电梯上来4楼优客恬百货精品超市(太和店)</t>
  </si>
  <si>
    <t>KH00072</t>
  </si>
  <si>
    <t>优客恬（上下九店）21点前收货</t>
  </si>
  <si>
    <t>优客恬（上下九店）</t>
  </si>
  <si>
    <t>18520447179</t>
  </si>
  <si>
    <t>大新路377号3楼301房（必须送货上门，否则投诉）聚祥里牌坊直走5米左边铁门上</t>
  </si>
  <si>
    <t>KH00067</t>
  </si>
  <si>
    <t>西菲狸（佛山大沥店）</t>
  </si>
  <si>
    <t>19042421709</t>
  </si>
  <si>
    <t>大沥镇</t>
  </si>
  <si>
    <t>钟边社区 新城村南门1号 自编号206（不要放丰巢，要送货上门）西菲狸百货超市</t>
  </si>
  <si>
    <t>西菲狸</t>
  </si>
  <si>
    <t>KH00070</t>
  </si>
  <si>
    <t>西菲狸（广州琶洲南店）</t>
  </si>
  <si>
    <t>13316052636</t>
  </si>
  <si>
    <t>石榴岗路18号大院2栋2层（不要放丰巢，要送货上门）西菲狸百货超市</t>
  </si>
  <si>
    <t>KH00069</t>
  </si>
  <si>
    <t>西菲狸（佛山乐从店）</t>
  </si>
  <si>
    <t>19042423020</t>
  </si>
  <si>
    <t>乐从镇</t>
  </si>
  <si>
    <t>腾冲商贸四路8号  二楼B1  （不要放丰巢，要送货上门）西菲狸百货超市</t>
  </si>
  <si>
    <t>KH00068</t>
  </si>
  <si>
    <t>西菲狸（广州亚运城店）</t>
  </si>
  <si>
    <t>18922297731</t>
  </si>
  <si>
    <t>石楼镇</t>
  </si>
  <si>
    <t>石清公路78号  B栋102  （不要放丰巢，要送货上门）西菲狸百货超市</t>
  </si>
  <si>
    <t>KH00066</t>
  </si>
  <si>
    <t>勤峰</t>
  </si>
  <si>
    <t>13682261206</t>
  </si>
  <si>
    <t>广棠北路</t>
  </si>
  <si>
    <t>KH00065</t>
  </si>
  <si>
    <t>遇见个超市（广州珠江新城店）</t>
  </si>
  <si>
    <t>遇见个珠江新城店</t>
  </si>
  <si>
    <t>18902284790</t>
  </si>
  <si>
    <t>龙口东路354号405房遇见个超市请送货上门 请勿三无需要标签</t>
  </si>
  <si>
    <t>KH00064</t>
  </si>
  <si>
    <t>遇见个超市（广州钟山店）</t>
  </si>
  <si>
    <t>遇见个钟山店</t>
  </si>
  <si>
    <t>15779120423</t>
  </si>
  <si>
    <t>广州市番禺区钟村街钟一村永业大厦北门1栋1号楼二楼遇见个超市，请送货上门，需要标签，请勿三无</t>
  </si>
  <si>
    <t>KH00063</t>
  </si>
  <si>
    <t>遇见个超市（东莞万江店）</t>
  </si>
  <si>
    <t>遇见个万江店</t>
  </si>
  <si>
    <t>18929148646</t>
  </si>
  <si>
    <t>广东省东莞市万江镇古屋村东一10巷3号遇见个超市</t>
  </si>
  <si>
    <t>KH00062</t>
  </si>
  <si>
    <t>遇见个超市（广州智慧城店）</t>
  </si>
  <si>
    <t>遇见个智慧城店</t>
  </si>
  <si>
    <t>19966235872</t>
  </si>
  <si>
    <t>沐陂东路松发五金后停车场左边路走到底遇见个超市</t>
  </si>
  <si>
    <t>KH00061</t>
  </si>
  <si>
    <t>遇见个超市（佛山三水店）</t>
  </si>
  <si>
    <t>遇见个三水店</t>
  </si>
  <si>
    <t>18927287585</t>
  </si>
  <si>
    <t>三水区西南街道月桂二路9号桂宝三街遇见 个超市，送货上门</t>
  </si>
  <si>
    <t>KH00060</t>
  </si>
  <si>
    <t>遇见个超市（佛山乐从店）</t>
  </si>
  <si>
    <t>遇见个乐从店</t>
  </si>
  <si>
    <t>13392235163</t>
  </si>
  <si>
    <t>广东省佛山市顺德区广东省佛山市顺德区乐从镇腾冲商贸四路8号3楼遇见超市，请送货上楼，需要标签，请勿三无</t>
  </si>
  <si>
    <t>KH00059</t>
  </si>
  <si>
    <t>遇见个超市（广州花都店）</t>
  </si>
  <si>
    <t>遇见个花都店</t>
  </si>
  <si>
    <t>19128792558</t>
  </si>
  <si>
    <t>广东省广州市花都区东华庄三街12号云创文化创意园2栋103送货上门</t>
  </si>
  <si>
    <t>KH00058</t>
  </si>
  <si>
    <t>遇见个超市（广州海珠店）</t>
  </si>
  <si>
    <t>遇见个海珠店</t>
  </si>
  <si>
    <t>13392129558</t>
  </si>
  <si>
    <t>广州市海珠区凤阳街道五凤村凤岗脚59号负一楼遇见个超市，需要送货上门，拒绝三无产品</t>
  </si>
  <si>
    <t>KH00057</t>
  </si>
  <si>
    <t>遇见个超市(广州大源店)</t>
  </si>
  <si>
    <t>遇见个大源店</t>
  </si>
  <si>
    <t>18617331368</t>
  </si>
  <si>
    <t>大源中路12号C栋101遇见个超市，送货上门盖章验收;拒绝三无产品，一单不要发多包</t>
  </si>
  <si>
    <t>KH00056</t>
  </si>
  <si>
    <t>遇见个超市(广州大石店)</t>
  </si>
  <si>
    <t>遇见个大石店</t>
  </si>
  <si>
    <t>19924270712</t>
  </si>
  <si>
    <t>大石街道大石家私城F座2楼遇见个超市（送货上门）</t>
  </si>
  <si>
    <t>KH00055</t>
  </si>
  <si>
    <t>遇见个超市(佛山大沥店）</t>
  </si>
  <si>
    <t>遇见个大沥店</t>
  </si>
  <si>
    <t>17324139277</t>
  </si>
  <si>
    <t>大沥镇体育路20号遇见个超市2楼(需送货上门）</t>
  </si>
  <si>
    <t>KH00054</t>
  </si>
  <si>
    <t>粤成批发部</t>
  </si>
  <si>
    <t>15112933208</t>
  </si>
  <si>
    <t>南海区建设大道与裕江路交叉口西南方向88米左右</t>
  </si>
  <si>
    <t>KH00053</t>
  </si>
  <si>
    <t>胜安商贸</t>
  </si>
  <si>
    <t>13922152032</t>
  </si>
  <si>
    <t>白云区江三路（江丰水产饲料厂东56米）</t>
  </si>
  <si>
    <t>KH00052</t>
  </si>
  <si>
    <t>桥兴食品贸易</t>
  </si>
  <si>
    <t>桥兴食品贸易（沈生）</t>
  </si>
  <si>
    <t>13527678799</t>
  </si>
  <si>
    <t>荔湾区坦尾南三巷</t>
  </si>
  <si>
    <t>KH00051</t>
  </si>
  <si>
    <t>兴发饮料批发部</t>
  </si>
  <si>
    <t>兴发饮料批发部（林总）</t>
  </si>
  <si>
    <t>13342888930</t>
  </si>
  <si>
    <t>石围塘街道怡福街16号怡福苑小区</t>
  </si>
  <si>
    <t>KH00050</t>
  </si>
  <si>
    <t>好惠多生活超市早7-晚9</t>
  </si>
  <si>
    <t>18825153076</t>
  </si>
  <si>
    <t>黄花岗街道</t>
  </si>
  <si>
    <t>先烈中路81号大院76栋1号商铺好惠多生活超市</t>
  </si>
  <si>
    <t>KH00049</t>
  </si>
  <si>
    <t>KH00048</t>
  </si>
  <si>
    <t>遇见个超市(江门蓬江店)</t>
  </si>
  <si>
    <t>13360223465</t>
  </si>
  <si>
    <t>竹排街1号工业园26号厂房首页，遇见个超市，请送货上门，拒收临期食品，需要签请勿三无</t>
  </si>
  <si>
    <t>KH00047</t>
  </si>
  <si>
    <t>遇见个超市（东莞桥头店）</t>
  </si>
  <si>
    <t>13544711916</t>
  </si>
  <si>
    <t>莲城宏达二街西一巷2号101室遇见个超市</t>
  </si>
  <si>
    <t>KH00045</t>
  </si>
  <si>
    <t>遇见个超市（东莞石排店）</t>
  </si>
  <si>
    <t>18100242891</t>
  </si>
  <si>
    <t>石排村，下曾一横11号一楼送上楼</t>
  </si>
  <si>
    <t>KH00044</t>
  </si>
  <si>
    <t>优品虎&amp;淘宝宅家购超市（北滘店）</t>
  </si>
  <si>
    <t>19153959870</t>
  </si>
  <si>
    <t>北滘镇</t>
  </si>
  <si>
    <t>广东省 佛山市 顺德区 广东省佛山市顺德区北滘镇北滘社区南源花园6号商铺</t>
  </si>
  <si>
    <t>优品虎&amp;淘宝宅家购超市</t>
  </si>
  <si>
    <t>KH00043</t>
  </si>
  <si>
    <t>优品虎超市（广州番禺直营店）</t>
  </si>
  <si>
    <t>思文</t>
  </si>
  <si>
    <t>15070541810</t>
  </si>
  <si>
    <t>市桥街道</t>
  </si>
  <si>
    <t>市桥长提西路4号优品虎超市</t>
  </si>
  <si>
    <t>优品虎超市</t>
  </si>
  <si>
    <t>KH00042</t>
  </si>
  <si>
    <t>临期出库</t>
  </si>
  <si>
    <t>1</t>
  </si>
  <si>
    <t>15817135179</t>
  </si>
  <si>
    <t>广百物流3号仓</t>
  </si>
  <si>
    <t>KH00034</t>
  </si>
  <si>
    <t>破损出库</t>
  </si>
  <si>
    <t>邓</t>
  </si>
  <si>
    <t>18175822221</t>
  </si>
  <si>
    <t>KH00032</t>
  </si>
  <si>
    <t>熊猫很忙（富通路店—广东东莞）（收货时间早9-晚8）</t>
  </si>
  <si>
    <t>熊猫很忙超市富通路店</t>
  </si>
  <si>
    <t>15913736889</t>
  </si>
  <si>
    <t>大朗镇黄草朗吉祥路68号101房</t>
  </si>
  <si>
    <t>KH00046</t>
  </si>
  <si>
    <t>松鼠便利（广州龙归店）</t>
  </si>
  <si>
    <t>徐启源</t>
  </si>
  <si>
    <t>15902020830</t>
  </si>
  <si>
    <t>广州市白云区龙归南村大江允大街1-1号3楼松鼠便利（快递不要放驿站，直接送门店）</t>
  </si>
  <si>
    <t>CUS00308</t>
  </si>
  <si>
    <t>一鹿发百货超市（广州番禺店</t>
  </si>
  <si>
    <t>曾文杰</t>
  </si>
  <si>
    <t>13250275445</t>
  </si>
  <si>
    <t>广东省 广州市 番禺区 长江路351号一鹿发百货超市</t>
  </si>
  <si>
    <t>一鹿发百货超市</t>
  </si>
  <si>
    <t>KH00041</t>
  </si>
  <si>
    <t>吉时购（佛山市颐景园店）</t>
  </si>
  <si>
    <t>13144138952</t>
  </si>
  <si>
    <t>广乐颐景园1栋106吉时购商铺(送货上门)</t>
  </si>
  <si>
    <t>KH00040</t>
  </si>
  <si>
    <t>安得</t>
  </si>
  <si>
    <t>物流部</t>
  </si>
  <si>
    <t>同超</t>
  </si>
  <si>
    <t>18929565385</t>
  </si>
  <si>
    <t>广百物流园</t>
  </si>
  <si>
    <t>KH00039</t>
  </si>
  <si>
    <t>松鼠便利（广州黄埔萝岗店）新店还未开业，白天送货</t>
  </si>
  <si>
    <t>杨生</t>
  </si>
  <si>
    <t>19076400303</t>
  </si>
  <si>
    <t>广州市黄埔区峻福路57号负一层 （松鼠黄埔萝岗店）</t>
  </si>
  <si>
    <t>KH00038</t>
  </si>
  <si>
    <t>松鼠便利（广州番禺永旺店）</t>
  </si>
  <si>
    <t>梁志坚</t>
  </si>
  <si>
    <t>13631339081</t>
  </si>
  <si>
    <t>广州市番禺区大龙街钟家庄北路2号1栋3楼303（松鼠便利店）</t>
  </si>
  <si>
    <t>KH00037</t>
  </si>
  <si>
    <t>熊猫很忙（清湖头店-广东东莞）</t>
  </si>
  <si>
    <t>18938268756</t>
  </si>
  <si>
    <t>塘厦镇清湖头榄岭巷98号一楼</t>
  </si>
  <si>
    <t>KH00036</t>
  </si>
  <si>
    <t>熊猫很忙（新世纪店-广东广州）</t>
  </si>
  <si>
    <t>19128665483</t>
  </si>
  <si>
    <t>新华街道</t>
  </si>
  <si>
    <t>新华街花城路50号中座、南座二层，熊猫很忙超市</t>
  </si>
  <si>
    <t>KH00035</t>
  </si>
  <si>
    <t>松鼠便利（广州科学城店）</t>
  </si>
  <si>
    <t>邱远超</t>
  </si>
  <si>
    <t>19120226669</t>
  </si>
  <si>
    <t>黄埔区天泰一路2号麦普科技园5栋（B梯）309松鼠便利（快递不要放驿站，直送到门店）</t>
  </si>
  <si>
    <t>724</t>
  </si>
  <si>
    <t>精明购百货超市东圃店</t>
  </si>
  <si>
    <t>方小姐</t>
  </si>
  <si>
    <t>13650792497</t>
  </si>
  <si>
    <t>东圃陂东路7号101铺首层之一（精明购百货超市东圃店）</t>
  </si>
  <si>
    <t>KH00033</t>
  </si>
  <si>
    <t>鲸GO生活超市（广州市桥店）白天收货！</t>
  </si>
  <si>
    <t>18011770416</t>
  </si>
  <si>
    <t>广州市番禺区市桥街工业路3街7座自编101号</t>
  </si>
  <si>
    <t>KH00026</t>
  </si>
  <si>
    <t>松鼠便利（珠海十字门店）</t>
  </si>
  <si>
    <t>江文锋</t>
  </si>
  <si>
    <t>13421246510</t>
  </si>
  <si>
    <t>珠海市香洲区湾仔街道保税区中电珠海公司保税园区西北门松鼠便利店</t>
  </si>
  <si>
    <t>KH00023</t>
  </si>
  <si>
    <t>胜佳超市（新大德二店）</t>
  </si>
  <si>
    <t>胜佳（新大德二店）</t>
  </si>
  <si>
    <t>大德路282号首层</t>
  </si>
  <si>
    <t>胜佳超市</t>
  </si>
  <si>
    <t>KH00022</t>
  </si>
  <si>
    <t>胜佳超市（沙园店）</t>
  </si>
  <si>
    <t>胜佳（沙园店）</t>
  </si>
  <si>
    <t>荔福路50号首层自编B16之一、之二</t>
  </si>
  <si>
    <t>KH00019</t>
  </si>
  <si>
    <t>蜜蜂优选超市（广州大岗店）24小时可收货</t>
  </si>
  <si>
    <t>蜜蜂优选大岗店</t>
  </si>
  <si>
    <t>13265112505</t>
  </si>
  <si>
    <t>广东省广州市南沙区大岗镇工业路3号1座2层多多买菜旁上二楼（有10个方大的液压升降梯，车可以倒进电梯口）</t>
  </si>
  <si>
    <t>KH00018</t>
  </si>
  <si>
    <t>14704962385</t>
  </si>
  <si>
    <t>湾仔街道</t>
  </si>
  <si>
    <t>南湾南路6011号南湾LOFT数字化产业园二层2001（壹购汇超市）</t>
  </si>
  <si>
    <t>KH00017</t>
  </si>
  <si>
    <t>壹购汇超市（湾仔店）</t>
  </si>
  <si>
    <t>15019939092</t>
  </si>
  <si>
    <t>保税区 连平村路北24号D壹购汇超市（需送货上门）</t>
  </si>
  <si>
    <t>壹购汇超市</t>
  </si>
  <si>
    <t>KH00015</t>
  </si>
  <si>
    <t>刘明君</t>
  </si>
  <si>
    <t>17316809462</t>
  </si>
  <si>
    <t>新塘大街3号7栋102房（新塘科创园-7栋102房）</t>
  </si>
  <si>
    <t>KH00014</t>
  </si>
  <si>
    <t>熊猫很忙（钧明店-广东广州）</t>
  </si>
  <si>
    <t>19924248227</t>
  </si>
  <si>
    <t>永宁街道</t>
  </si>
  <si>
    <t>创盈路3号钧明欢乐世界二楼B2175-B2180档熊猫很忙（1688送货上门，放驿站投诉）</t>
  </si>
  <si>
    <t>KH00013</t>
  </si>
  <si>
    <t>值小团（广州南站店）</t>
  </si>
  <si>
    <t>值小团南站店</t>
  </si>
  <si>
    <t>13724213392</t>
  </si>
  <si>
    <t>石壁街石壁三村石围路对海塘20号105值小团</t>
  </si>
  <si>
    <t>KH00012</t>
  </si>
  <si>
    <t>赵发达</t>
  </si>
  <si>
    <t>KH00005</t>
  </si>
  <si>
    <t>熊猫很忙（大洲店-东莞）（收货时间晚上八点前）</t>
  </si>
  <si>
    <t>熊猫很忙（大洲店-东莞）</t>
  </si>
  <si>
    <t>13049726368</t>
  </si>
  <si>
    <t>大州深园一巷16号熊猫很忙</t>
  </si>
  <si>
    <t>KH00004</t>
  </si>
  <si>
    <t>松鼠便利（珠海井岸店）</t>
  </si>
  <si>
    <t>李欣</t>
  </si>
  <si>
    <t>13128526831</t>
  </si>
  <si>
    <t>井岸镇朝南路323号1单元一号楼A03 松鼠便利</t>
  </si>
  <si>
    <t>KH00003</t>
  </si>
  <si>
    <t>松鼠便利（珠海中山大学店）</t>
  </si>
  <si>
    <t>张芳芳</t>
  </si>
  <si>
    <t>13527232666</t>
  </si>
  <si>
    <t>唐家湾镇上边山外街28号松鼠便利</t>
  </si>
  <si>
    <t>KH00002</t>
  </si>
  <si>
    <t>松鼠便利（珠海前山店）</t>
  </si>
  <si>
    <t>梁锋</t>
  </si>
  <si>
    <t>13420360678</t>
  </si>
  <si>
    <t>前山街道粤海西路凤山花园5幢首层5号商铺松鼠便利店</t>
  </si>
  <si>
    <t>KH00001</t>
  </si>
  <si>
    <t>松鼠便利（珠海南屏店）</t>
  </si>
  <si>
    <t>廖伟</t>
  </si>
  <si>
    <t>13974222135</t>
  </si>
  <si>
    <t>南屏镇北山南牌坊街16号北山工业区A6号厂房1层松鼠便利</t>
  </si>
  <si>
    <t>KH00031</t>
  </si>
  <si>
    <t>松鼠便利（珠海家和城店）</t>
  </si>
  <si>
    <t>胡威威</t>
  </si>
  <si>
    <t>15995470477</t>
  </si>
  <si>
    <t>斗门区城南白藤二路3号康裕花园4栋85号铺松鼠便利</t>
  </si>
  <si>
    <t>KH00030</t>
  </si>
  <si>
    <t>松鼠便利（珠海吉大店）</t>
  </si>
  <si>
    <t>陈文杰</t>
  </si>
  <si>
    <t>19501633944</t>
  </si>
  <si>
    <t>吉大景园路10号一楼110铺松鼠便利</t>
  </si>
  <si>
    <t>KH00029</t>
  </si>
  <si>
    <t>松鼠便利（珠海拱北店）</t>
  </si>
  <si>
    <t>张煜桦</t>
  </si>
  <si>
    <t>15626293870</t>
  </si>
  <si>
    <t>迎宾南路2181号龙泉阁S3及S4松鼠便利</t>
  </si>
  <si>
    <t>KH00028</t>
  </si>
  <si>
    <t>松鼠便利（广州石井店）</t>
  </si>
  <si>
    <t>文岳良</t>
  </si>
  <si>
    <t>13710258275</t>
  </si>
  <si>
    <t>广州市白云区石井街庆丰市场路6号肉菜市场二楼松鼠便利店广州44号仓石井店</t>
  </si>
  <si>
    <t>KH00027</t>
  </si>
  <si>
    <t>广州RDC常温1号仓（骏鸿）</t>
  </si>
  <si>
    <t>贺</t>
  </si>
  <si>
    <t>黄埔街道</t>
  </si>
  <si>
    <t>开发大道1338号骏鸿护林物流园</t>
  </si>
  <si>
    <t>生鲜超市</t>
  </si>
  <si>
    <t>88888888</t>
  </si>
  <si>
    <t>松鼠库存虚拟占用-不用分拣</t>
  </si>
  <si>
    <t>松鼠虚拟仓</t>
  </si>
  <si>
    <t>13316104679</t>
  </si>
  <si>
    <t>KH00025</t>
  </si>
  <si>
    <t>值小团（广州珠村店）</t>
  </si>
  <si>
    <t>值小团超市珠村店</t>
  </si>
  <si>
    <t>19002066862</t>
  </si>
  <si>
    <t>天河区珠村第十一社工业区4栋1单元201房</t>
  </si>
  <si>
    <t>KH00024</t>
  </si>
  <si>
    <t>松鼠便利（广州大源店）</t>
  </si>
  <si>
    <t>孟文强</t>
  </si>
  <si>
    <t>18820005770</t>
  </si>
  <si>
    <t>广州市白云区大源街大源田心北路九巷15号201房</t>
  </si>
  <si>
    <t>KH00021</t>
  </si>
  <si>
    <t>值小团（广州新塘店）</t>
  </si>
  <si>
    <t>值小团新塘</t>
  </si>
  <si>
    <t>19066591298</t>
  </si>
  <si>
    <t>新塘镇</t>
  </si>
  <si>
    <t>卫山路41号A1栋221-228号值小团精品超市</t>
  </si>
  <si>
    <t>KH00020</t>
  </si>
  <si>
    <t>熊猫很忙（石岐店-广东中山）</t>
  </si>
  <si>
    <t>熊猫很忙石岐店</t>
  </si>
  <si>
    <t>13148510170</t>
  </si>
  <si>
    <t>石岐街道</t>
  </si>
  <si>
    <t>南头镇南头大道中（瀚康首府西侧售楼中心旁谢国良建筑物A6商铺之二）熊猫很忙（6688送上门，放驿站投诉 ）</t>
  </si>
  <si>
    <t>停用</t>
  </si>
  <si>
    <t>CUS00304</t>
  </si>
  <si>
    <t>胖橘闪送（广州天河店）</t>
  </si>
  <si>
    <t>陈晓彬</t>
  </si>
  <si>
    <t>15016530827</t>
  </si>
  <si>
    <t>宦溪北路25号东悦商务中心B栋208</t>
  </si>
  <si>
    <t>胖橘闪送</t>
  </si>
  <si>
    <t>KH00016</t>
  </si>
  <si>
    <t>松果超市（中山海洲店）</t>
  </si>
  <si>
    <t>松果中山海洲店</t>
  </si>
  <si>
    <t>18207665361</t>
  </si>
  <si>
    <t>古镇海兴路南一路14号首层之一松果超市海洲店</t>
  </si>
  <si>
    <t>松果超市</t>
  </si>
  <si>
    <t>20103505</t>
  </si>
  <si>
    <t>皮卡丘3号</t>
  </si>
  <si>
    <t>17325822044</t>
  </si>
  <si>
    <t>广百物流园同超供应链办公室</t>
  </si>
  <si>
    <t>KH00011</t>
  </si>
  <si>
    <t>西亚兴安配送中心</t>
  </si>
  <si>
    <t>王东</t>
  </si>
  <si>
    <t>13533990595</t>
  </si>
  <si>
    <t>南二路自编3号广宇物流D1仓</t>
  </si>
  <si>
    <t>KH00010</t>
  </si>
  <si>
    <t>桔客快仓</t>
  </si>
  <si>
    <t>张生</t>
  </si>
  <si>
    <t>18038205165</t>
  </si>
  <si>
    <t>石美长基路6号103桔客快仓</t>
  </si>
  <si>
    <t>KH00009</t>
  </si>
  <si>
    <t>熊猫很忙（白石店-广东江门）</t>
  </si>
  <si>
    <t>熊猫白石店</t>
  </si>
  <si>
    <t>19878713741</t>
  </si>
  <si>
    <t>良化新村西101号</t>
  </si>
  <si>
    <t>KH00008</t>
  </si>
  <si>
    <t>美团优选佛山一仓</t>
  </si>
  <si>
    <t>美团优选</t>
  </si>
  <si>
    <t>13611416219</t>
  </si>
  <si>
    <t>大良街道五沙社区顺昌路24号</t>
  </si>
  <si>
    <t>KH00007</t>
  </si>
  <si>
    <t>广州RDC生鲜3号仓（现代物流园）-GZ90</t>
  </si>
  <si>
    <t>采购部</t>
  </si>
  <si>
    <t>小象超市</t>
  </si>
  <si>
    <t>现代物流园（富达路99号对面）</t>
  </si>
  <si>
    <t>KH00006</t>
  </si>
  <si>
    <t>深圳RDC生鲜3号仓（孔雀源）</t>
  </si>
  <si>
    <t>凤岗镇五联工业一路3号</t>
  </si>
  <si>
    <t>深圳RDC生鲜3号仓</t>
  </si>
  <si>
    <t>685325601905639424</t>
  </si>
  <si>
    <t>精明购百货超市(东圃店)</t>
  </si>
  <si>
    <t>刘文龙</t>
  </si>
  <si>
    <t>15013282954</t>
  </si>
  <si>
    <t>东圃陂东路7号首层</t>
  </si>
  <si>
    <t>420</t>
  </si>
  <si>
    <t>普通客户自提</t>
  </si>
  <si>
    <t>默认联系人</t>
  </si>
  <si>
    <t>保盈大道广百物流三号仓库同超贸易</t>
  </si>
  <si>
    <t>375</t>
  </si>
  <si>
    <t>胜佳总仓</t>
  </si>
  <si>
    <t>胜佳物流中心店</t>
  </si>
  <si>
    <t>13533121505</t>
  </si>
  <si>
    <t>槎溪南路自编10号邮区中心局</t>
  </si>
  <si>
    <t>百货商场</t>
  </si>
  <si>
    <t>CUS00242</t>
  </si>
  <si>
    <t>蜜蜂优选超市（东莞南城店）</t>
  </si>
  <si>
    <t>黄凯悦</t>
  </si>
  <si>
    <t>13229494524</t>
  </si>
  <si>
    <t>南城街道石鼓大龙路9号广通酒业</t>
  </si>
  <si>
    <t>491</t>
  </si>
  <si>
    <t>蜜蜂优选超市（广州南站店）24小时可收货</t>
  </si>
  <si>
    <t>蜜蜂优选超市（广州南站店）</t>
  </si>
  <si>
    <t>18122364170</t>
  </si>
  <si>
    <t>陌临阁青旅(广州大洲店)</t>
  </si>
  <si>
    <t>746</t>
  </si>
  <si>
    <t>西菲狸（广州大沙地店）</t>
  </si>
  <si>
    <t>西菲狸大沙地店</t>
  </si>
  <si>
    <t>13302249403</t>
  </si>
  <si>
    <t>鱼珠街道 茅岗城门大街二号之三 三楼整层</t>
  </si>
  <si>
    <t>CUS00283</t>
  </si>
  <si>
    <t>西菲狸（广州南岗店）</t>
  </si>
  <si>
    <t>西菲狸南岗店</t>
  </si>
  <si>
    <t>19928308411</t>
  </si>
  <si>
    <t>云埔街道黄埔东路4328号 第四栋富裕中心 （汇科智谷C栋）2楼202</t>
  </si>
  <si>
    <t>737</t>
  </si>
  <si>
    <t>熊猫很忙（大石店-广东广州）</t>
  </si>
  <si>
    <t>熊猫很忙大石店</t>
  </si>
  <si>
    <t>15018430593</t>
  </si>
  <si>
    <t>大石街大山村富山路四街1号胜文工业园2栋1楼103室</t>
  </si>
  <si>
    <t>347</t>
  </si>
  <si>
    <t>358</t>
  </si>
  <si>
    <t>图个便利（常平店）</t>
  </si>
  <si>
    <t>采购</t>
  </si>
  <si>
    <t>13038863374</t>
  </si>
  <si>
    <t>振华八街6号荷东华厦101室图个便利店</t>
  </si>
  <si>
    <t>图个便利</t>
  </si>
  <si>
    <t>400</t>
  </si>
  <si>
    <t>白熊便利超市（凤岗店）</t>
  </si>
  <si>
    <t>美居公寓店</t>
  </si>
  <si>
    <t>13537000530</t>
  </si>
  <si>
    <t>两渡河横巷3号102室</t>
  </si>
  <si>
    <t>401</t>
  </si>
  <si>
    <t>白熊便利超市（清湖头店）</t>
  </si>
  <si>
    <t>白熊便利超市塘厦清湖头店</t>
  </si>
  <si>
    <t>15024109650</t>
  </si>
  <si>
    <t>人民路107号 塘厦铧立五金制品厂(桥蛟中路北)</t>
  </si>
  <si>
    <t>402</t>
  </si>
  <si>
    <t>白熊便利超市（清溪店）</t>
  </si>
  <si>
    <t>白熊便利清溪</t>
  </si>
  <si>
    <t>13620008140</t>
  </si>
  <si>
    <t>凤扬西二巷12号103室</t>
  </si>
  <si>
    <t>572</t>
  </si>
  <si>
    <t>图个便利（松山湖店）</t>
  </si>
  <si>
    <t>松山湖</t>
  </si>
  <si>
    <t>13560846054</t>
  </si>
  <si>
    <t>美景西路大院地街五巷一号</t>
  </si>
  <si>
    <t>580</t>
  </si>
  <si>
    <t>佳汇精品超市</t>
  </si>
  <si>
    <t>周生</t>
  </si>
  <si>
    <t>13702898366</t>
  </si>
  <si>
    <t>泉兴路143号</t>
  </si>
  <si>
    <t>CUS00301</t>
  </si>
  <si>
    <t>广州市七品餐饮服务有限公司</t>
  </si>
  <si>
    <t>七品餐饮</t>
  </si>
  <si>
    <t>13710972923</t>
  </si>
  <si>
    <t>南云五路与南翔三路交叉口北220米</t>
  </si>
  <si>
    <t>CUS00175</t>
  </si>
  <si>
    <t>鲸GO生活超市（东莞东城店）</t>
  </si>
  <si>
    <t>高语韩</t>
  </si>
  <si>
    <t>18138288898</t>
  </si>
  <si>
    <t>东城街道东和路26号鸿怡花园4栋102室</t>
  </si>
  <si>
    <t>CUS00176</t>
  </si>
  <si>
    <t>鲸GO生活超市（东莞莞城店）</t>
  </si>
  <si>
    <t>18938560995</t>
  </si>
  <si>
    <t>东城路莞城段123号148聚福豪苑33号铺原句鲸百货</t>
  </si>
  <si>
    <t>352</t>
  </si>
  <si>
    <t>顺发百货超市（中山明珠店）</t>
  </si>
  <si>
    <t>15361356128</t>
  </si>
  <si>
    <t>十四村玉武百货对面闸门口进来的顺发百货超市</t>
  </si>
  <si>
    <t>523</t>
  </si>
  <si>
    <t>顺发百货超市（佛山容桂店）凌晨5-8点不收货</t>
  </si>
  <si>
    <t>顺发百货超市(容桂店)</t>
  </si>
  <si>
    <t>15083677290</t>
  </si>
  <si>
    <t>桂洲大道中东丽后街2号</t>
  </si>
  <si>
    <t>271</t>
  </si>
  <si>
    <t>松果超市（东莞大岭山店）</t>
  </si>
  <si>
    <t>黄玲</t>
  </si>
  <si>
    <t>13927167393</t>
  </si>
  <si>
    <t>顺发南街11号102松果超市</t>
  </si>
  <si>
    <t>396</t>
  </si>
  <si>
    <t>松果超市（东莞黄江店）</t>
  </si>
  <si>
    <t>松果黄江</t>
  </si>
  <si>
    <t>15323337953</t>
  </si>
  <si>
    <t>鸡啼岗倚天园街270号松果超市</t>
  </si>
  <si>
    <t>395</t>
  </si>
  <si>
    <t>松果超市（东莞松山湖店）</t>
  </si>
  <si>
    <t>松果松山湖</t>
  </si>
  <si>
    <t>13728102839</t>
  </si>
  <si>
    <t>大岭山镇金桔金塘路二巷8号松果超市</t>
  </si>
  <si>
    <t>394</t>
  </si>
  <si>
    <t>松果超市（东莞长安店）</t>
  </si>
  <si>
    <t>松果长安</t>
  </si>
  <si>
    <t>13377722839</t>
  </si>
  <si>
    <t>长安镇乌沙中发路二十六巷6号松果超市</t>
  </si>
  <si>
    <t>407</t>
  </si>
  <si>
    <t>松果超市（东莞莞太路）</t>
  </si>
  <si>
    <t>松果莞太路</t>
  </si>
  <si>
    <t>13360658797</t>
  </si>
  <si>
    <t>白濠中心街北二巷5号（松果超市）</t>
  </si>
  <si>
    <t>528</t>
  </si>
  <si>
    <t>佳佳超市（横栏二店）</t>
  </si>
  <si>
    <t>13510833181</t>
  </si>
  <si>
    <t>镇贴边村庆德路3巷3号佳佳超市送货上门</t>
  </si>
  <si>
    <t>530</t>
  </si>
  <si>
    <t>佳佳超市（中山横栏店）</t>
  </si>
  <si>
    <t>横栏镇新天二路瑞天街一巷10号A 1佳佳超市送货上门</t>
  </si>
  <si>
    <t>CUS00292</t>
  </si>
  <si>
    <t>哆宜佳便利超市（东莞常平店）</t>
  </si>
  <si>
    <t>哆宜佳常平店</t>
  </si>
  <si>
    <t>13377778500</t>
  </si>
  <si>
    <t>常平镇朝阳四街75号104室</t>
  </si>
  <si>
    <t>72</t>
  </si>
  <si>
    <t>优购哆生活超市（东莞西平店）</t>
  </si>
  <si>
    <t>林晶靖</t>
  </si>
  <si>
    <t>13428512693</t>
  </si>
  <si>
    <t>西平社区上手村五巷72号二楼优购哆生活超市</t>
  </si>
  <si>
    <t>优购哆生活超市</t>
  </si>
  <si>
    <t>73</t>
  </si>
  <si>
    <t>优购哆生活超市（东莞威尼斯店）</t>
  </si>
  <si>
    <t>徐志</t>
  </si>
  <si>
    <t>13326876675</t>
  </si>
  <si>
    <t>罗沙东兴路147号201室 优购哆生活超市</t>
  </si>
  <si>
    <t>83</t>
  </si>
  <si>
    <t>优购哆生活超市（东莞南城店）</t>
  </si>
  <si>
    <t>于江</t>
  </si>
  <si>
    <t>18028971252</t>
  </si>
  <si>
    <t>莞太路南城段68号4栋（沙苑佳榕市场二楼）214室</t>
  </si>
  <si>
    <t>94</t>
  </si>
  <si>
    <t>优购哆生活超市（东莞虎门店）</t>
  </si>
  <si>
    <t>杜</t>
  </si>
  <si>
    <t>13532538362</t>
  </si>
  <si>
    <t>虎门大道华联商务中心二楼优购哆生活超市</t>
  </si>
  <si>
    <t>99</t>
  </si>
  <si>
    <t>优购哆生活超市（东莞大朗店）</t>
  </si>
  <si>
    <t>梁梓庆</t>
  </si>
  <si>
    <t>18128523949</t>
  </si>
  <si>
    <t>富丽中路181号奥中科技园二楼右侧203号</t>
  </si>
  <si>
    <t>101</t>
  </si>
  <si>
    <t>优购哆生活超市（东莞长安店）</t>
  </si>
  <si>
    <t>吴献鹏</t>
  </si>
  <si>
    <t>18929482987</t>
  </si>
  <si>
    <t>中兴北街66号2楼优购哆生活超市</t>
  </si>
  <si>
    <t>103</t>
  </si>
  <si>
    <t>优购哆生活超市（东莞33小镇店）</t>
  </si>
  <si>
    <t>杨志明</t>
  </si>
  <si>
    <t>18024796786</t>
  </si>
  <si>
    <t>道萌基湖一路3号文教生活广场二楼215室</t>
  </si>
  <si>
    <t>342</t>
  </si>
  <si>
    <t>优购哆生活超市（东莞新八里店）</t>
  </si>
  <si>
    <t>新八里店</t>
  </si>
  <si>
    <t>18038377726</t>
  </si>
  <si>
    <t>沙头南区猫山北路50号新八里南门停车场优购哆生活超市（送货上门，不然拒收）</t>
  </si>
  <si>
    <t>481</t>
  </si>
  <si>
    <t>优购哆生活超市（东莞常平店）</t>
  </si>
  <si>
    <t>杨</t>
  </si>
  <si>
    <t>13450743748</t>
  </si>
  <si>
    <t>东元东路36号202优购哆常平店（送货上楼，不然拒收）</t>
  </si>
  <si>
    <t>482</t>
  </si>
  <si>
    <t>优购哆生活超市（中山店）</t>
  </si>
  <si>
    <t>优购哆生活超市中山店</t>
  </si>
  <si>
    <t>13590751174</t>
  </si>
  <si>
    <t>豪程路优购哆生活超市(中山店)</t>
  </si>
  <si>
    <t>109</t>
  </si>
  <si>
    <t>畅盈到家超市（潮州湘桥店）</t>
  </si>
  <si>
    <t>19126815997</t>
  </si>
  <si>
    <t>潮州市</t>
  </si>
  <si>
    <t>湘桥区</t>
  </si>
  <si>
    <t>凤新街道绿榕路榕华园北向28号商铺</t>
  </si>
  <si>
    <t>CUS00285</t>
  </si>
  <si>
    <t>西菲狸（佛山千灯湖店）</t>
  </si>
  <si>
    <t>西菲狸（千灯湖店）</t>
  </si>
  <si>
    <t>18125698161</t>
  </si>
  <si>
    <t>桂城街海八东路18号 （万科里A32西塔M层货梯里面，不要放丰巢！要送货上门）</t>
  </si>
  <si>
    <t>CUS00286</t>
  </si>
  <si>
    <t>西菲狸（佛山文溪店）</t>
  </si>
  <si>
    <t>西菲狸（文溪店）</t>
  </si>
  <si>
    <t>18188727944</t>
  </si>
  <si>
    <t>张槎街道文溪里产业园教学楼A座1层102（不要放丰巢，要送货上门）</t>
  </si>
  <si>
    <t>CUS00155</t>
  </si>
  <si>
    <t>遇见个超市（东莞厚街店）</t>
  </si>
  <si>
    <t>王国福</t>
  </si>
  <si>
    <t>13509842616</t>
  </si>
  <si>
    <t>珊美大路82号102室（遇见个超市厚街店</t>
  </si>
  <si>
    <t>CUS00156</t>
  </si>
  <si>
    <t>遇见个超市（东莞长安店）</t>
  </si>
  <si>
    <t>李婷</t>
  </si>
  <si>
    <t>18926864775</t>
  </si>
  <si>
    <t>兴发北路5号3号楼二楼203遇见个超市</t>
  </si>
  <si>
    <t>CUS00157</t>
  </si>
  <si>
    <t>遇见个超市（东莞虎门店）</t>
  </si>
  <si>
    <t>刘晓光</t>
  </si>
  <si>
    <t>18575993234</t>
  </si>
  <si>
    <t>龙眼六路50号厂房遇见个超市</t>
  </si>
  <si>
    <t>CUS00159</t>
  </si>
  <si>
    <t>遇见个超市（东莞大岭山店）</t>
  </si>
  <si>
    <t>大岭山店</t>
  </si>
  <si>
    <t>18103092356</t>
  </si>
  <si>
    <t>大岭山镇西正路69号301室（鸿惠生活超市楼上）</t>
  </si>
  <si>
    <t>631</t>
  </si>
  <si>
    <t>遇见个超市（东莞东城店）</t>
  </si>
  <si>
    <t>东城店</t>
  </si>
  <si>
    <t>18929184278</t>
  </si>
  <si>
    <t>主山学前路南二街3号 右一号B01商铺</t>
  </si>
  <si>
    <t>632</t>
  </si>
  <si>
    <t>遇见个超市（东莞常平店）</t>
  </si>
  <si>
    <t>朱广平</t>
  </si>
  <si>
    <t>13268528877</t>
  </si>
  <si>
    <t>木伦村天鹅湖二路2号102室遇见个超市送货上门</t>
  </si>
  <si>
    <t>650</t>
  </si>
  <si>
    <t>遇见个超市（东莞塘厦店）</t>
  </si>
  <si>
    <t>遇见个超市（塘厦店）</t>
  </si>
  <si>
    <t>13431126675</t>
  </si>
  <si>
    <t>宏业北三路3号C栋2楼（遇见个超市）（商品需要贴标签 必须送上门）</t>
  </si>
  <si>
    <t>649</t>
  </si>
  <si>
    <t>遇见个超市（东莞横沥店）</t>
  </si>
  <si>
    <t>遇见个超市（横沥店）</t>
  </si>
  <si>
    <t>18948617239</t>
  </si>
  <si>
    <t>和平街47号102 （遇见个超）</t>
  </si>
  <si>
    <t>485</t>
  </si>
  <si>
    <t>遇见个超市（中山火炬店）</t>
  </si>
  <si>
    <t>吴政桐</t>
  </si>
  <si>
    <t>15362900114</t>
  </si>
  <si>
    <t>逸华路9号星达嘉湖工业园1栋厂房二楼二卡</t>
  </si>
  <si>
    <t>CUS00160</t>
  </si>
  <si>
    <t>遇见个超市（中山沙溪店）</t>
  </si>
  <si>
    <t>沙溪店</t>
  </si>
  <si>
    <t>18316504421</t>
  </si>
  <si>
    <t>沙溪镇 龙瑞村新桥街一号昌龙大厦305</t>
  </si>
  <si>
    <t>CUS00162</t>
  </si>
  <si>
    <t>遇见个超市（中山小榄店）</t>
  </si>
  <si>
    <t>小揽店</t>
  </si>
  <si>
    <t>15019901320</t>
  </si>
  <si>
    <t>小榄镇广源中路38号楼沁怡阁宾馆2楼遇见个超市</t>
  </si>
  <si>
    <t>CUS00164</t>
  </si>
  <si>
    <t>遇见个超市（东莞寮步店）</t>
  </si>
  <si>
    <t>寮步店</t>
  </si>
  <si>
    <t>18025106575</t>
  </si>
  <si>
    <t>石龙坑荔园路129号A栋201</t>
  </si>
  <si>
    <t>CUS00190</t>
  </si>
  <si>
    <t>遇见个超市（东莞金洲店）</t>
  </si>
  <si>
    <t>东莞金洲店</t>
  </si>
  <si>
    <t>18002618037</t>
  </si>
  <si>
    <t>太沙路167号 博豪商务三楼 遇见个超市 (必须送货上门 不上门一切拒收 需要标签)</t>
  </si>
  <si>
    <t>CUS00201</t>
  </si>
  <si>
    <t>遇见个超市（东莞大朗店）</t>
  </si>
  <si>
    <t>遇见个超市（大朗店）</t>
  </si>
  <si>
    <t>15899650837</t>
  </si>
  <si>
    <t>长塘第三工业区长育路139号二楼遇见个超市（不要三无  要贴标签）</t>
  </si>
  <si>
    <t>759</t>
  </si>
  <si>
    <t>熊猫很忙（井巷店-广东东莞）</t>
  </si>
  <si>
    <t>熊猫很忙井巷店</t>
  </si>
  <si>
    <t>16616797229</t>
  </si>
  <si>
    <t>寮步建新路36号112号熊猫很忙超市</t>
  </si>
  <si>
    <t>723</t>
  </si>
  <si>
    <t>熊猫很忙（三中店-广东东莞）</t>
  </si>
  <si>
    <t>熊猫很忙-三中店</t>
  </si>
  <si>
    <t>15362672990</t>
  </si>
  <si>
    <t>三中村三中路128号商贸城B09室</t>
  </si>
  <si>
    <t>725</t>
  </si>
  <si>
    <t>熊猫很忙（乌沙店-广东东莞）</t>
  </si>
  <si>
    <t>熊猫很忙-乌沙店</t>
  </si>
  <si>
    <t>18929207301</t>
  </si>
  <si>
    <t>祥兴街4号1号楼101室熊猫很忙，麻烦送货上门</t>
  </si>
  <si>
    <t>727</t>
  </si>
  <si>
    <t>熊猫很忙（田心店-广东东莞）</t>
  </si>
  <si>
    <t>熊猫很忙-田心店</t>
  </si>
  <si>
    <t>15362899181</t>
  </si>
  <si>
    <t>田心路80号之二7栋103室</t>
  </si>
  <si>
    <t>2</t>
  </si>
  <si>
    <t>熊猫很忙（横沥店-广东东莞）</t>
  </si>
  <si>
    <t>熊猫很忙横沥店</t>
  </si>
  <si>
    <t>15218755442</t>
  </si>
  <si>
    <t>创新路51号1楼1号铺熊猫很忙</t>
  </si>
  <si>
    <t>3</t>
  </si>
  <si>
    <t>熊猫很忙（常平店-广东东莞）</t>
  </si>
  <si>
    <t>常平</t>
  </si>
  <si>
    <t>13414444129</t>
  </si>
  <si>
    <t>吴屋路与吴屋新村路交叉口南60米</t>
  </si>
  <si>
    <t>4</t>
  </si>
  <si>
    <t>熊猫很忙（上沙店-广东东莞）</t>
  </si>
  <si>
    <t>上沙</t>
  </si>
  <si>
    <t>13823202119</t>
  </si>
  <si>
    <t>上沙福安路18号1栋104室</t>
  </si>
  <si>
    <t>6</t>
  </si>
  <si>
    <t>熊猫很忙（塘厦店-广东东莞）（直营）（7-22点收货）</t>
  </si>
  <si>
    <t>塘厦</t>
  </si>
  <si>
    <t>18820613580</t>
  </si>
  <si>
    <t>实业路14号3栋102房熊猫很忙超市</t>
  </si>
  <si>
    <t>8</t>
  </si>
  <si>
    <t>熊猫很忙（黄江店-广东东莞）</t>
  </si>
  <si>
    <t>黄江</t>
  </si>
  <si>
    <t>13434595834</t>
  </si>
  <si>
    <t>合路创业一路一号(田木公寓旁边)</t>
  </si>
  <si>
    <t>9</t>
  </si>
  <si>
    <t>熊猫很忙（石龙店-广东东莞）（直营）</t>
  </si>
  <si>
    <t>石龙</t>
  </si>
  <si>
    <t>13717317142</t>
  </si>
  <si>
    <t>京山村牛扒笼一街1号105室</t>
  </si>
  <si>
    <t>750</t>
  </si>
  <si>
    <t>熊猫很忙（溪头店-广东东莞）</t>
  </si>
  <si>
    <t>熊猫很忙溪头店</t>
  </si>
  <si>
    <t>13378607578</t>
  </si>
  <si>
    <t>莞太路厚街段571号2号楼103号熊猫很忙超市收</t>
  </si>
  <si>
    <t>19</t>
  </si>
  <si>
    <t>熊猫很忙（香市店-广东东莞）</t>
  </si>
  <si>
    <t>18128671349</t>
  </si>
  <si>
    <t>塘唇村沙海二巷1号凯雅公寓1楼门店</t>
  </si>
  <si>
    <t>22</t>
  </si>
  <si>
    <t>熊猫很忙（松山湖店-广东东莞）</t>
  </si>
  <si>
    <t>13226325686</t>
  </si>
  <si>
    <t>黎贝岭市一路8号丽境花园A栋007铺熊猫很忙超市</t>
  </si>
  <si>
    <t>25</t>
  </si>
  <si>
    <t>熊猫很忙（水平店-广东东莞）</t>
  </si>
  <si>
    <t>许海标</t>
  </si>
  <si>
    <t>13380181008</t>
  </si>
  <si>
    <t>水平村松水路红荔西区五巷6号</t>
  </si>
  <si>
    <t>28</t>
  </si>
  <si>
    <t>熊猫很忙（三水店-广东佛山）</t>
  </si>
  <si>
    <t>娟姐</t>
  </si>
  <si>
    <t>18929989288</t>
  </si>
  <si>
    <t>西南街道商业路一号104铺位017熊猫很忙超市</t>
  </si>
  <si>
    <t>32</t>
  </si>
  <si>
    <t>熊猫很忙（南城店-广东东莞）（直营）</t>
  </si>
  <si>
    <t>15219624831</t>
  </si>
  <si>
    <t>光黄金路801号115熊猫很忙</t>
  </si>
  <si>
    <t>34</t>
  </si>
  <si>
    <t>熊猫很忙（寮步店-广东东莞）</t>
  </si>
  <si>
    <t>黄海全</t>
  </si>
  <si>
    <t>15817770226</t>
  </si>
  <si>
    <t>西溪村凫西路37号</t>
  </si>
  <si>
    <t>42</t>
  </si>
  <si>
    <t>熊猫很忙（均安店-广东佛山）</t>
  </si>
  <si>
    <t>13322848871</t>
  </si>
  <si>
    <t>百安南路9号首层商铺AB、CD铺（熊猫很忙超市-均安店）（请送到店内）</t>
  </si>
  <si>
    <t>43</t>
  </si>
  <si>
    <t>熊猫很忙（沙田店-广东东莞）</t>
  </si>
  <si>
    <t>13450616190</t>
  </si>
  <si>
    <t>沙田镇</t>
  </si>
  <si>
    <t>中心区东港城商住区二栋E117</t>
  </si>
  <si>
    <t>44</t>
  </si>
  <si>
    <t>熊猫很忙（厚街店-广东东莞）</t>
  </si>
  <si>
    <t>何生</t>
  </si>
  <si>
    <t>18026033195</t>
  </si>
  <si>
    <t>康乐南路二巷1号101室</t>
  </si>
  <si>
    <t>48</t>
  </si>
  <si>
    <t>熊猫很忙（凤岗店-广东东莞）（收货早8晚6）</t>
  </si>
  <si>
    <t>13138840223</t>
  </si>
  <si>
    <t>塘沥村石碑路15号一楼熊猫很忙</t>
  </si>
  <si>
    <t>51</t>
  </si>
  <si>
    <t>熊猫很忙（东城店-广东东莞）</t>
  </si>
  <si>
    <t>18925553513</t>
  </si>
  <si>
    <t>道主山大井头平岗街2号一楼101</t>
  </si>
  <si>
    <t>53</t>
  </si>
  <si>
    <t>熊猫很忙（大岭山店-广东东莞）</t>
  </si>
  <si>
    <t>13310801008</t>
  </si>
  <si>
    <t>镇矮岭冚东兴一街13号一楼104室</t>
  </si>
  <si>
    <t>54</t>
  </si>
  <si>
    <t>熊猫很忙（大朗店-广东东莞）</t>
  </si>
  <si>
    <t>15099757548</t>
  </si>
  <si>
    <t>怡安路75号</t>
  </si>
  <si>
    <t>56</t>
  </si>
  <si>
    <t>熊猫很忙（大岭山百花洞店-广东东莞）</t>
  </si>
  <si>
    <t>13556607782</t>
  </si>
  <si>
    <t>百花洞村北围街6巷2号负一楼厂房熊猫很忙超市</t>
  </si>
  <si>
    <t>57</t>
  </si>
  <si>
    <t>熊猫很忙（长安店-广东东莞）</t>
  </si>
  <si>
    <t>许先生</t>
  </si>
  <si>
    <t>18925748797</t>
  </si>
  <si>
    <t>莲峰北路14号109室</t>
  </si>
  <si>
    <t>61</t>
  </si>
  <si>
    <t>熊猫很忙（中堂店-广东东莞）</t>
  </si>
  <si>
    <t>13798936192</t>
  </si>
  <si>
    <t>莞路中堂段91号104</t>
  </si>
  <si>
    <t>63</t>
  </si>
  <si>
    <t>熊猫很忙（国贸店-广东东莞）</t>
  </si>
  <si>
    <t>13238331288</t>
  </si>
  <si>
    <t>南城街道豪岗下屋一巷56号102</t>
  </si>
  <si>
    <t>64</t>
  </si>
  <si>
    <t>熊猫很忙（高埗店-广东东莞）</t>
  </si>
  <si>
    <t>17620227649</t>
  </si>
  <si>
    <t>高埗广场北路22号4号楼106室</t>
  </si>
  <si>
    <t>65</t>
  </si>
  <si>
    <t>熊猫很忙（常平中心店-广东东莞）</t>
  </si>
  <si>
    <t>下班头新村六街27号101室</t>
  </si>
  <si>
    <t>270</t>
  </si>
  <si>
    <t>熊猫很忙（麻涌店-广东东莞）</t>
  </si>
  <si>
    <t>麻涌店</t>
  </si>
  <si>
    <t>18100247095</t>
  </si>
  <si>
    <t>西便水中街3号</t>
  </si>
  <si>
    <t>761</t>
  </si>
  <si>
    <t>熊猫很忙（新马莲店-广东东莞）</t>
  </si>
  <si>
    <t>熊猫很忙精品超市（新马莲店-广东东莞）</t>
  </si>
  <si>
    <t>13538332534</t>
  </si>
  <si>
    <t>大朗镇新马莲骏马三街8号4栋103室熊猫很忙超市（1688送货上门，放驿站投诉）</t>
  </si>
  <si>
    <t>320</t>
  </si>
  <si>
    <t>13112966165</t>
  </si>
  <si>
    <t>莲塘路石街6号A幢首层11卡（ A栋一层6号）</t>
  </si>
  <si>
    <t>319</t>
  </si>
  <si>
    <t>熊猫很忙（横栏店-广东中山）</t>
  </si>
  <si>
    <t>熊猫很忙横栏店</t>
  </si>
  <si>
    <t>13531752536</t>
  </si>
  <si>
    <t>新茂工业区聚龙东路二号3至4卡 熊猫很忙低温奶</t>
  </si>
  <si>
    <t>318</t>
  </si>
  <si>
    <t>熊猫很忙（小榄店-广东中山）</t>
  </si>
  <si>
    <t>熊猫很忙小榄店</t>
  </si>
  <si>
    <t>18680161030</t>
  </si>
  <si>
    <t>竹源路133号之一 A栋 华耀智汇科技园</t>
  </si>
  <si>
    <t>321</t>
  </si>
  <si>
    <t>熊猫很忙坦洲店</t>
  </si>
  <si>
    <t>323</t>
  </si>
  <si>
    <t>324</t>
  </si>
  <si>
    <t>330</t>
  </si>
  <si>
    <t>熊猫很忙（古镇店-广东中山）</t>
  </si>
  <si>
    <t>熊猫很忙古镇店</t>
  </si>
  <si>
    <t>15913366621</t>
  </si>
  <si>
    <t>曹三村创业园华泰东路北17号之2首层103卡室能猫很忙(不放驿站，麻烦送上门)</t>
  </si>
  <si>
    <t>327</t>
  </si>
  <si>
    <t>熊猫很忙（三乡店-广东中山）</t>
  </si>
  <si>
    <t>熊猫很忙三乡店</t>
  </si>
  <si>
    <t>19820338612</t>
  </si>
  <si>
    <t>大布村环村西街3号熊猫很忙超市</t>
  </si>
  <si>
    <t>744</t>
  </si>
  <si>
    <t>熊猫很忙（谢岗店-广东东莞）</t>
  </si>
  <si>
    <t>熊猫很忙谢岗店</t>
  </si>
  <si>
    <t>15338393728</t>
  </si>
  <si>
    <t>谢岗镇双骏路一巷25号（熊猫很忙精品超市谢岗店）</t>
  </si>
  <si>
    <t>381</t>
  </si>
  <si>
    <t>熊猫很忙（万江店-广东东莞）（直营）</t>
  </si>
  <si>
    <t>熊猫很忙万江店</t>
  </si>
  <si>
    <t>15362619750</t>
  </si>
  <si>
    <t>共联社区古屋邨东二区一巷四号一楼</t>
  </si>
  <si>
    <t>385</t>
  </si>
  <si>
    <t>熊猫很忙（石排店 -广东东莞）（直营）</t>
  </si>
  <si>
    <t>熊猫很忙石排店 （直营）</t>
  </si>
  <si>
    <t>15322955660</t>
  </si>
  <si>
    <t>石排福隆工业南三路15号103室 麻烦送上门不放驿站，放驿站投诉</t>
  </si>
  <si>
    <t>492</t>
  </si>
  <si>
    <t>熊猫很忙（石碣店-广东东莞）（直营）</t>
  </si>
  <si>
    <t>黄彦期</t>
  </si>
  <si>
    <t>15322860060</t>
  </si>
  <si>
    <t>石碣镇石碣镇虹桥路1号景华楼二层203单元</t>
  </si>
  <si>
    <t>535</t>
  </si>
  <si>
    <t>熊猫很忙（清溪店-广东东莞）</t>
  </si>
  <si>
    <t>熊猫很忙清溪店</t>
  </si>
  <si>
    <t>13316634170</t>
  </si>
  <si>
    <t>清溪镇科技路西五街6号1楼101熊猫很忙清溪店（6688送货上门，放驿站投诉）</t>
  </si>
  <si>
    <t>536</t>
  </si>
  <si>
    <t>熊猫很忙（东坑店-广东东莞）（周日不收货）</t>
  </si>
  <si>
    <t>熊猫很忙东坑店</t>
  </si>
  <si>
    <t>15377791949</t>
  </si>
  <si>
    <t>东坑镇骏发二路112号109室熊猫很忙精品超市(6688送货上门，放驿站投诉)</t>
  </si>
  <si>
    <t>537</t>
  </si>
  <si>
    <t>熊猫很忙（犀牛店-广东东莞）（直营）</t>
  </si>
  <si>
    <t>熊猫很忙犀牛店</t>
  </si>
  <si>
    <t>15323533010</t>
  </si>
  <si>
    <t>大朗镇犀牛陂大园一巷68-72熊猫很忙（6688送货上门，放驿站投诉）</t>
  </si>
  <si>
    <t>540</t>
  </si>
  <si>
    <t>熊猫很忙（桥头店-广东东莞）</t>
  </si>
  <si>
    <t>桥头</t>
  </si>
  <si>
    <t>13342611056</t>
  </si>
  <si>
    <t>莲城宏达步行街16号森鸿商场一楼A22号熊猫很忙</t>
  </si>
  <si>
    <t>541</t>
  </si>
  <si>
    <t>熊猫很忙（茶山店-广东东莞）（直营）</t>
  </si>
  <si>
    <t>熊猫很忙茶山店</t>
  </si>
  <si>
    <t>15362034380</t>
  </si>
  <si>
    <t>吉祥南路2号1号楼106.107号</t>
  </si>
  <si>
    <t>500</t>
  </si>
  <si>
    <t>熊猫很忙（南头店-广东中山）</t>
  </si>
  <si>
    <t>原石岐店</t>
  </si>
  <si>
    <t>南头大道中（瀚康首府西侧售楼中心旁谢国良建筑物A6商铺之二）熊猫很忙</t>
  </si>
  <si>
    <t>789</t>
  </si>
  <si>
    <t>熊猫很忙东升店</t>
  </si>
  <si>
    <t>CUS00240</t>
  </si>
  <si>
    <t>松鼠便利（肇庆大旺广场店）</t>
  </si>
  <si>
    <t>黎生</t>
  </si>
  <si>
    <t>18938431423</t>
  </si>
  <si>
    <t>四会市</t>
  </si>
  <si>
    <t>大旺台旺门窗厂厂房二（韵动时代工业园）01-02商铺松鼠便</t>
  </si>
  <si>
    <t>283</t>
  </si>
  <si>
    <t>松鼠便利（中山沙溪店）</t>
  </si>
  <si>
    <t>19966345996</t>
  </si>
  <si>
    <t>汉基花园8栋8卡</t>
  </si>
  <si>
    <t>284</t>
  </si>
  <si>
    <t>松鼠便利（中山东区中心店）</t>
  </si>
  <si>
    <t>13528473369</t>
  </si>
  <si>
    <t>东区街道南盛街七巷6号松鼠便利超市</t>
  </si>
  <si>
    <t>285</t>
  </si>
  <si>
    <t>松鼠便利（中山坦洲中心店）</t>
  </si>
  <si>
    <t>13532062885</t>
  </si>
  <si>
    <t>谭隆南路18号东城四季</t>
  </si>
  <si>
    <t>286</t>
  </si>
  <si>
    <t>松鼠便利（中山新都汇店）</t>
  </si>
  <si>
    <t>13128549666</t>
  </si>
  <si>
    <t>跃龙中路42号 首层8-10卡</t>
  </si>
  <si>
    <t>287</t>
  </si>
  <si>
    <t>松鼠便利（中山灯都店）</t>
  </si>
  <si>
    <t>13534302550</t>
  </si>
  <si>
    <t>冈东裕富街19号（松鼠便利店）</t>
  </si>
  <si>
    <t>288</t>
  </si>
  <si>
    <t>松鼠便利（中山东凤店）</t>
  </si>
  <si>
    <t>15807608449</t>
  </si>
  <si>
    <t>伯公村金怡北路15号</t>
  </si>
  <si>
    <t>289</t>
  </si>
  <si>
    <t>松鼠便利（中山富洲店）</t>
  </si>
  <si>
    <t>15219935726</t>
  </si>
  <si>
    <t>西区街道升华路1号19卡松鼠便利</t>
  </si>
  <si>
    <t>290</t>
  </si>
  <si>
    <t>松鼠便利（中山石岐大信店）</t>
  </si>
  <si>
    <t>18925352082</t>
  </si>
  <si>
    <t>厚兴直街新平里8号 松鼠便利店</t>
  </si>
  <si>
    <t>307</t>
  </si>
  <si>
    <t>松鼠便利（中山三乡店）</t>
  </si>
  <si>
    <t>13715636935</t>
  </si>
  <si>
    <t>三乡镇泉眼村新怡路10号松鼠便利店</t>
  </si>
  <si>
    <t>336</t>
  </si>
  <si>
    <t>松鼠便利（中山金斗店）</t>
  </si>
  <si>
    <t>李大大</t>
  </si>
  <si>
    <t>13420245230</t>
  </si>
  <si>
    <t>坦洲镇凤翔下街2号佳慧便利店</t>
  </si>
  <si>
    <t>339</t>
  </si>
  <si>
    <t>松鼠便利（珠海红旗店）</t>
  </si>
  <si>
    <t>廖嘉丽</t>
  </si>
  <si>
    <t>17841556650</t>
  </si>
  <si>
    <t>红旗镇玉龙一路302号A厂房一楼A区108室松鼠便利</t>
  </si>
  <si>
    <t>356</t>
  </si>
  <si>
    <t>松鼠便利（中山港口店）</t>
  </si>
  <si>
    <t>陈乐祺</t>
  </si>
  <si>
    <t>13560628666</t>
  </si>
  <si>
    <t>港福路8号上乘世纪俊庭下沉道78卡松鼠便利超市港口店（快递请送上门，不要放驿站谢谢）</t>
  </si>
  <si>
    <t>386</t>
  </si>
  <si>
    <t>松鼠便利（肇庆信安店）</t>
  </si>
  <si>
    <t>梁敏</t>
  </si>
  <si>
    <t>13760060670</t>
  </si>
  <si>
    <t>端州区</t>
  </si>
  <si>
    <t>蓝田路南侧118区肇振装饰城1楼1F-11松狮便利超市信安店（本人不接受代签收服务，快递请送上门）</t>
  </si>
  <si>
    <t>423</t>
  </si>
  <si>
    <t>松鼠便利（中山汇丰城店）</t>
  </si>
  <si>
    <t>黄家海</t>
  </si>
  <si>
    <t>18676409330</t>
  </si>
  <si>
    <t>长和路67号松鼠便利汇丰城店（不接受代签收，快递请送到门店</t>
  </si>
  <si>
    <t>589</t>
  </si>
  <si>
    <t>松鼠便利（韶关新华北路店）</t>
  </si>
  <si>
    <t>李建文</t>
  </si>
  <si>
    <t>17728814388</t>
  </si>
  <si>
    <t>武江区</t>
  </si>
  <si>
    <t>新华北路韶关矿灯厂松鼠便利（系统来货，快递不要放驿站，直接送门店）</t>
  </si>
  <si>
    <t>497</t>
  </si>
  <si>
    <t>松鼠便利（东莞华南MALL店)</t>
  </si>
  <si>
    <t>陈燕真</t>
  </si>
  <si>
    <t>13922521033</t>
  </si>
  <si>
    <t>万江街道共联莲子坊商业街8号协大建材(松鼠便利放在门店不放驿站)</t>
  </si>
  <si>
    <t>495</t>
  </si>
  <si>
    <t>松鼠便利（佛山容桂店）</t>
  </si>
  <si>
    <t>黄春峰</t>
  </si>
  <si>
    <t>18100264339</t>
  </si>
  <si>
    <t>容桂容奇大道中26号恒业大厦后则地铺松鼠便利快递（不要放驿站，直接放门口）</t>
  </si>
  <si>
    <t>501</t>
  </si>
  <si>
    <t>松鼠便利（肇庆城东店）</t>
  </si>
  <si>
    <t>朱永城</t>
  </si>
  <si>
    <t>18718391243</t>
  </si>
  <si>
    <t>东安街一号东城明园DEF栋首层第24/25/26/27卡（派件至门店，不要放驿站 ，1688发货）</t>
  </si>
  <si>
    <t>689</t>
  </si>
  <si>
    <t>松鼠便利（中山滨河湾店）</t>
  </si>
  <si>
    <t>高楚欣</t>
  </si>
  <si>
    <t>13060890102</t>
  </si>
  <si>
    <t>东区街道广东省中山市东区岐关西路84号融昊创意园5号楼106卡松鼠便利（快递放门店，不要放驿站）</t>
  </si>
  <si>
    <t>687</t>
  </si>
  <si>
    <t>松鼠便利（中山富逸城店）</t>
  </si>
  <si>
    <t>东区齐东新村东七巷2号之二松鼠便利超市（快递不要放驿站，请送货上门）</t>
  </si>
  <si>
    <t>CUS00227</t>
  </si>
  <si>
    <t>风行牛奶【番禺钟村店】</t>
  </si>
  <si>
    <t>风行</t>
  </si>
  <si>
    <t>13416181800</t>
  </si>
  <si>
    <t>钟村街解放路152号风行牛奶门店‼️  附：钟村永兴隆市场正对面包道旁边</t>
  </si>
  <si>
    <t>159</t>
  </si>
  <si>
    <t>祈福超市</t>
  </si>
  <si>
    <t>13710508383</t>
  </si>
  <si>
    <t>钟村街道晋福路30号（负一楼）祈福名都</t>
  </si>
  <si>
    <t>155</t>
  </si>
  <si>
    <t>now快送超市（黄埔店）</t>
  </si>
  <si>
    <t>18200748355</t>
  </si>
  <si>
    <t>新塘镇新墩村下基北四路14号</t>
  </si>
  <si>
    <t>156</t>
  </si>
  <si>
    <t>now快送超市（白云店）</t>
  </si>
  <si>
    <t>18138786460</t>
  </si>
  <si>
    <t>新达路95号107</t>
  </si>
  <si>
    <t>157</t>
  </si>
  <si>
    <t>家家鑫超市(南海店)</t>
  </si>
  <si>
    <t>下单</t>
  </si>
  <si>
    <t>17876082449</t>
  </si>
  <si>
    <t>桂花北路与滘口路交叉口正北方向150米左右</t>
  </si>
  <si>
    <t>158</t>
  </si>
  <si>
    <t>家家鑫超市(金域名都店)</t>
  </si>
  <si>
    <t>金域名都</t>
  </si>
  <si>
    <t>15363888810</t>
  </si>
  <si>
    <t>桂城街道海八东路2号金域名都5座107铺</t>
  </si>
  <si>
    <t>165</t>
  </si>
  <si>
    <t>178</t>
  </si>
  <si>
    <t>金之路</t>
  </si>
  <si>
    <t>麦嘉骏</t>
  </si>
  <si>
    <t>13725985285</t>
  </si>
  <si>
    <t>大沥镇盐步河西桥西路96号，广州越秀冷链物流有限公司南海园区</t>
  </si>
  <si>
    <t>182</t>
  </si>
  <si>
    <t>佛山启之荣</t>
  </si>
  <si>
    <t>13760675048</t>
  </si>
  <si>
    <t>大沥镇南海区汇龙工业大道1号博展冷链B库月台A11~A16号（高德地图直接搜博展冷链）后续送货到仓库注意地址变更请知悉，谢谢！</t>
  </si>
  <si>
    <t>CUS00266</t>
  </si>
  <si>
    <t>一鹿发百货超市（清远嘉兴花园店）</t>
  </si>
  <si>
    <t>鹿发超市</t>
  </si>
  <si>
    <t>18029705960</t>
  </si>
  <si>
    <t>清远市</t>
  </si>
  <si>
    <t>清城区</t>
  </si>
  <si>
    <t>嘉兴花园1号楼一鹿发闪送超市（新桂苑正对面）， 一鹿发超市</t>
  </si>
  <si>
    <t>CUS00268</t>
  </si>
  <si>
    <t>优购熊超市（金沙洲店）</t>
  </si>
  <si>
    <t>优购熊金沙洲</t>
  </si>
  <si>
    <t>13824509725</t>
  </si>
  <si>
    <t>大沥镇黄岐泌冲“大金钟”旁的泌冲工业区自编8号(住所申报)（优购熊超市金沙洲店）</t>
  </si>
  <si>
    <t>优购熊超市</t>
  </si>
  <si>
    <t>303</t>
  </si>
  <si>
    <t>仟店超市（海珠店）</t>
  </si>
  <si>
    <t>18022410370</t>
  </si>
  <si>
    <t>江南大道中 路大松岗3栋3102房</t>
  </si>
  <si>
    <t>仟店超市</t>
  </si>
  <si>
    <t>304</t>
  </si>
  <si>
    <t>仟店超市（荔湾店）</t>
  </si>
  <si>
    <t>19928447138</t>
  </si>
  <si>
    <t>龙津街道洞神坊30号对面仟店超市</t>
  </si>
  <si>
    <t>328</t>
  </si>
  <si>
    <t>π乐购生活超市江门店</t>
  </si>
  <si>
    <t>13650927584</t>
  </si>
  <si>
    <t>聚德街25号106室兀乐购精品超市,13650927584</t>
  </si>
  <si>
    <t>CUS00271</t>
  </si>
  <si>
    <t>白熊便利超市（三中店）</t>
  </si>
  <si>
    <t>白熊便利三中</t>
  </si>
  <si>
    <t>18929155840</t>
  </si>
  <si>
    <t>清溪镇三中村三中路6号202</t>
  </si>
  <si>
    <t>346</t>
  </si>
  <si>
    <t>图个便利（寮步店）</t>
  </si>
  <si>
    <t>13138067604</t>
  </si>
  <si>
    <t>寮步镇下岭贝福兴六巷3号图个便利店</t>
  </si>
  <si>
    <t>345</t>
  </si>
  <si>
    <t>尚购精品超市（永和店）</t>
  </si>
  <si>
    <t>尚购精品超市</t>
  </si>
  <si>
    <t>18600125455</t>
  </si>
  <si>
    <t>新庄甘竹西街一巷9号101铺 尚购精品超市（永和店）</t>
  </si>
  <si>
    <t>351</t>
  </si>
  <si>
    <t>橙兴优购增城店</t>
  </si>
  <si>
    <t>周</t>
  </si>
  <si>
    <t>13826066734</t>
  </si>
  <si>
    <t>荔城街道中坚花园中坚巷13号橙兴优购</t>
  </si>
  <si>
    <t>355</t>
  </si>
  <si>
    <t>特惠多超市（祈福店）</t>
  </si>
  <si>
    <t>13825124332</t>
  </si>
  <si>
    <t>钟一村望楼岗71号（特惠多超市）</t>
  </si>
  <si>
    <t>特惠多超市</t>
  </si>
  <si>
    <t>357</t>
  </si>
  <si>
    <t>邻距离生活超市(永和店)可收货8点-凌晨2点</t>
  </si>
  <si>
    <t>15217706115</t>
  </si>
  <si>
    <t>永宁街警元村黄屋大街1-13号</t>
  </si>
  <si>
    <t>372</t>
  </si>
  <si>
    <t>轻松鼠（停用）</t>
  </si>
  <si>
    <t>钟生</t>
  </si>
  <si>
    <t>17728051966</t>
  </si>
  <si>
    <t>新塘镇南安村东头坊河边街自编2号E栋（轻松鼠）</t>
  </si>
  <si>
    <t>轻松鼠</t>
  </si>
  <si>
    <t>398</t>
  </si>
  <si>
    <t>益家百货(里水店)</t>
  </si>
  <si>
    <t>易志勋</t>
  </si>
  <si>
    <t>13435494984</t>
  </si>
  <si>
    <t>里水镇新景正街益家百货</t>
  </si>
  <si>
    <t>益家百货</t>
  </si>
  <si>
    <t>CUS00274</t>
  </si>
  <si>
    <t>闪购蛙（需确认后打单）</t>
  </si>
  <si>
    <t>陈家俊</t>
  </si>
  <si>
    <t>17727682875</t>
  </si>
  <si>
    <t>闪购蛙门店共2层，供应商送货需要送到指定位置</t>
  </si>
  <si>
    <t>闪购蛙</t>
  </si>
  <si>
    <t>397</t>
  </si>
  <si>
    <t>苏宁小店（花都店）早上9点到晚上12点可收货</t>
  </si>
  <si>
    <t>13660392141</t>
  </si>
  <si>
    <t>邝家北十巷8号之二101房</t>
  </si>
  <si>
    <t>苏宁小店</t>
  </si>
  <si>
    <t>392</t>
  </si>
  <si>
    <t>乐爱达甄选生活超市(新塘店)</t>
  </si>
  <si>
    <t>15361278579</t>
  </si>
  <si>
    <t>新塘镇卫山路41号自编A1栋29号</t>
  </si>
  <si>
    <t>410</t>
  </si>
  <si>
    <t>轻松鼠生活超市（9点-凌晨2点50）</t>
  </si>
  <si>
    <t>轻松鼠生活超市</t>
  </si>
  <si>
    <t>新塘镇南安村东头坊大路自编2号C栋全屋定制家具工厂</t>
  </si>
  <si>
    <t>389</t>
  </si>
  <si>
    <t>广州骏成易购</t>
  </si>
  <si>
    <t>肖总</t>
  </si>
  <si>
    <t>15382817005</t>
  </si>
  <si>
    <t>421</t>
  </si>
  <si>
    <t>绵羊生活百货（新港店）</t>
  </si>
  <si>
    <t>张瑶</t>
  </si>
  <si>
    <t>13970726595</t>
  </si>
  <si>
    <t>琶洲街道畔江内街5号 绵羊生活百货超市（新港店）</t>
  </si>
  <si>
    <t>绵羊生活百货</t>
  </si>
  <si>
    <t>422</t>
  </si>
  <si>
    <t>绵羊生活百货（白云店）</t>
  </si>
  <si>
    <t>魏世威</t>
  </si>
  <si>
    <t>18520296883</t>
  </si>
  <si>
    <t>鹤龙街道黄边南路213号C1栋101</t>
  </si>
  <si>
    <t>424</t>
  </si>
  <si>
    <t>哈喽闪电超市番禺店</t>
  </si>
  <si>
    <t>哈喽闪电</t>
  </si>
  <si>
    <t>15692011348</t>
  </si>
  <si>
    <t>市桥街道工业路69号哈喽闪电超市（农业银行停车场内院）</t>
  </si>
  <si>
    <t>428</t>
  </si>
  <si>
    <t>宅小熊超市（桂城店）</t>
  </si>
  <si>
    <t>宅小熊</t>
  </si>
  <si>
    <t>15627080880</t>
  </si>
  <si>
    <t>桂城街道季华七路怡翠玫瑰园宅小熊超市</t>
  </si>
  <si>
    <t>宅小熊超市</t>
  </si>
  <si>
    <t>430</t>
  </si>
  <si>
    <t>小柴购</t>
  </si>
  <si>
    <t>18566815545</t>
  </si>
  <si>
    <t>大沥镇黄岐白沙陈溪东街一巷一号首层</t>
  </si>
  <si>
    <t>431</t>
  </si>
  <si>
    <t>哈喽闪电超市（南浦店）</t>
  </si>
  <si>
    <t>张映婷</t>
  </si>
  <si>
    <t>15766373991</t>
  </si>
  <si>
    <t>洛浦街道南浦岛沿沙路36号能达商务中心一楼哈喽闪电超市</t>
  </si>
  <si>
    <t>437</t>
  </si>
  <si>
    <t>淘米24小时超市</t>
  </si>
  <si>
    <t>廖</t>
  </si>
  <si>
    <t>13612817375</t>
  </si>
  <si>
    <t>怀集县</t>
  </si>
  <si>
    <t>登云路登云商业城B5A卡商铺</t>
  </si>
  <si>
    <t>460</t>
  </si>
  <si>
    <t>风行荔香路店</t>
  </si>
  <si>
    <t>荔香路店</t>
  </si>
  <si>
    <t>荔香路81号</t>
  </si>
  <si>
    <t>571</t>
  </si>
  <si>
    <t>尚购精品超市（萝岗店）</t>
  </si>
  <si>
    <t>19120636804</t>
  </si>
  <si>
    <t>开源大道188号四栋101 尚购精品超市（萝岗店）</t>
  </si>
  <si>
    <t>573</t>
  </si>
  <si>
    <t>卜蜂莲花24h快送（三元里店）</t>
  </si>
  <si>
    <t>林</t>
  </si>
  <si>
    <t>15626477606</t>
  </si>
  <si>
    <t>三元里街道三元里大道306号卜蜂莲花DC收货区（卜蜂莲花24快送超市）</t>
  </si>
  <si>
    <t>574</t>
  </si>
  <si>
    <t>卜蜂莲花24h快送（南海店）</t>
  </si>
  <si>
    <t>夏西罗芳西约口工业区21-2号（卜蜂莲花24小时快送超市）</t>
  </si>
  <si>
    <t>576</t>
  </si>
  <si>
    <t>橙选便利超市（东圃店）</t>
  </si>
  <si>
    <t>15711952174</t>
  </si>
  <si>
    <t>中山大道中995号107铺橙选便利超市</t>
  </si>
  <si>
    <t>521</t>
  </si>
  <si>
    <t>京东便利店（三元里店）</t>
  </si>
  <si>
    <t>曹生</t>
  </si>
  <si>
    <t>19022003635</t>
  </si>
  <si>
    <t>机场西路乐同街28号10号房自编之二</t>
  </si>
  <si>
    <t>531</t>
  </si>
  <si>
    <t>优选闪送番禺店</t>
  </si>
  <si>
    <t>13570409793</t>
  </si>
  <si>
    <t>东环街道兴学路82号5栋201房</t>
  </si>
  <si>
    <t>534</t>
  </si>
  <si>
    <t>十里快送超市</t>
  </si>
  <si>
    <t>13025111123</t>
  </si>
  <si>
    <t>沙头街小罗村陇颖二街5号十里快送超市</t>
  </si>
  <si>
    <t>538</t>
  </si>
  <si>
    <t>霆桦（9点-17点半可收货）</t>
  </si>
  <si>
    <t>小姗</t>
  </si>
  <si>
    <t>13715493433</t>
  </si>
  <si>
    <t>大沥镇广佛路城东南一路8号之一</t>
  </si>
  <si>
    <t>霆桦</t>
  </si>
  <si>
    <t>498</t>
  </si>
  <si>
    <t>同超棠东</t>
  </si>
  <si>
    <t>棠东</t>
  </si>
  <si>
    <t>棠东乳润牛奶</t>
  </si>
  <si>
    <t>487</t>
  </si>
  <si>
    <t>Want Try咖啡馆</t>
  </si>
  <si>
    <t>高鹏</t>
  </si>
  <si>
    <t>13257580416</t>
  </si>
  <si>
    <t>沙寮村新村二区Want Try咖啡馆</t>
  </si>
  <si>
    <t>790</t>
  </si>
  <si>
    <t>荣昆便利店</t>
  </si>
  <si>
    <t>刘</t>
  </si>
  <si>
    <t>15102045940</t>
  </si>
  <si>
    <t>夏园墩美北街一巷一号</t>
  </si>
  <si>
    <t>700</t>
  </si>
  <si>
    <t>兔喜生活物流服务店（早10点-晚10点）</t>
  </si>
  <si>
    <t>兔喜生活物流服务店</t>
  </si>
  <si>
    <t>13242524808</t>
  </si>
  <si>
    <t>新华街道培英街培英街小区(花城路地铁站C口步行480米)</t>
  </si>
  <si>
    <t>CUS00214</t>
  </si>
  <si>
    <t>鼠鼠好快</t>
  </si>
  <si>
    <t>13133829072</t>
  </si>
  <si>
    <t>CUS00221</t>
  </si>
  <si>
    <t>郭金伟</t>
  </si>
  <si>
    <t>15013334680</t>
  </si>
  <si>
    <t>CUS00296</t>
  </si>
  <si>
    <t>普通客户送货</t>
  </si>
  <si>
    <t>111</t>
  </si>
  <si>
    <t>CUS00297</t>
  </si>
  <si>
    <t>致美精品超市（广州嘉禾店）</t>
  </si>
  <si>
    <t>致美嘉禾店</t>
  </si>
  <si>
    <t>15218781048</t>
  </si>
  <si>
    <t>鹤龙街联边彭上东胜大街19号-1铺</t>
  </si>
  <si>
    <t>致美精品超市</t>
  </si>
  <si>
    <t>CUS00298</t>
  </si>
  <si>
    <t>致美精品超市（广州同合店）</t>
  </si>
  <si>
    <t>致美同合店</t>
  </si>
  <si>
    <t>15217475457</t>
  </si>
  <si>
    <t>同和街道握南山南一路46号(肆陆大院)</t>
  </si>
  <si>
    <t>CUS00299</t>
  </si>
  <si>
    <t>致美精品超市（广州永泰店）</t>
  </si>
  <si>
    <t>致美永泰店</t>
  </si>
  <si>
    <t>17889577452</t>
  </si>
  <si>
    <t>永平街永泰村官厅中街一巷 5号（悦顺居旁）</t>
  </si>
  <si>
    <t>CUS00163</t>
  </si>
  <si>
    <t>鲸GO生活超市（广州增城店）</t>
  </si>
  <si>
    <t>增城店</t>
  </si>
  <si>
    <t>13640719228</t>
  </si>
  <si>
    <t>荔城街道荔城街荔城大道147号4幢外首层08,09号商铺</t>
  </si>
  <si>
    <t>371</t>
  </si>
  <si>
    <t>顺发百货超市（佛山伦教店）凌晨4-8点不收货</t>
  </si>
  <si>
    <t>13656018603</t>
  </si>
  <si>
    <t>伦教街道启明坊五巷一号 顺发百货超市(伦教店)</t>
  </si>
  <si>
    <t>522</t>
  </si>
  <si>
    <t>顺发百货超市（中山石岐店）</t>
  </si>
  <si>
    <t>顺发百货超市（中山店）</t>
  </si>
  <si>
    <t>17728362129</t>
  </si>
  <si>
    <t>石岐区悦凯路8号19卡</t>
  </si>
  <si>
    <t>524</t>
  </si>
  <si>
    <t>顺发百货超市（佛山顺德店）凌晨4-8点不收货</t>
  </si>
  <si>
    <t>顺发百货超市（顺德店）</t>
  </si>
  <si>
    <t>15916590415</t>
  </si>
  <si>
    <t>大良聚源直街18号之一</t>
  </si>
  <si>
    <t>525</t>
  </si>
  <si>
    <t>顺发百货超市（佛山北滘店）</t>
  </si>
  <si>
    <t>周智星</t>
  </si>
  <si>
    <t>18125755188</t>
  </si>
  <si>
    <t>北滘镇林头嘉怡综合楼17号</t>
  </si>
  <si>
    <t>527</t>
  </si>
  <si>
    <t>顺发百货超市（佛山龙江店）白天收货</t>
  </si>
  <si>
    <t>金晖</t>
  </si>
  <si>
    <t>19927770761</t>
  </si>
  <si>
    <t>龙江镇文华路1号威斯登堡东门顺发百货</t>
  </si>
  <si>
    <t>CUS00300</t>
  </si>
  <si>
    <t>顺发百货超市（佛山三水店）9-12点，14-22点</t>
  </si>
  <si>
    <t>李帅</t>
  </si>
  <si>
    <t>18042857086</t>
  </si>
  <si>
    <t>西南街道月桂二路9号之120之19顺发百货</t>
  </si>
  <si>
    <t>CUS00265</t>
  </si>
  <si>
    <t>松果超市（东莞虎门店）</t>
  </si>
  <si>
    <t>松果虎门</t>
  </si>
  <si>
    <t>13392335530</t>
  </si>
  <si>
    <t>虎门镇仁中岗中墩中园巷14号101室</t>
  </si>
  <si>
    <t>393</t>
  </si>
  <si>
    <t>松果超市（广州花都店）</t>
  </si>
  <si>
    <t>松果花都</t>
  </si>
  <si>
    <t>13316293019</t>
  </si>
  <si>
    <t>秀全街道荔红南路松果超市</t>
  </si>
  <si>
    <t>458</t>
  </si>
  <si>
    <t>松果超市（总仓）</t>
  </si>
  <si>
    <t>李总</t>
  </si>
  <si>
    <t>13826869521</t>
  </si>
  <si>
    <t>CUS00264</t>
  </si>
  <si>
    <t>新惠百货（广州三元里店）10点-18点可收货</t>
  </si>
  <si>
    <t>新惠百货（三元里店）10点-18点可收货</t>
  </si>
  <si>
    <t>18127918542</t>
  </si>
  <si>
    <t>三元里华园路20号203房</t>
  </si>
  <si>
    <t>新惠百货</t>
  </si>
  <si>
    <t>429</t>
  </si>
  <si>
    <t>新惠百货（佛山南海店）</t>
  </si>
  <si>
    <t>新惠百货（南海店）</t>
  </si>
  <si>
    <t>13066452680</t>
  </si>
  <si>
    <t>大沥镇南海区大沥镇黄岐白沙冲口北便新街四巷一号</t>
  </si>
  <si>
    <t>545</t>
  </si>
  <si>
    <t>新惠百货（佛山北滘店）</t>
  </si>
  <si>
    <t>13433233520</t>
  </si>
  <si>
    <t>北滘镇东风路33号豪逸轩19号商铺（新惠百货）</t>
  </si>
  <si>
    <t>630</t>
  </si>
  <si>
    <t>新惠百货（广州黄边店）</t>
  </si>
  <si>
    <t>15194482887</t>
  </si>
  <si>
    <t>鹤龙街道尹边联兴路18号盛亿科创园院内直走到底</t>
  </si>
  <si>
    <t>CUS00167</t>
  </si>
  <si>
    <t>新惠百货（广州番禺大石店）</t>
  </si>
  <si>
    <t>新惠百货（番禺大石店）</t>
  </si>
  <si>
    <t>15876599923</t>
  </si>
  <si>
    <t xml:space="preserve"> 德智创意园C区东联工业区南二路6号一楼111单元</t>
  </si>
  <si>
    <t>CUS00197</t>
  </si>
  <si>
    <t>新惠百货（广州新塘店）</t>
  </si>
  <si>
    <t>新惠百货超市（新塘店）</t>
  </si>
  <si>
    <t>15014590065</t>
  </si>
  <si>
    <t>广东省新惠百货超市（新塘店）</t>
  </si>
  <si>
    <t>CUS00209</t>
  </si>
  <si>
    <t>新惠百货（广州天河店）</t>
  </si>
  <si>
    <t>新惠百货（天河店）</t>
  </si>
  <si>
    <t>18998469686</t>
  </si>
  <si>
    <t>华利路2号 爱丁堡国际公寓负一层 新惠百货</t>
  </si>
  <si>
    <t>CUS00236</t>
  </si>
  <si>
    <t>网易严选（广州青龙店）</t>
  </si>
  <si>
    <t>网易青龙</t>
  </si>
  <si>
    <t>18188726646</t>
  </si>
  <si>
    <t>大龙街道傍江东村兴江路6号1-3栋   网易严选青龙店</t>
  </si>
  <si>
    <t>网易严选</t>
  </si>
  <si>
    <t>296</t>
  </si>
  <si>
    <t>网易严选（广州快送超市）</t>
  </si>
  <si>
    <t>唐洪峰</t>
  </si>
  <si>
    <t>18028541635</t>
  </si>
  <si>
    <t>三元里街道华园路38号大院仓库101-2</t>
  </si>
  <si>
    <t>543</t>
  </si>
  <si>
    <t>网易严选（广州海珠店）</t>
  </si>
  <si>
    <t>18102649935</t>
  </si>
  <si>
    <t>赤岗红卫路靖晖街 6号铺之43号-45号铺-网易严选快送超市（请勿放驿站送货上门）</t>
  </si>
  <si>
    <t>CUS00179</t>
  </si>
  <si>
    <t>网易严选（佛山勒流店）</t>
  </si>
  <si>
    <t>张连福</t>
  </si>
  <si>
    <t>18676567707</t>
  </si>
  <si>
    <t>勒流街道大晚社区环球路7号（网易严选勒流店）</t>
  </si>
  <si>
    <t>CUS00216</t>
  </si>
  <si>
    <t>网易严选（广州南村店）</t>
  </si>
  <si>
    <t>网易南村店</t>
  </si>
  <si>
    <t>19042543362</t>
  </si>
  <si>
    <t>南村镇员岗村员岗大道41号(网易严选)</t>
  </si>
  <si>
    <t>CUS00223</t>
  </si>
  <si>
    <t>网易严选（广州天河店）</t>
  </si>
  <si>
    <t>网易天河</t>
  </si>
  <si>
    <t>19864640394</t>
  </si>
  <si>
    <t>天寿路156号水利仓库106仓 新惠百货</t>
  </si>
  <si>
    <t>532</t>
  </si>
  <si>
    <t>佳佳超市（中山沙溪店）</t>
  </si>
  <si>
    <t>佳佳超市（沙溪店）</t>
  </si>
  <si>
    <t>18420201403</t>
  </si>
  <si>
    <t>乐群坎溪村万象城第六幢百货区22卡佳佳超市沙溪店（送货上门）</t>
  </si>
  <si>
    <t>533</t>
  </si>
  <si>
    <t>佳佳超市（珠海唐家湾店）24小时可收货</t>
  </si>
  <si>
    <t>Tao</t>
  </si>
  <si>
    <t>17880739532</t>
  </si>
  <si>
    <t>唐家湾镇明园15号后门佳佳超市（送货上门）</t>
  </si>
  <si>
    <t>432</t>
  </si>
  <si>
    <t>惠万家精品超市（珠海斗门中心店）</t>
  </si>
  <si>
    <t>惠万家斗门店</t>
  </si>
  <si>
    <t>15976977271</t>
  </si>
  <si>
    <t>白藤街道白藤二路诚讳丽苑惠万家精品超市</t>
  </si>
  <si>
    <t>433</t>
  </si>
  <si>
    <t>惠万家精品超市（珠海吉大店）</t>
  </si>
  <si>
    <t>吴生</t>
  </si>
  <si>
    <t>18928052585</t>
  </si>
  <si>
    <t>吉大景园路11号 2 栋西3号铺 惠万家精品超市</t>
  </si>
  <si>
    <t>434</t>
  </si>
  <si>
    <t>惠万家精品超市（珠海香洲店）</t>
  </si>
  <si>
    <t>15015948550</t>
  </si>
  <si>
    <t>前山明珠南路3047号美星工业园A栋7号之2号铺惠万家</t>
  </si>
  <si>
    <t>435</t>
  </si>
  <si>
    <t>惠万家精品超市（佛山禅城店）</t>
  </si>
  <si>
    <t>惠万家禅城店</t>
  </si>
  <si>
    <t>13380222945</t>
  </si>
  <si>
    <t>石湾镇街道黎冲上村东风村9巷15号首层2号铺之一</t>
  </si>
  <si>
    <t>436</t>
  </si>
  <si>
    <t>惠万家精品超市（佛山南海店）</t>
  </si>
  <si>
    <t>惠万家南海店</t>
  </si>
  <si>
    <t>18934365053</t>
  </si>
  <si>
    <t>湖州路50号万科金域缇香21座109铺（不放驿站）</t>
  </si>
  <si>
    <t>575</t>
  </si>
  <si>
    <t>优选快送超市（广州南站店）凌晨2点-16点可收货</t>
  </si>
  <si>
    <t>叶</t>
  </si>
  <si>
    <t>18565553626</t>
  </si>
  <si>
    <t>石壁街道李锦记大厦一楼优选快送超市(到货请务必打电话沟)</t>
  </si>
  <si>
    <t>优选快送超市</t>
  </si>
  <si>
    <t>544</t>
  </si>
  <si>
    <t>优选快送超市（广州大学城店）凌晨0点-6点可收货</t>
  </si>
  <si>
    <t>收货</t>
  </si>
  <si>
    <t>18576922064</t>
  </si>
  <si>
    <t>长洲街深井花基新村23号101</t>
  </si>
  <si>
    <t>CUS00153</t>
  </si>
  <si>
    <t>优选快送超市（广州科韵路店）凌晨0点-6点可收货</t>
  </si>
  <si>
    <t>科韵路店</t>
  </si>
  <si>
    <t>18576920442</t>
  </si>
  <si>
    <t>科韵南路109-7号101优选快送超市</t>
  </si>
  <si>
    <t>CUS00154</t>
  </si>
  <si>
    <t>优选快送超市（广州万博店）11点-19点可收货</t>
  </si>
  <si>
    <t>万博店</t>
  </si>
  <si>
    <t>18576923480</t>
  </si>
  <si>
    <t>南村万博四路12号优选快送超市</t>
  </si>
  <si>
    <t>CUS00180</t>
  </si>
  <si>
    <t>优选快送超市（广州新港东路店）8点到18点期间来货</t>
  </si>
  <si>
    <t>新港东路店</t>
  </si>
  <si>
    <t>18565558690</t>
  </si>
  <si>
    <t>数字科技产业园2846-6号180铺优选快送超市新港东路店</t>
  </si>
  <si>
    <t>CUS00181</t>
  </si>
  <si>
    <t>优选快送超市（广州黄埔古村店）</t>
  </si>
  <si>
    <t>黄埔古村店</t>
  </si>
  <si>
    <t>18565596920</t>
  </si>
  <si>
    <t>黄埔北码头29号之三整栋自编106单元优选快送超市</t>
  </si>
  <si>
    <t>CUS00213</t>
  </si>
  <si>
    <t>优选快送超市（广州华景店）</t>
  </si>
  <si>
    <t>华景店</t>
  </si>
  <si>
    <t>13378449801</t>
  </si>
  <si>
    <t>华景新城中山大道西139号11栋104铺</t>
  </si>
  <si>
    <t>132</t>
  </si>
  <si>
    <t>值小团（广州天河店）</t>
  </si>
  <si>
    <t>店长/下单</t>
  </si>
  <si>
    <t>13392138304</t>
  </si>
  <si>
    <t>员村南街10号108A单元</t>
  </si>
  <si>
    <t>133</t>
  </si>
  <si>
    <t>值小团（广州天河北店）</t>
  </si>
  <si>
    <t>18529217661</t>
  </si>
  <si>
    <t>侨源二街5号首层102铺之三</t>
  </si>
  <si>
    <t>134</t>
  </si>
  <si>
    <t>值小团（广州淘金店）</t>
  </si>
  <si>
    <t>19924757485</t>
  </si>
  <si>
    <t>恒福路238号负一层自编1号01铺(康合营养家旁边)</t>
  </si>
  <si>
    <t>135</t>
  </si>
  <si>
    <t>值小团（广州三元里店）</t>
  </si>
  <si>
    <t>19075262062</t>
  </si>
  <si>
    <t>棠溪大街36号二楼</t>
  </si>
  <si>
    <t>137</t>
  </si>
  <si>
    <t>值小团（广州荔湾店）</t>
  </si>
  <si>
    <t>15738941733</t>
  </si>
  <si>
    <t>西华路冼家庄17号107房自编08房</t>
  </si>
  <si>
    <t>138</t>
  </si>
  <si>
    <t>值小团（佛山金沙洲店）</t>
  </si>
  <si>
    <t>18125729153</t>
  </si>
  <si>
    <t>大沥镇黄岐白沙龙二新村二街27号1楼(住所申报)</t>
  </si>
  <si>
    <t>139</t>
  </si>
  <si>
    <t>值小团（广州海珠店）</t>
  </si>
  <si>
    <t>13710664156</t>
  </si>
  <si>
    <t>信雅路54</t>
  </si>
  <si>
    <t>140</t>
  </si>
  <si>
    <t>值小团（广州芳村店）</t>
  </si>
  <si>
    <t>17575037885</t>
  </si>
  <si>
    <t>坑口大街 138 号红岗工业区1 号首层 101、102 室</t>
  </si>
  <si>
    <t>CUS00275</t>
  </si>
  <si>
    <t>值小团（广州东平店）</t>
  </si>
  <si>
    <t>值小团东平</t>
  </si>
  <si>
    <t>19927627076</t>
  </si>
  <si>
    <t>广兴发产业园三杰数码楼上202房</t>
  </si>
  <si>
    <t>CUS00277</t>
  </si>
  <si>
    <t>值小团（佛山千灯湖店）</t>
  </si>
  <si>
    <t>千灯湖店</t>
  </si>
  <si>
    <t>17575038850</t>
  </si>
  <si>
    <t>华协齿轮厂旁边值小团精品超市千灯湖店收</t>
  </si>
  <si>
    <t>459</t>
  </si>
  <si>
    <t>值小团（广州大石店）</t>
  </si>
  <si>
    <t>值小团（大石店）</t>
  </si>
  <si>
    <t>19068527315</t>
  </si>
  <si>
    <t>大石街道大石镇朝阳东路170号201房值小团超市（原玲丰服饰）</t>
  </si>
  <si>
    <t>CUS00165</t>
  </si>
  <si>
    <t>值小团（广州嘉禾店）</t>
  </si>
  <si>
    <t>小团</t>
  </si>
  <si>
    <t>19925888518</t>
  </si>
  <si>
    <t>嘉禾街道嘉禾街联边村彭上大元岭一横路11号202房值小团超市，禁止菜鸟</t>
  </si>
  <si>
    <t>131</t>
  </si>
  <si>
    <t>时光里便利超市（广州越秀店）</t>
  </si>
  <si>
    <t>18138711284</t>
  </si>
  <si>
    <t>广九四马路15号首层</t>
  </si>
  <si>
    <t>时光里便利超市</t>
  </si>
  <si>
    <t>136</t>
  </si>
  <si>
    <t>时光里便利超市（广州祈福店）</t>
  </si>
  <si>
    <t>15918612687</t>
  </si>
  <si>
    <t>钟一村塘坊大街9号1楼西南座</t>
  </si>
  <si>
    <t>141</t>
  </si>
  <si>
    <t>时光里便利超市（广州番禺万博店）</t>
  </si>
  <si>
    <t>13318758760</t>
  </si>
  <si>
    <t>南村镇登云大路2号之六105房</t>
  </si>
  <si>
    <t>142</t>
  </si>
  <si>
    <t>时光里便利超市（广州番禺奥园店）</t>
  </si>
  <si>
    <t>13143743515</t>
  </si>
  <si>
    <t>市桥街云星云桥头村大街前云桥富都商业街南排27、28、29号</t>
  </si>
  <si>
    <t>CUS00200</t>
  </si>
  <si>
    <t>哆宜佳（总部）</t>
  </si>
  <si>
    <t>张总</t>
  </si>
  <si>
    <t>13432724220</t>
  </si>
  <si>
    <t>546</t>
  </si>
  <si>
    <t>哆宜佳便利超市（广州江夏店）白天送货</t>
  </si>
  <si>
    <t>周采购</t>
  </si>
  <si>
    <t>13715214103</t>
  </si>
  <si>
    <t>鹤龙街道通达创意园西区12栋118室哆宜佳便利超市江夏店（必须送货上门，否则拒收）</t>
  </si>
  <si>
    <t>CUS00294</t>
  </si>
  <si>
    <t>哆宜佳便利超市（广州市桥店）</t>
  </si>
  <si>
    <t>哆宜佳市桥</t>
  </si>
  <si>
    <t>19925657424</t>
  </si>
  <si>
    <t>市桥捷进路中路来福园17座48号哆宜佳超市市桥店（送货上门，否则拒收）</t>
  </si>
  <si>
    <t>CUS00295</t>
  </si>
  <si>
    <t>哆宜佳便利超市（广州太古汇店）早上九点到中午11点半，下午俩点半到晚上九点</t>
  </si>
  <si>
    <t>哆宜佳太古汇</t>
  </si>
  <si>
    <t>18925040940</t>
  </si>
  <si>
    <t>华平街3—11号自编112号哆宜佳超市太古汇店（送货上门，否则拒收）</t>
  </si>
  <si>
    <t>CUS00247</t>
  </si>
  <si>
    <t>淘金豚超市（佛山陈村店）</t>
  </si>
  <si>
    <t>淘金陈村</t>
  </si>
  <si>
    <t>13590650713</t>
  </si>
  <si>
    <t>陈村大道白陈路13号淘金豚超市（送到店里来）</t>
  </si>
  <si>
    <t>淘金豚超市</t>
  </si>
  <si>
    <t>CUS00248</t>
  </si>
  <si>
    <t>淘金豚超市（佛山罗村店）</t>
  </si>
  <si>
    <t>淘金豚罗村</t>
  </si>
  <si>
    <t>17818098231</t>
  </si>
  <si>
    <t>狮山镇罗村社区罗南经济社城南路15号南便街3-4号商铺。淘金豚生活超市</t>
  </si>
  <si>
    <t>CUS00249</t>
  </si>
  <si>
    <t>淘金豚超市（广州黄埔店）</t>
  </si>
  <si>
    <t>淘金豚黄埔</t>
  </si>
  <si>
    <t>19872707071</t>
  </si>
  <si>
    <t>科学大道286号七喜大厦一楼大厅里面</t>
  </si>
  <si>
    <t>CUS00250</t>
  </si>
  <si>
    <t>淘金豚超市（佛山里水店）</t>
  </si>
  <si>
    <t>淘金豚里水</t>
  </si>
  <si>
    <t>18038637958</t>
  </si>
  <si>
    <t>里水镇里水大道北116号</t>
  </si>
  <si>
    <t>CUS00251</t>
  </si>
  <si>
    <t>淘金豚超市（广州萝岗店）9点-凌晨1点</t>
  </si>
  <si>
    <t>淘金豚萝岗</t>
  </si>
  <si>
    <t>13346466936</t>
  </si>
  <si>
    <t>萝岗公路街115号煌庭休闲会所一楼淘金豚超市（送到店里来）</t>
  </si>
  <si>
    <t>CUS00252</t>
  </si>
  <si>
    <t>淘金豚超市（佛山叠滘店）</t>
  </si>
  <si>
    <t>淘金豚叠滘</t>
  </si>
  <si>
    <t>18675194990</t>
  </si>
  <si>
    <t>海三西路7号7-6号铺淘金豚超市</t>
  </si>
  <si>
    <t>CUS00253</t>
  </si>
  <si>
    <t>淘金豚超市（佛山大沥店）</t>
  </si>
  <si>
    <t>淘金豚大沥</t>
  </si>
  <si>
    <t>18934385395</t>
  </si>
  <si>
    <t>大沥镇永安路4号之7淘金豚超市（送上门)</t>
  </si>
  <si>
    <t>CUS00254</t>
  </si>
  <si>
    <t>淘金豚超市（佛山沙涌店）</t>
  </si>
  <si>
    <t>淘金豚沙涌</t>
  </si>
  <si>
    <t>17159633067</t>
  </si>
  <si>
    <t>里水镇沙涌大道西73号万盈广场二期首层96号铺(淘金豚沙涌店）</t>
  </si>
  <si>
    <t>CUS00255</t>
  </si>
  <si>
    <t>淘金豚超市（佛山南海店）</t>
  </si>
  <si>
    <t>南海淘金豚</t>
  </si>
  <si>
    <t>17724779376</t>
  </si>
  <si>
    <t>桂城街道桂平东路“同益围”2号铺，送到店里来</t>
  </si>
  <si>
    <t>CUS00256</t>
  </si>
  <si>
    <t>淘金豚超市（广州白云店）</t>
  </si>
  <si>
    <t>白云淘金豚</t>
  </si>
  <si>
    <t>17727629262</t>
  </si>
  <si>
    <t>永平街道新顺路华发四季门口淘金豚超市</t>
  </si>
  <si>
    <t>CUS00257</t>
  </si>
  <si>
    <t>淘金豚超市（广州东圃店）</t>
  </si>
  <si>
    <t>东圃淘金豚</t>
  </si>
  <si>
    <t>17727627265</t>
  </si>
  <si>
    <t>车陂街道东圃大马路汇友苑小区内首层7-17号（送到店里来）</t>
  </si>
  <si>
    <t>CUS00258</t>
  </si>
  <si>
    <t>淘金豚超市（广州新塘店）</t>
  </si>
  <si>
    <t>新塘淘金豚</t>
  </si>
  <si>
    <t>18026229475</t>
  </si>
  <si>
    <t>新塘镇电信直街4号淘金豚新塘店（送到店里来）</t>
  </si>
  <si>
    <t>CUS00259</t>
  </si>
  <si>
    <t>淘金豚超市（广州南岗店）</t>
  </si>
  <si>
    <t>南岗岗速达强</t>
  </si>
  <si>
    <t>19926019904</t>
  </si>
  <si>
    <t>南岗街道22号南岗新城淘金豚超市（送上门)</t>
  </si>
  <si>
    <t>CUS00260</t>
  </si>
  <si>
    <t>淘金豚超市（广州知识城店）</t>
  </si>
  <si>
    <t>知识城淘金豚</t>
  </si>
  <si>
    <t>18122447361</t>
  </si>
  <si>
    <t>中新知识城龙湖街道万科幸福誉K3-104淘金豚超市</t>
  </si>
  <si>
    <t>300</t>
  </si>
  <si>
    <t>淘金豚（总部）</t>
  </si>
  <si>
    <t>13414846243</t>
  </si>
  <si>
    <t>南岗街道南岗新城悦祥商行</t>
  </si>
  <si>
    <t>淘金豚</t>
  </si>
  <si>
    <t>66</t>
  </si>
  <si>
    <t>优购哆生活超市（广州珠村店）</t>
  </si>
  <si>
    <t>张燕燕</t>
  </si>
  <si>
    <t>19129239004</t>
  </si>
  <si>
    <t>珠吉街道珠村东环路110号珠园大厦2楼206 优购哆</t>
  </si>
  <si>
    <t>67</t>
  </si>
  <si>
    <t>优购哆生活超市（广州钟村店）</t>
  </si>
  <si>
    <t>陈十一</t>
  </si>
  <si>
    <t>19515121718</t>
  </si>
  <si>
    <t>钟村街道钟兴路216号 阿鸟酒楼右边电梯上去2楼201</t>
  </si>
  <si>
    <t>68</t>
  </si>
  <si>
    <t>优购哆生活超市（广州员村店）</t>
  </si>
  <si>
    <t>陈十二</t>
  </si>
  <si>
    <t>18102654919</t>
  </si>
  <si>
    <t>员村田心路28号2楼 (优购哆生活超市)</t>
  </si>
  <si>
    <t>69</t>
  </si>
  <si>
    <t>优购哆生活超市（广州燕塘店）</t>
  </si>
  <si>
    <t>梁恒辉</t>
  </si>
  <si>
    <t>19129238065</t>
  </si>
  <si>
    <t>东莞庄北街西73号-锦龙商务中心3楼优购哆生活超市</t>
  </si>
  <si>
    <t>70</t>
  </si>
  <si>
    <t>优购哆生活超市（佛山亚艺公园店）</t>
  </si>
  <si>
    <t>庄文煌</t>
  </si>
  <si>
    <t>18027690780</t>
  </si>
  <si>
    <t>湖景路13号首层P4优购哆生活超市</t>
  </si>
  <si>
    <t>71</t>
  </si>
  <si>
    <t>优购哆生活超市（广州新塘店）</t>
  </si>
  <si>
    <t>方修凯</t>
  </si>
  <si>
    <t>19927410394</t>
  </si>
  <si>
    <t>新塘镇牛仔城官园吓路8号B栋202优购哆生活超市</t>
  </si>
  <si>
    <t>74</t>
  </si>
  <si>
    <t>优购哆生活超市（广州万博店）</t>
  </si>
  <si>
    <t>鲁玉鸿</t>
  </si>
  <si>
    <t>18022858536</t>
  </si>
  <si>
    <t>万博署基创意产业园6栋103号优购哆生活超市</t>
  </si>
  <si>
    <t>75</t>
  </si>
  <si>
    <t>优购哆生活超市（广州石牌村店）</t>
  </si>
  <si>
    <t>19927409941</t>
  </si>
  <si>
    <t>石牌村匡居大街3号301优购哆</t>
  </si>
  <si>
    <t>76</t>
  </si>
  <si>
    <t>优购哆生活超市（广州石井店）</t>
  </si>
  <si>
    <t>范文锦</t>
  </si>
  <si>
    <t>18026329630</t>
  </si>
  <si>
    <t>黄石街道黄石西路石岗大路9号之1 A213优购哆生活超市</t>
  </si>
  <si>
    <t>77</t>
  </si>
  <si>
    <t>优购哆生活超市（广州三元里店）</t>
  </si>
  <si>
    <t>吴秋南</t>
  </si>
  <si>
    <t>13360573518</t>
  </si>
  <si>
    <t>三元里大道930号机安公司检测大楼2楼201优购哆生活超市</t>
  </si>
  <si>
    <t>78</t>
  </si>
  <si>
    <t>优购哆生活超市（佛山容桂店）</t>
  </si>
  <si>
    <t>刘策扬</t>
  </si>
  <si>
    <t>18902420858</t>
  </si>
  <si>
    <t>容桂街道容新社区公园路4号金凤制衣厂A座一楼 优购哆生活超市</t>
  </si>
  <si>
    <t>79</t>
  </si>
  <si>
    <t>优购哆生活超市（广州区庄店）</t>
  </si>
  <si>
    <t>柯汉斌</t>
  </si>
  <si>
    <t>18924079478</t>
  </si>
  <si>
    <t>黄花岗街道东风东路707号102地下室 优购哆生活超市</t>
  </si>
  <si>
    <t>80</t>
  </si>
  <si>
    <t>优购哆生活超市（佛山千灯湖店）</t>
  </si>
  <si>
    <t>王佳欣</t>
  </si>
  <si>
    <t>18007576020</t>
  </si>
  <si>
    <t>桂城街道 ipark购物中心负一层016铺</t>
  </si>
  <si>
    <t>81</t>
  </si>
  <si>
    <t>优购哆生活超市（广州南洲店）</t>
  </si>
  <si>
    <t>林建</t>
  </si>
  <si>
    <t>15360027948</t>
  </si>
  <si>
    <t>南洲街道南洲北路南燕中街81号</t>
  </si>
  <si>
    <t>82</t>
  </si>
  <si>
    <t>优购哆生活超市（佛山南海店）</t>
  </si>
  <si>
    <t>曾小云</t>
  </si>
  <si>
    <t>18138393118</t>
  </si>
  <si>
    <t>长堤路4号新桂花市场A02优购哆生活超市</t>
  </si>
  <si>
    <t>84</t>
  </si>
  <si>
    <t>优购哆生活超市（广州鹭江店）</t>
  </si>
  <si>
    <t>刘浩焱</t>
  </si>
  <si>
    <t>19120399891</t>
  </si>
  <si>
    <t>鹭江西街5号112优购哆生活超市鹭江店</t>
  </si>
  <si>
    <t>85</t>
  </si>
  <si>
    <t>优购哆生活超市（广州荔湾店）白天收货</t>
  </si>
  <si>
    <t>覃华</t>
  </si>
  <si>
    <t>15360873038</t>
  </si>
  <si>
    <t>中山七路龙源新一巷24号之一101室</t>
  </si>
  <si>
    <t>86</t>
  </si>
  <si>
    <t>优购哆生活超市（广州京溪店）</t>
  </si>
  <si>
    <t>易敏杰</t>
  </si>
  <si>
    <t>18922184350</t>
  </si>
  <si>
    <t>京溪街道麒麟岗中路92号（202）</t>
  </si>
  <si>
    <t>87</t>
  </si>
  <si>
    <t>优购哆生活超市（广州金沙洲店）</t>
  </si>
  <si>
    <t>庞伟政</t>
  </si>
  <si>
    <t>19927585637</t>
  </si>
  <si>
    <t>金沙街道创佳路3号恒峰商贸广场富乐街80号</t>
  </si>
  <si>
    <t>88</t>
  </si>
  <si>
    <t>优购哆生活超市（广州江泰路店）</t>
  </si>
  <si>
    <t>刘长胜</t>
  </si>
  <si>
    <t>18027247960</t>
  </si>
  <si>
    <t>凤阳街道燕岗横街49号2楼201</t>
  </si>
  <si>
    <t>89</t>
  </si>
  <si>
    <t>优购哆生活超市（广州嘉禾店）</t>
  </si>
  <si>
    <t>李乐</t>
  </si>
  <si>
    <t>18062043529</t>
  </si>
  <si>
    <t>鹤龙街大元一横路8号优购哆生活超市</t>
  </si>
  <si>
    <t>90</t>
  </si>
  <si>
    <t>优购哆生活超市（佛山季华园店）</t>
  </si>
  <si>
    <t>周传栋</t>
  </si>
  <si>
    <t>15398943933</t>
  </si>
  <si>
    <t>石湾镇街道绿影西街13号(康居乐美食旁)</t>
  </si>
  <si>
    <t>91</t>
  </si>
  <si>
    <t>优购哆生活超市（东莞厚街店）</t>
  </si>
  <si>
    <t>王孝杰</t>
  </si>
  <si>
    <t>13533747576</t>
  </si>
  <si>
    <t>厚街镇教育路12号百汇A栋3楼308室</t>
  </si>
  <si>
    <t>92</t>
  </si>
  <si>
    <t>优购哆生活超市（广州华师店）</t>
  </si>
  <si>
    <t>和丽生</t>
  </si>
  <si>
    <t>15361456675</t>
  </si>
  <si>
    <t>棠下街道中山大道西105号 生物药厂17栋105号房</t>
  </si>
  <si>
    <t>93</t>
  </si>
  <si>
    <t>优购哆生活超市（广州花都店）</t>
  </si>
  <si>
    <t>余晓花</t>
  </si>
  <si>
    <t>13360582257</t>
  </si>
  <si>
    <t>新华街道新华镇花城路58-8号后座首层优购哆生活超市</t>
  </si>
  <si>
    <t>95</t>
  </si>
  <si>
    <t>优购哆生活超市（广州海珠店）</t>
  </si>
  <si>
    <t>陈西凡</t>
  </si>
  <si>
    <t>15884316949</t>
  </si>
  <si>
    <t>江南中街道江南西路润汇大厦东座快易家便利店对面巷子优购哆生活超市负一楼</t>
  </si>
  <si>
    <t>96</t>
  </si>
  <si>
    <t>优购哆生活超市（广州番禺店）</t>
  </si>
  <si>
    <t>郑妙浈</t>
  </si>
  <si>
    <t>19120429291</t>
  </si>
  <si>
    <t>市桥街道环城西路30号（优购哆生活超市番禺店）</t>
  </si>
  <si>
    <t>97</t>
  </si>
  <si>
    <t>优购哆生活超市（广州东平店）</t>
  </si>
  <si>
    <t>曾超</t>
  </si>
  <si>
    <t>17324337664</t>
  </si>
  <si>
    <t>嘉禾街道长红双和工业园一路14号A6栋二楼A205房 优购哆</t>
  </si>
  <si>
    <t>98</t>
  </si>
  <si>
    <t>优购哆生活超市（广州大石店）</t>
  </si>
  <si>
    <t>刘伟</t>
  </si>
  <si>
    <t>13316214352</t>
  </si>
  <si>
    <t>大石镇振华路3号107</t>
  </si>
  <si>
    <t>100</t>
  </si>
  <si>
    <t>优购哆生活超市（广州车陂店）</t>
  </si>
  <si>
    <t>陈振卫</t>
  </si>
  <si>
    <t>18924271215</t>
  </si>
  <si>
    <t>瑞华路1号黄洲工业区2栋东梯2楼201室</t>
  </si>
  <si>
    <t>102</t>
  </si>
  <si>
    <t>优购哆生活超市（佛山北滘店）</t>
  </si>
  <si>
    <t>张啸宇</t>
  </si>
  <si>
    <t>18038664367</t>
  </si>
  <si>
    <t>北滘镇北滘社区工业大道5号之一</t>
  </si>
  <si>
    <t>183</t>
  </si>
  <si>
    <t>优购哆生活超市（广州天河店）</t>
  </si>
  <si>
    <t>植物园</t>
  </si>
  <si>
    <t>15283783983</t>
  </si>
  <si>
    <t>汇东酒店停车场优购哆生活超市</t>
  </si>
  <si>
    <t>582</t>
  </si>
  <si>
    <t>优购哆生活超市（广州南沙店）</t>
  </si>
  <si>
    <t>南沙</t>
  </si>
  <si>
    <t>19195341513</t>
  </si>
  <si>
    <t>南沙街道进港大道20号奥园金莎广场银座102优购哆超市南沙店</t>
  </si>
  <si>
    <t>CUS00230</t>
  </si>
  <si>
    <t>鲸选超市（广州嘉禾店）</t>
  </si>
  <si>
    <t>13533764129</t>
  </si>
  <si>
    <t>彭上广场3楼鲸选超市(有客梯)</t>
  </si>
  <si>
    <t>CUS00246</t>
  </si>
  <si>
    <t>鲸选超市（广州芳村店）</t>
  </si>
  <si>
    <t>花溪路3号 坑口工业区1栋2楼215鲸选超市里面(有电梯)</t>
  </si>
  <si>
    <t>143</t>
  </si>
  <si>
    <t>鲸选超市（广州越秀店）</t>
  </si>
  <si>
    <t>金花街道人民北路695号金花新市场第5档鲸选超市仓</t>
  </si>
  <si>
    <t>144</t>
  </si>
  <si>
    <t>鲸选超市（广州天河店）</t>
  </si>
  <si>
    <t>沙河街道沙河顶水荫路175号之2档口的鲸选超市仓</t>
  </si>
  <si>
    <t>145</t>
  </si>
  <si>
    <t>鲸选超市（广州棠东店）</t>
  </si>
  <si>
    <t>棠下街道棠东官育路1号2楼211房</t>
  </si>
  <si>
    <t>146</t>
  </si>
  <si>
    <t>鲸选超市（广州京溪店）</t>
  </si>
  <si>
    <t>京溪街道沙太南路536号【E栋E2号】鯨选超市仓</t>
  </si>
  <si>
    <t>147</t>
  </si>
  <si>
    <t>鲸选超市（广州海珠店）</t>
  </si>
  <si>
    <t>滨江街道南华东路滨江横路1日日12号1楼鲸选超市仓</t>
  </si>
  <si>
    <t>148</t>
  </si>
  <si>
    <t>鲸选超市（广州塔店）</t>
  </si>
  <si>
    <t>赤岗街道南贤大街【43号大院内101自编之7】鯨选超市仓</t>
  </si>
  <si>
    <t>149</t>
  </si>
  <si>
    <t>鲸选超市（广州番禺店）</t>
  </si>
  <si>
    <t>南村镇敏捷上城国际【2期2座112店铺2楼京东便利店仓库】</t>
  </si>
  <si>
    <t>150</t>
  </si>
  <si>
    <t>鲸选超市（广州大石店）</t>
  </si>
  <si>
    <t>大石街道大涌路157号大石伟讯电子数码城4楼421铺</t>
  </si>
  <si>
    <t>151</t>
  </si>
  <si>
    <t>鲸选超市（广州奥园店）</t>
  </si>
  <si>
    <t>桥南街道华荟路77号79号</t>
  </si>
  <si>
    <t>179</t>
  </si>
  <si>
    <t>鲸选超市（广州白云店）</t>
  </si>
  <si>
    <t>云城街萧岗塘边大街23号1层102铺鲸选超市</t>
  </si>
  <si>
    <t>212</t>
  </si>
  <si>
    <t>鲸选超市（广州祈福店）</t>
  </si>
  <si>
    <t>15975578361</t>
  </si>
  <si>
    <t>钟村街道华商大厦对面钟村街钟韵路29号【A116铺】鲸选超市仓</t>
  </si>
  <si>
    <t>CUS00262</t>
  </si>
  <si>
    <t>鲸选超市（广州南站店）</t>
  </si>
  <si>
    <t>石壁街石壁四村涌边街诚聚福科技园6栋403 鲸选超市</t>
  </si>
  <si>
    <t>350</t>
  </si>
  <si>
    <t>鲸选超市（广州板桥店）</t>
  </si>
  <si>
    <t>南村镇兴南大道902号板桥商务大厦3楼315号</t>
  </si>
  <si>
    <t>388</t>
  </si>
  <si>
    <t>鲸选超市（广州三元里）</t>
  </si>
  <si>
    <t>广花二路华园新村华景阁1-4号首层103鲸选超市</t>
  </si>
  <si>
    <t>413</t>
  </si>
  <si>
    <t>鲸选超市（广州市桥店）</t>
  </si>
  <si>
    <t>鲸选超市（市桥）</t>
  </si>
  <si>
    <t>市桥街道番禺区市桥街道捷进中路13号来福园46号2楼鲸选超市</t>
  </si>
  <si>
    <t>CUS00239</t>
  </si>
  <si>
    <t>蜜蜂优选超市（广州东涌店）24小时可收货</t>
  </si>
  <si>
    <t>蜜蜂东涌</t>
  </si>
  <si>
    <t>18924533513</t>
  </si>
  <si>
    <t>市南路东涌段109号骊侬创意产业园宿舍楼一楼（请送货上门，电联，放驿站必投诉）谢谢配合！</t>
  </si>
  <si>
    <t>166</t>
  </si>
  <si>
    <t>蜜蜂优选超市（广州杨箕店）24小时可收货</t>
  </si>
  <si>
    <t>李梓浩</t>
  </si>
  <si>
    <t>黄花岗街道环市东路486号广粮大厦负一楼蜜蜂优选超市（杨箕店）</t>
  </si>
  <si>
    <t>167</t>
  </si>
  <si>
    <t>蜜蜂优选超市（广州荔湾店）24小时可收货</t>
  </si>
  <si>
    <t>汤伟森</t>
  </si>
  <si>
    <t>13650817990</t>
  </si>
  <si>
    <t>东漖街道志明停车场（停车场内蜜蜂优选超市）荔湾店</t>
  </si>
  <si>
    <t>168</t>
  </si>
  <si>
    <t>蜜蜂优选超市（广州江南西店）24小时可收货</t>
  </si>
  <si>
    <t>蜜蜂优选超市（江南西店）</t>
  </si>
  <si>
    <t>昌岗街道江南大道中300号江南商业街101自编20档 (昌岗地铁站C2口旁) 蜜蜂优选超市 绝味鸭脖进来（江南西）</t>
  </si>
  <si>
    <t>169</t>
  </si>
  <si>
    <t>蜜蜂优选超市（广州南村万博店）24小时可收货</t>
  </si>
  <si>
    <t>蜜蜂优选超市（南村万博店）</t>
  </si>
  <si>
    <t>南村镇奥园国际6栋228号 跟着指示牌走 蜜蜂优选超市万博店</t>
  </si>
  <si>
    <t>170</t>
  </si>
  <si>
    <t>蜜蜂优选超市（广州大学城店）24小时可收货</t>
  </si>
  <si>
    <t>蜜蜂优选超市（大学城店）</t>
  </si>
  <si>
    <t>19120540016</t>
  </si>
  <si>
    <t>小谷围街穗石村东门广场7号楼2楼223-225号</t>
  </si>
  <si>
    <t>171</t>
  </si>
  <si>
    <t>蜜蜂优选超市（广州知识城店）24小时可收货</t>
  </si>
  <si>
    <t>蜜蜂优选超市（知识城店）</t>
  </si>
  <si>
    <t>18988943356</t>
  </si>
  <si>
    <t>中新智慧园A4栋一楼仓库</t>
  </si>
  <si>
    <t>CUS00263</t>
  </si>
  <si>
    <t>蜜蜂优选超市（广州桥南店）24小时可收货</t>
  </si>
  <si>
    <t>蜜蜂桥南</t>
  </si>
  <si>
    <t>沙湾街道西环路1134号102室（金拓创意园）蜜蜂优选超市仓库</t>
  </si>
  <si>
    <t>302</t>
  </si>
  <si>
    <t>蜜蜂优选超市（珠海万象汇店）24小时可收货</t>
  </si>
  <si>
    <t>李婉桃</t>
  </si>
  <si>
    <t>13377566739</t>
  </si>
  <si>
    <t>翠香街道兴华路106号3号仓房2楼</t>
  </si>
  <si>
    <t>325</t>
  </si>
  <si>
    <t>蜜蜂优选超市（广州化龙店）24小时可收货</t>
  </si>
  <si>
    <t>18028529634</t>
  </si>
  <si>
    <t>化龙镇翠景三街9号仓库</t>
  </si>
  <si>
    <t>503</t>
  </si>
  <si>
    <t>蜜蜂优选超市（广州土华店）白天送，晚上拒收</t>
  </si>
  <si>
    <t>蜜蜂土华店</t>
  </si>
  <si>
    <t>18122408564</t>
  </si>
  <si>
    <t>小洲村塘边大街四巷35号一楼仓库蜜蜂优选超市（川香园美食对面巷子进来） 蜜蜂优选超市</t>
  </si>
  <si>
    <t>CUS00172</t>
  </si>
  <si>
    <t>蜜蜂优选超市（广州龙归店）24小时可收货</t>
    <phoneticPr fontId="2" type="noConversion"/>
  </si>
  <si>
    <t>蜜蜂龙归店</t>
  </si>
  <si>
    <t>龙归街道南村三姓十一巷7号首层（景发商务公寓右转进巷子）</t>
  </si>
  <si>
    <t>CUS00210</t>
  </si>
  <si>
    <t>蜜蜂优选超市（广州石基店）24小时可收货</t>
  </si>
  <si>
    <t>蜜蜂石基店</t>
  </si>
  <si>
    <t>19375821798</t>
  </si>
  <si>
    <t>市莲路石基村段2号</t>
  </si>
  <si>
    <t>CUS00222</t>
  </si>
  <si>
    <t>蜜蜂优选超市（佛山平洲店）24小时可收货</t>
  </si>
  <si>
    <t>平洲店</t>
  </si>
  <si>
    <t>桂城街道永安南路88号(平南地铁站D口步行490米)</t>
  </si>
  <si>
    <t>104</t>
  </si>
  <si>
    <t>畅盈到家总仓</t>
  </si>
  <si>
    <t>13751845897</t>
  </si>
  <si>
    <t>新雅街道新雅街道富源一路21号畅盈到家美团中心仓</t>
  </si>
  <si>
    <t>105</t>
  </si>
  <si>
    <t>畅盈到家超市（佛山祖庙店）</t>
  </si>
  <si>
    <t>13288407803</t>
  </si>
  <si>
    <t>祖庙街道同福大街6号107至110铺位</t>
  </si>
  <si>
    <t>106</t>
  </si>
  <si>
    <t>畅盈到家超市（广州钟村店）</t>
  </si>
  <si>
    <t>13342806757</t>
  </si>
  <si>
    <t>钟村街锦绣花园趣园10座29号</t>
  </si>
  <si>
    <t>107</t>
  </si>
  <si>
    <t>畅盈到家超市（广州智慧城店）</t>
  </si>
  <si>
    <t>18122176127</t>
  </si>
  <si>
    <t>新塘田头岗二路2号3栋1层108室</t>
  </si>
  <si>
    <t>108</t>
  </si>
  <si>
    <t>畅盈到家超市（广州亚运城店）</t>
  </si>
  <si>
    <t>18144803097</t>
  </si>
  <si>
    <t>石楼镇嵩山路41号内自编103</t>
  </si>
  <si>
    <t>110</t>
  </si>
  <si>
    <t>畅盈到家超市（清远万达广场店）</t>
  </si>
  <si>
    <t>19924593374</t>
  </si>
  <si>
    <t>城北二路三街3号首层商铺01号</t>
  </si>
  <si>
    <t>畅盈到家超市（广州棠东店）</t>
  </si>
  <si>
    <t>19924353729</t>
  </si>
  <si>
    <t>棠东毓南路18号106号铺</t>
  </si>
  <si>
    <t>112</t>
  </si>
  <si>
    <t>畅盈到家超市（广州太和店）</t>
  </si>
  <si>
    <t>18620887172</t>
  </si>
  <si>
    <t>太和镇谢家村丰福路20号110-116</t>
  </si>
  <si>
    <t>113</t>
  </si>
  <si>
    <t>畅盈到家超市（广州市桥店）</t>
  </si>
  <si>
    <t>17728172619</t>
  </si>
  <si>
    <t>市桥街康乐路156号首层自编101C单</t>
  </si>
  <si>
    <t>114</t>
  </si>
  <si>
    <t>畅盈到家超市（广州石井店）</t>
  </si>
  <si>
    <t>17575037645</t>
  </si>
  <si>
    <t>红星路102号</t>
  </si>
  <si>
    <t>115</t>
  </si>
  <si>
    <t>畅盈到家超市（韶关长城大厦店）</t>
  </si>
  <si>
    <t>15219838546</t>
  </si>
  <si>
    <t>浈江区韶关市浈江区和平路东段长城大厦首层15、16号商铺</t>
  </si>
  <si>
    <t>116</t>
  </si>
  <si>
    <t>畅盈到家超市（广州人和店）</t>
  </si>
  <si>
    <t>13242305220</t>
  </si>
  <si>
    <t>人和大街41号8栋1001铺</t>
  </si>
  <si>
    <t>117</t>
  </si>
  <si>
    <t>畅盈到家超市（清远东骏豪庭店）</t>
  </si>
  <si>
    <t>18029720911</t>
  </si>
  <si>
    <t>人民一路8号东骏豪庭四-五号楼首层铺位02号</t>
  </si>
  <si>
    <t>118</t>
  </si>
  <si>
    <t>畅盈到家超市（广州龙归店）</t>
  </si>
  <si>
    <t>18144807409</t>
  </si>
  <si>
    <t>永兴村西街16号101房</t>
  </si>
  <si>
    <t>119</t>
  </si>
  <si>
    <t>畅盈到家超市（广州江高店）</t>
  </si>
  <si>
    <t>18002295951</t>
  </si>
  <si>
    <t>江高镇江新路44号102铺</t>
  </si>
  <si>
    <t>120</t>
  </si>
  <si>
    <t>畅盈到家超市（广州嘉禾店）</t>
  </si>
  <si>
    <t>19924679153</t>
  </si>
  <si>
    <t>鹤龙二路86号盈通综合批发市场B2-201/203号</t>
  </si>
  <si>
    <t>121</t>
  </si>
  <si>
    <t>畅盈到家超市（广州黄边店）</t>
  </si>
  <si>
    <t>15374031220</t>
  </si>
  <si>
    <t>鹤龙街细彭路23号105档</t>
  </si>
  <si>
    <t>122</t>
  </si>
  <si>
    <t>畅盈到家超市（广州花都店）</t>
  </si>
  <si>
    <t>17701945976</t>
  </si>
  <si>
    <t>花城街道东城里南路西四巷2号101铺</t>
  </si>
  <si>
    <t>123</t>
  </si>
  <si>
    <t>畅盈到家超市（广州海珠店）</t>
  </si>
  <si>
    <t>13435657776</t>
  </si>
  <si>
    <t>南石头街道工业大道中路385号大院11号楼224房</t>
  </si>
  <si>
    <t>124</t>
  </si>
  <si>
    <t>畅盈到家超市（广州芳村店）</t>
  </si>
  <si>
    <t>18924299778</t>
  </si>
  <si>
    <t>浣花路浣南西街2号(F4栋) 106房</t>
  </si>
  <si>
    <t>125</t>
  </si>
  <si>
    <t>畅盈到家超市（肇庆端州店）</t>
  </si>
  <si>
    <t>18620460057</t>
  </si>
  <si>
    <t>黄岗街道星湖大道嘉湖新都市赏湖居F幢第3-4卡商铺</t>
  </si>
  <si>
    <t>126</t>
  </si>
  <si>
    <t>畅盈到家超市（广州大源店）</t>
  </si>
  <si>
    <t>19076024399</t>
  </si>
  <si>
    <t>大源街道大源白贺路28号101铺</t>
  </si>
  <si>
    <t>127</t>
  </si>
  <si>
    <t>畅盈到家超市（广州大沙地店）</t>
  </si>
  <si>
    <t>18927506952</t>
  </si>
  <si>
    <t>大沙街道鹤景路鹤林苑1号楼首层</t>
  </si>
  <si>
    <t>128</t>
  </si>
  <si>
    <t>畅盈到家超市（佛山禅城店）</t>
  </si>
  <si>
    <t>15363828096</t>
  </si>
  <si>
    <t>祖庙街道桂澜南路3号三十七座首层P30、P31号</t>
  </si>
  <si>
    <t>129</t>
  </si>
  <si>
    <t>畅盈到家超市（广州板桥店）</t>
  </si>
  <si>
    <t>19022044291</t>
  </si>
  <si>
    <t>南村镇板桥兴南大道一巷15号一楼</t>
  </si>
  <si>
    <t>130</t>
  </si>
  <si>
    <t>畅盈到家超市（广州白云店）</t>
  </si>
  <si>
    <t>19925673055</t>
  </si>
  <si>
    <t>西槎路789号105室</t>
  </si>
  <si>
    <t>163</t>
  </si>
  <si>
    <t>畅盈到家超市（广州棠溪店）</t>
  </si>
  <si>
    <t>棠溪店</t>
  </si>
  <si>
    <t>棠景街道冲边南路58号105号畅盈到家超市</t>
  </si>
  <si>
    <t>184</t>
  </si>
  <si>
    <t>畅盈到家超市（广州知识城店）</t>
  </si>
  <si>
    <t>知识城店</t>
  </si>
  <si>
    <t>龙湖街泊语湾9号之一101铺畅盈到家超市知识城店</t>
  </si>
  <si>
    <t>295</t>
  </si>
  <si>
    <t>畅盈到家超市（广州钟落潭店）</t>
  </si>
  <si>
    <t>畅盈到家（钟落潭店）</t>
  </si>
  <si>
    <t>钟落潭镇钟升路48号之十108~109铺</t>
  </si>
  <si>
    <t>329</t>
  </si>
  <si>
    <t>畅盈到家超市（广州从化店）</t>
  </si>
  <si>
    <t>19186988483</t>
  </si>
  <si>
    <t>街口街新城东路荔香村1号201房自编之二畅盈到家超市从化店,19186988483,从化店</t>
  </si>
  <si>
    <t>332</t>
  </si>
  <si>
    <t>畅盈到家超市（广州清布店）</t>
  </si>
  <si>
    <t>黄仲民</t>
  </si>
  <si>
    <t>18578787525</t>
  </si>
  <si>
    <t>镜湖大道2号2区138号商铺</t>
  </si>
  <si>
    <t>CUS00273</t>
  </si>
  <si>
    <t>畅盈到家超市（广州大源二店）</t>
  </si>
  <si>
    <t>畅盈大源店</t>
  </si>
  <si>
    <t>大源街道田心西路二街20号三千科创园-1号楼101 畅盈到家超市大源店</t>
  </si>
  <si>
    <t>412</t>
  </si>
  <si>
    <t>畅盈到家超市（广州太平店）</t>
  </si>
  <si>
    <t>畅盈到家超市（太平店）</t>
  </si>
  <si>
    <t>19065251189</t>
  </si>
  <si>
    <t>太平镇花园路十巷13号、15号</t>
  </si>
  <si>
    <t>474</t>
  </si>
  <si>
    <t>畅盈到家超市（广州花东店）</t>
  </si>
  <si>
    <t>畅盈到家超市（花东店）</t>
  </si>
  <si>
    <t>花东镇花东市场横四街12号102铺畅盈到家超市花东店，19076024399</t>
  </si>
  <si>
    <t>475</t>
  </si>
  <si>
    <t>畅盈到家超市（广州狮岭店）</t>
  </si>
  <si>
    <t>畅盈到家超市（狮岭店）</t>
  </si>
  <si>
    <t>狮岭镇宝峰南路15号35-36号铺畅盈到家超市狮岭店，17728172619</t>
  </si>
  <si>
    <t>539</t>
  </si>
  <si>
    <t>畅盈到家超市（广州新华店）</t>
  </si>
  <si>
    <t>畅盈到家超市（新华店）</t>
  </si>
  <si>
    <t>19022189120</t>
  </si>
  <si>
    <t>新华街道新街大道63号之二十一综合楼一楼畅盈到家超市新华店</t>
  </si>
  <si>
    <t>CUS00224</t>
  </si>
  <si>
    <t>畅盈到家超市（广州永泰店）</t>
  </si>
  <si>
    <t>畅盈永泰</t>
  </si>
  <si>
    <t>18613167880</t>
  </si>
  <si>
    <t>永泰学山生活广场负一层B105畅盈到家超市永泰店</t>
  </si>
  <si>
    <t>438</t>
  </si>
  <si>
    <t>西菲狸（广州龙洞店）</t>
  </si>
  <si>
    <t>龙洞</t>
  </si>
  <si>
    <t>16620496160</t>
  </si>
  <si>
    <t>广东省 广州市 天河区 龙洞北路 龙洞北广场A206 西菲狸百货超市（不要放蜂巢，要送货上门）</t>
  </si>
  <si>
    <t>439</t>
  </si>
  <si>
    <t>西菲狸（广州动物园店）</t>
  </si>
  <si>
    <t>动物园</t>
  </si>
  <si>
    <t>19129285615</t>
  </si>
  <si>
    <t>黄花岗街道水荫路29号雅景花园商业中心3楼310-312西菲狸百货超市</t>
  </si>
  <si>
    <t>440</t>
  </si>
  <si>
    <t>西菲狸（广州江南西店）</t>
  </si>
  <si>
    <t>江南西</t>
  </si>
  <si>
    <t>18028845401</t>
  </si>
  <si>
    <t>海幢街道同福中路348号102房，荟贤商贸中心右侧西菲狸百货超市</t>
  </si>
  <si>
    <t>552</t>
  </si>
  <si>
    <t>西菲狸（广州三元里店）</t>
  </si>
  <si>
    <t>三元里</t>
  </si>
  <si>
    <t>19700137076</t>
  </si>
  <si>
    <t>棠景街道 远景路69号，嘉华苑西南门，右侧楼梯负一层101室，西菲狸百货超市</t>
  </si>
  <si>
    <t>553</t>
  </si>
  <si>
    <t>西菲狸（广州石井店）</t>
  </si>
  <si>
    <t>石井</t>
  </si>
  <si>
    <t>18578628534</t>
  </si>
  <si>
    <t>白云湖街道 榕溪工业大街18号恒金科创园D栋3楼全层，西菲狸百货超市</t>
  </si>
  <si>
    <t>554</t>
  </si>
  <si>
    <t>西菲狸（广州金沙洲店）</t>
  </si>
  <si>
    <t>金沙洲</t>
  </si>
  <si>
    <t>19129264513</t>
  </si>
  <si>
    <t>金沙街道马头岗大街26号501房，西菲狸百货超市</t>
  </si>
  <si>
    <t>555</t>
  </si>
  <si>
    <t>西菲狸（广州鹤边店）</t>
  </si>
  <si>
    <t>鹤边</t>
  </si>
  <si>
    <t>15360615407</t>
  </si>
  <si>
    <t>鹤边鹤泰路三横路3号201房，西菲狸百货超市</t>
  </si>
  <si>
    <t>556</t>
  </si>
  <si>
    <t>西菲狸（广州珠村店）</t>
  </si>
  <si>
    <t>珠村</t>
  </si>
  <si>
    <t>18028540864</t>
  </si>
  <si>
    <t>珠吉街道 珠村灵山路15号东丰工业区B栋202号，西菲狸百货超市</t>
  </si>
  <si>
    <t>557</t>
  </si>
  <si>
    <t>西菲狸（广州智慧城店）</t>
  </si>
  <si>
    <t>智慧城</t>
  </si>
  <si>
    <t>18620064371</t>
  </si>
  <si>
    <t>新塘田头岗二路4号A栋2楼202，西菲狸百货超市</t>
  </si>
  <si>
    <t>558</t>
  </si>
  <si>
    <t>西菲狸（广州棠东店）</t>
  </si>
  <si>
    <t>19157486598</t>
  </si>
  <si>
    <t>棠下街道棠德西路33号棠德市场二楼A区3036（平民大药房隔壁二楼入口），西菲狸百货超市</t>
  </si>
  <si>
    <t>559</t>
  </si>
  <si>
    <t>西菲狸（广州板桥店）</t>
  </si>
  <si>
    <t>板桥</t>
  </si>
  <si>
    <t>18026232454</t>
  </si>
  <si>
    <t>南村镇桥头岗巷1号201房（艺田大厦进来 电梯二楼），西菲狸百货超市</t>
  </si>
  <si>
    <t>560</t>
  </si>
  <si>
    <t>西菲狸（广州市桥店）</t>
  </si>
  <si>
    <t>市桥</t>
  </si>
  <si>
    <t>18024594054</t>
  </si>
  <si>
    <t>市桥街道 东环路489号科宏广场二层232室，西菲狸百货超市</t>
  </si>
  <si>
    <t>561</t>
  </si>
  <si>
    <t>西菲狸（广州芳村店）</t>
  </si>
  <si>
    <t>芳村</t>
  </si>
  <si>
    <t>18022462534</t>
  </si>
  <si>
    <t>白鹤洞街道 白鹤洞新安新街8号101室（赤兔医疗左边最里面），西菲狸百货超市</t>
  </si>
  <si>
    <t>562</t>
  </si>
  <si>
    <t>西菲狸（广州大石店）</t>
  </si>
  <si>
    <t>大石</t>
  </si>
  <si>
    <t>18148948033</t>
  </si>
  <si>
    <t>大石街道 德智创意园朝阳区二楼221-223房，西菲狸百货超市</t>
  </si>
  <si>
    <t>563</t>
  </si>
  <si>
    <t>西菲狸（广州钟村店）</t>
  </si>
  <si>
    <t>钟村</t>
  </si>
  <si>
    <t>18998498499</t>
  </si>
  <si>
    <t>钟村街道 钟村街钟一村新六亩路3号一楼（中国移动对面），西菲狸百货超市</t>
  </si>
  <si>
    <t>564</t>
  </si>
  <si>
    <t>西菲狸（广州万博店）</t>
  </si>
  <si>
    <t>万博</t>
  </si>
  <si>
    <t>18102847588</t>
  </si>
  <si>
    <t>南村镇 万博署基创意产业园14栋102房-104房，西菲狸百货超市</t>
  </si>
  <si>
    <t>565</t>
  </si>
  <si>
    <t>西菲狸（广州东平店）</t>
  </si>
  <si>
    <t>东平</t>
  </si>
  <si>
    <t>13378694021</t>
  </si>
  <si>
    <t>永平街道东平官田中港（5号智创园）C栋2楼全层西菲狸百货</t>
  </si>
  <si>
    <t>566</t>
  </si>
  <si>
    <t>西菲狸（广州京溪店）</t>
  </si>
  <si>
    <t>京溪</t>
  </si>
  <si>
    <t>18054261434</t>
  </si>
  <si>
    <t>云嘉街道 5号云兴大厦首层A107，西菲狸百货超市</t>
  </si>
  <si>
    <t>567</t>
  </si>
  <si>
    <t>西菲狸（广州萝岗店）</t>
  </si>
  <si>
    <t>萝岗</t>
  </si>
  <si>
    <t>17727672037</t>
  </si>
  <si>
    <t>萝岗街道</t>
  </si>
  <si>
    <t>荔红一路10号A栋218  西菲狸百货超市（不要放丰巢，要送货上门</t>
  </si>
  <si>
    <t>568</t>
  </si>
  <si>
    <t>西菲狸（佛山季华园店）</t>
  </si>
  <si>
    <t>季华园</t>
  </si>
  <si>
    <t>17768888183</t>
  </si>
  <si>
    <t>佛山大道中38号313（出电梯直走）西菲狸百货超市</t>
  </si>
  <si>
    <t>569</t>
  </si>
  <si>
    <t>西菲狸（佛山南海广场店）</t>
  </si>
  <si>
    <t>南海广场</t>
  </si>
  <si>
    <t>18024101313</t>
  </si>
  <si>
    <t>佛山童服城B3座三楼02号     西菲狸百货超市</t>
  </si>
  <si>
    <t>CUS00280</t>
  </si>
  <si>
    <t>西菲狸（广州番禺广场店）</t>
  </si>
  <si>
    <t>西菲狸番禺广场</t>
  </si>
  <si>
    <t>19124676632</t>
  </si>
  <si>
    <t>大龙街道 石岗东村 钟家庄北路2号5栋3楼A区302</t>
  </si>
  <si>
    <t>CUS00281</t>
  </si>
  <si>
    <t>西菲狸（佛山黄岐店）</t>
  </si>
  <si>
    <t>西菲狸黄岐店</t>
  </si>
  <si>
    <t>13392235342</t>
  </si>
  <si>
    <t>黄岐洞庭66号大楼三楼304（不要放丰巢，要送货上门）</t>
  </si>
  <si>
    <t>CUS00282</t>
  </si>
  <si>
    <t>西菲狸（广州嘉禾望岗店）</t>
  </si>
  <si>
    <t>西菲狸嘉禾望岗</t>
  </si>
  <si>
    <t xml:space="preserve"> 鹤龙街道 彭上大元一横路10号302室（不要放丰巢，要送货上门）</t>
  </si>
  <si>
    <t>CUS00287</t>
  </si>
  <si>
    <t>西菲狸（佛山平洲店）</t>
  </si>
  <si>
    <t>西菲狸（平洲店）</t>
  </si>
  <si>
    <t>18124808891</t>
  </si>
  <si>
    <t>桂城街道石龙北路28号桂城平洲格林牛牛A1座3楼303 （不要放丰巢，要送货上门）</t>
  </si>
  <si>
    <t>CUS00288</t>
  </si>
  <si>
    <t>西菲狸（广州新市店）</t>
  </si>
  <si>
    <t>西菲狸（新市店）</t>
  </si>
  <si>
    <t>18144835596</t>
  </si>
  <si>
    <t>云城街道 云城街萧岗宝石路3号301 （不要放丰巢，要送货上门）</t>
  </si>
  <si>
    <t>CUS00289</t>
  </si>
  <si>
    <t>西菲狸（广州新塘店）</t>
  </si>
  <si>
    <t>西菲狸（新塘店）</t>
  </si>
  <si>
    <t>15347439866</t>
  </si>
  <si>
    <t xml:space="preserve"> 新塘镇 东坑三横路37-39号三楼整层</t>
  </si>
  <si>
    <t>CUS00290</t>
  </si>
  <si>
    <t>西菲狸（佛山亚艺公园店）</t>
  </si>
  <si>
    <t>西菲狸（亚艺公园店）</t>
  </si>
  <si>
    <t>17388620831</t>
  </si>
  <si>
    <t>石湾镇街道深村大道 一横路六号1号 厂房首层（不要放丰巢，要送货上门）</t>
  </si>
  <si>
    <t>CUS00291</t>
  </si>
  <si>
    <t>西菲狸（广州永旺店）</t>
  </si>
  <si>
    <t>西菲狸（永旺店）</t>
  </si>
  <si>
    <t>18054251988</t>
  </si>
  <si>
    <t xml:space="preserve"> 宁西街道 章坡村 苍边平山园路108号</t>
  </si>
  <si>
    <t>CUS00241</t>
  </si>
  <si>
    <t>遇见个超市（广州京溪店）</t>
  </si>
  <si>
    <t>李建晨</t>
  </si>
  <si>
    <t>18924308579</t>
  </si>
  <si>
    <t>京溪东兴二街13号擎山市苑市场首层A847-2铺</t>
  </si>
  <si>
    <t>298</t>
  </si>
  <si>
    <t>遇见个超市（东莞南城店）</t>
  </si>
  <si>
    <t>18720089985</t>
  </si>
  <si>
    <t>清华路3号115</t>
  </si>
  <si>
    <t>299</t>
  </si>
  <si>
    <t>遇见个超市（广州天河店）</t>
  </si>
  <si>
    <t>遇见个天河店</t>
  </si>
  <si>
    <t>19120461211</t>
  </si>
  <si>
    <t>前进街道宦溪南边街中道里32号</t>
  </si>
  <si>
    <t>CUS00158</t>
  </si>
  <si>
    <t>遇见个超市（广州新塘店）</t>
  </si>
  <si>
    <t>新塘店</t>
  </si>
  <si>
    <t>19120082515</t>
  </si>
  <si>
    <t>新塘镇沙岭一街19号怡景电梯公寓旁，遇见个超市(新塘店)</t>
  </si>
  <si>
    <t>484</t>
  </si>
  <si>
    <t>遇见个超市（广州黄埔店）</t>
  </si>
  <si>
    <t>崔能国</t>
  </si>
  <si>
    <t>15917565240</t>
  </si>
  <si>
    <t>小迳东路3-2号</t>
  </si>
  <si>
    <t>CUS00170</t>
  </si>
  <si>
    <t>遇见个超市（深圳坪山店）</t>
  </si>
  <si>
    <t>梅文贵</t>
  </si>
  <si>
    <t>马峦街道坪环工业城102栋2楼遇见个超市</t>
  </si>
  <si>
    <t>CUS00191</t>
  </si>
  <si>
    <t>遇见个超市（广州嘉禾店）</t>
  </si>
  <si>
    <t>嘉禾店</t>
  </si>
  <si>
    <t>15322036609</t>
  </si>
  <si>
    <t>望岗大岭东街 39 号德丰大厦B栋 203室A(需送货上门)</t>
  </si>
  <si>
    <t>CUS00192</t>
  </si>
  <si>
    <t>遇见个超市（广州萧岗店）</t>
  </si>
  <si>
    <t>萧岗店</t>
  </si>
  <si>
    <t>15323315363</t>
  </si>
  <si>
    <t>萧岗市场南街28号212铺遇见个超市（不要三无  要贴标签）</t>
  </si>
  <si>
    <t>CUS00195</t>
  </si>
  <si>
    <t>遇见个超市（佛山紫金城店）</t>
  </si>
  <si>
    <t>佛山紫金城店</t>
  </si>
  <si>
    <t>15113017828</t>
  </si>
  <si>
    <t>桂城夏西大围工业区紫金城1号楼A 202遇见个超市（不要三无  要贴标签</t>
  </si>
  <si>
    <t>CUS00196</t>
  </si>
  <si>
    <t>遇见个超市（佛山季华店）</t>
  </si>
  <si>
    <t>佛山季华店</t>
  </si>
  <si>
    <t>19579486893</t>
  </si>
  <si>
    <t>鸿艺陶瓷城18座2层遇见个超市（三无产品拒收，需要标签）)</t>
  </si>
  <si>
    <t>CUS00198</t>
  </si>
  <si>
    <t>遇见个超市（东莞凤岗店）</t>
  </si>
  <si>
    <t>东莞凤岗店</t>
  </si>
  <si>
    <t>18938576595</t>
  </si>
  <si>
    <t>凤岗镇凤深大道旁兴茂广场首层商铺1025号遇见个超市（请勿三五，需要标签）</t>
  </si>
  <si>
    <t>CUS00211</t>
  </si>
  <si>
    <t>遇见个超市（广州番禺店）</t>
  </si>
  <si>
    <t>遇见番禺店</t>
  </si>
  <si>
    <t>18922123112</t>
  </si>
  <si>
    <t>市桥街道清河中路21号2楼遇见个超市，需要标签请勿三无，要送货上门</t>
  </si>
  <si>
    <t>CUS00212</t>
  </si>
  <si>
    <t>遇见个超市（佛山嘉洲店）</t>
  </si>
  <si>
    <t>遇见嘉洲店</t>
  </si>
  <si>
    <t>18988511889</t>
  </si>
  <si>
    <t>南海路棉丰市场二楼遇见个超市</t>
  </si>
  <si>
    <t>CUS00215</t>
  </si>
  <si>
    <t>遇见个超市（佛山顺德店）</t>
  </si>
  <si>
    <t>李勇</t>
  </si>
  <si>
    <t>18823159819</t>
  </si>
  <si>
    <t>大良美食城A座A1（永联路）</t>
  </si>
  <si>
    <t>699</t>
  </si>
  <si>
    <t>熊猫很忙（企石店-广东东莞）</t>
  </si>
  <si>
    <t>熊猫很忙企石店</t>
  </si>
  <si>
    <t>企石镇振华西一巷16号102、103室熊猫很忙超市（1688送货上门，放驿站投诉）</t>
  </si>
  <si>
    <t>722</t>
  </si>
  <si>
    <t>熊猫很忙（狮岭店-广东广州）</t>
  </si>
  <si>
    <t>熊猫很忙狮岭店</t>
  </si>
  <si>
    <t>15919674527</t>
  </si>
  <si>
    <t>狮岭镇联合村联合路41号二楼熊猫很忙超市（1688送货上门，放驿站投诉）</t>
  </si>
  <si>
    <t>熊猫很忙（花都店-广东广州）</t>
  </si>
  <si>
    <t>花都</t>
  </si>
  <si>
    <t>19589405662</t>
  </si>
  <si>
    <t>三东大道106号凯旋国际公寓南1门107铺（广盾科技旁边）</t>
  </si>
  <si>
    <t>5</t>
  </si>
  <si>
    <t>熊猫很忙（新市店-广东广州）（直营）</t>
  </si>
  <si>
    <t>新市</t>
  </si>
  <si>
    <t>13318739534</t>
  </si>
  <si>
    <t>棠景街道棠新街94号楼101铺，熊猫很忙</t>
  </si>
  <si>
    <t>7</t>
  </si>
  <si>
    <t>熊猫很忙（狮山店-广东佛山）-尽量白天到货</t>
  </si>
  <si>
    <t>狮山</t>
  </si>
  <si>
    <t>18125680404</t>
  </si>
  <si>
    <t>狮山镇博爱中路69号1层自编101</t>
  </si>
  <si>
    <t>10</t>
  </si>
  <si>
    <t>熊猫很忙（大沥店-广东佛山）（直营）</t>
  </si>
  <si>
    <t>熊猫很忙大沥店</t>
  </si>
  <si>
    <t>19584183316</t>
  </si>
  <si>
    <t>大沥镇城南二路湘缘楼自编8号</t>
  </si>
  <si>
    <t>11</t>
  </si>
  <si>
    <t>熊猫很忙（张槎店-广东佛山）</t>
  </si>
  <si>
    <t>15088067484</t>
  </si>
  <si>
    <t>张槎大富村联合路3号一楼，6688熊猫很忙</t>
  </si>
  <si>
    <t>12</t>
  </si>
  <si>
    <t>熊猫很忙（元岗店-广东广州）（直营）</t>
  </si>
  <si>
    <t>18122321596</t>
  </si>
  <si>
    <t>元岗路526号一楼</t>
  </si>
  <si>
    <t>13</t>
  </si>
  <si>
    <t>熊猫很忙（永旺店-广东广州）</t>
  </si>
  <si>
    <t>19513756605</t>
  </si>
  <si>
    <t>东埔路平山园路100号</t>
  </si>
  <si>
    <t>14</t>
  </si>
  <si>
    <t>熊猫很忙（永和店-广东广州）</t>
  </si>
  <si>
    <t>17876566041</t>
  </si>
  <si>
    <t>永和街道新安路1号A栋101</t>
  </si>
  <si>
    <t>15</t>
  </si>
  <si>
    <t>熊猫很忙（盐步店-广东佛山）</t>
  </si>
  <si>
    <t>13590621971</t>
  </si>
  <si>
    <t>盐步河东中心路霖龙酒业仓储旁熊猫很忙超市</t>
  </si>
  <si>
    <t>16</t>
  </si>
  <si>
    <t>熊猫很忙（新塘市场店-广东广州）</t>
  </si>
  <si>
    <t>19574963589</t>
  </si>
  <si>
    <t>新塘街道沐陂西街8号院D区2-1 熊猫很忙6688</t>
  </si>
  <si>
    <t>17</t>
  </si>
  <si>
    <t>熊猫很忙（新塘店-广东广州）</t>
  </si>
  <si>
    <t>19924783058</t>
  </si>
  <si>
    <t>新塘镇东坑三横路国贸大厦国贸三栋写字楼二楼201</t>
  </si>
  <si>
    <t>20</t>
  </si>
  <si>
    <t>熊猫很忙（夏园店-广东广州）（直营）</t>
  </si>
  <si>
    <t>17688816299</t>
  </si>
  <si>
    <t>临江路3号自编102房熊猫很忙6688</t>
  </si>
  <si>
    <t>21</t>
  </si>
  <si>
    <t>熊猫很忙（棠下店-广东广州）</t>
  </si>
  <si>
    <t>13392267307</t>
  </si>
  <si>
    <t>科新路9号优可商务中心D</t>
  </si>
  <si>
    <t>24</t>
  </si>
  <si>
    <t>熊猫很忙（顺德店-广东佛山）（直营）</t>
  </si>
  <si>
    <t>13336468060</t>
  </si>
  <si>
    <t>大良街道升平社区南国中路91号佳翠楼112铺</t>
  </si>
  <si>
    <t>26</t>
  </si>
  <si>
    <t>熊猫很忙（双岗店-广东广州）</t>
  </si>
  <si>
    <t>19120380552</t>
  </si>
  <si>
    <t>黄埔东路1163号2楼自编201室熊猫很忙超市</t>
  </si>
  <si>
    <t>27</t>
  </si>
  <si>
    <t>熊猫很忙（三元里店-广东广州）（直营）</t>
  </si>
  <si>
    <t>徐店长</t>
  </si>
  <si>
    <t>13318703814</t>
  </si>
  <si>
    <t>同德街道同德花园同景西街179号22铺熊猫很忙超市</t>
  </si>
  <si>
    <t>29</t>
  </si>
  <si>
    <t>熊猫很忙（容桂店-广东佛山）</t>
  </si>
  <si>
    <t>13763218090</t>
  </si>
  <si>
    <t>容桂街道桂新东路三街2号</t>
  </si>
  <si>
    <t>30</t>
  </si>
  <si>
    <t>熊猫很忙（人和店-广东广州）（直营）</t>
  </si>
  <si>
    <t>16620148704</t>
  </si>
  <si>
    <t>人和镇达贤街167-5号</t>
  </si>
  <si>
    <t>31</t>
  </si>
  <si>
    <t>熊猫很忙（千灯湖店-广东佛山）</t>
  </si>
  <si>
    <t>黄育萍</t>
  </si>
  <si>
    <t>15119164413</t>
  </si>
  <si>
    <t>桂城街道佛平路（虫雷）岗街景南一座A（天佑北路）二楼后门上（熊猫很忙超市）</t>
  </si>
  <si>
    <t>33</t>
  </si>
  <si>
    <t>熊猫很忙（萝岗店-广东广州）</t>
  </si>
  <si>
    <t>17817359373</t>
  </si>
  <si>
    <t>瑞发路12号自编【四栋】首层01房1单元103室</t>
  </si>
  <si>
    <t>35</t>
  </si>
  <si>
    <t>熊猫很忙（荔湾店-广东广州）</t>
  </si>
  <si>
    <t>13318869470</t>
  </si>
  <si>
    <t>南岸路44号之一南岸15仓首层110号 (酒小二隔壁)</t>
  </si>
  <si>
    <t>36</t>
  </si>
  <si>
    <t>熊猫很忙（乐从店-广东佛山）</t>
  </si>
  <si>
    <t>18820665992</t>
  </si>
  <si>
    <t>乐从镇乐从居委会东区振华一街B29号商铺</t>
  </si>
  <si>
    <t>37</t>
  </si>
  <si>
    <t>熊猫很忙（广州客村店-广东广州）</t>
  </si>
  <si>
    <t>15374087686</t>
  </si>
  <si>
    <t>赤岗西路横一街35号</t>
  </si>
  <si>
    <t>38</t>
  </si>
  <si>
    <t>熊猫很忙（金沙洲店-广东佛山）（直营）</t>
  </si>
  <si>
    <t>18145795543</t>
  </si>
  <si>
    <t>大沥泌冲泌一村东南大街西8号</t>
  </si>
  <si>
    <t>39</t>
  </si>
  <si>
    <t>熊猫很忙（江高店-广东广州）（直营周六日不收货）</t>
  </si>
  <si>
    <t>18588939493</t>
  </si>
  <si>
    <t>江新路46号106号能猫很忙6688</t>
  </si>
  <si>
    <t>40</t>
  </si>
  <si>
    <t>熊猫很忙（嘉禾店-广东广州）（直营）</t>
  </si>
  <si>
    <t>18024562338</t>
  </si>
  <si>
    <t>嘉禾街道望岗杨村园一街32号</t>
  </si>
  <si>
    <t>41</t>
  </si>
  <si>
    <t>熊猫很忙（华口店-广东佛山）</t>
  </si>
  <si>
    <t>王小姐</t>
  </si>
  <si>
    <t>13682730050</t>
  </si>
  <si>
    <t>容桂街道华口社区居民委员会天九南路天九头头坊55号熊猫很忙</t>
  </si>
  <si>
    <t>45</t>
  </si>
  <si>
    <t>熊猫很忙（鹤洞店-广东广州）（直营）</t>
  </si>
  <si>
    <t>谢生</t>
  </si>
  <si>
    <t>17722262342</t>
  </si>
  <si>
    <t>鹤洞路346号218室2楼送货上门6688不放驿站</t>
  </si>
  <si>
    <t>46</t>
  </si>
  <si>
    <t>熊猫很忙（海珠店-广东广州）</t>
  </si>
  <si>
    <t>13316021953</t>
  </si>
  <si>
    <t>凤阳街道南泰路655号地下室02之二 熊猫很忙超市</t>
  </si>
  <si>
    <t>47</t>
  </si>
  <si>
    <t>熊猫很忙（桂城店-广东佛山）</t>
  </si>
  <si>
    <t>蔡俊学</t>
  </si>
  <si>
    <t>13129160362</t>
  </si>
  <si>
    <t>桂城街道石肯治安队四村分队四村华桂新村7号对面2楼</t>
  </si>
  <si>
    <t>49</t>
  </si>
  <si>
    <t>熊猫很忙（番禺店-广东广州）（直营）</t>
  </si>
  <si>
    <t>18138703192</t>
  </si>
  <si>
    <t>南村镇兴业大道东1号小镇创意产业园E119-121 熊猫很忙超市</t>
  </si>
  <si>
    <t>50</t>
  </si>
  <si>
    <t>熊猫很忙（敦厚店-广东佛山）</t>
  </si>
  <si>
    <t>15876118232</t>
  </si>
  <si>
    <t>祖庙街道文昌西路敦厚村停车场里面B区05号铺</t>
  </si>
  <si>
    <t>52</t>
  </si>
  <si>
    <t>熊猫很忙（大源店-广东广州）（直营）</t>
  </si>
  <si>
    <t>18922109526</t>
  </si>
  <si>
    <t>大源村大源田心北路七巷5号101铺，熊猫很忙超市6688</t>
  </si>
  <si>
    <t>55</t>
  </si>
  <si>
    <t>熊猫很忙（从化店-广东广州）</t>
  </si>
  <si>
    <t>曾伟滔</t>
  </si>
  <si>
    <t>18027176667</t>
  </si>
  <si>
    <t>江埔街星科街37号</t>
  </si>
  <si>
    <t>58</t>
  </si>
  <si>
    <t>熊猫很忙（禅城店-广东佛山）（直营）</t>
  </si>
  <si>
    <t>19120075806</t>
  </si>
  <si>
    <t>金澜北路200号首层 5号之一、之二商铺（禅城）</t>
  </si>
  <si>
    <t>59</t>
  </si>
  <si>
    <t>熊猫很忙（北滘店-广东佛山）尽量白天送货</t>
  </si>
  <si>
    <t>13392267550</t>
  </si>
  <si>
    <t>北滘镇北滘社区新基路兴旺街八巷1号首层优可多生活超市，熊猫很忙超市6688</t>
  </si>
  <si>
    <t>60</t>
  </si>
  <si>
    <t>熊猫很忙（奥园店-广东广州）（直营）</t>
  </si>
  <si>
    <t>19120670390</t>
  </si>
  <si>
    <t>市桥西城路三街18号熊猫很忙</t>
  </si>
  <si>
    <t>62</t>
  </si>
  <si>
    <t>熊猫很忙（万科店-广东东莞）</t>
  </si>
  <si>
    <t>15015203228</t>
  </si>
  <si>
    <t>长安镇锦江二路2号1栋101室</t>
  </si>
  <si>
    <t>760</t>
  </si>
  <si>
    <t>熊猫很忙（祖庙店-广东佛山）</t>
  </si>
  <si>
    <t>熊猫很忙祖庙店</t>
  </si>
  <si>
    <t>15918114476</t>
  </si>
  <si>
    <t>祖庙街道圣堂街12号之一熊猫很忙超市</t>
  </si>
  <si>
    <t>756</t>
  </si>
  <si>
    <t>熊猫很忙（香江-广东广州）</t>
  </si>
  <si>
    <t>熊猫很忙香江</t>
  </si>
  <si>
    <t>13238316463</t>
  </si>
  <si>
    <t>新塘镇南安村西石窿（七星工业园）B栋102号</t>
  </si>
  <si>
    <t>297</t>
  </si>
  <si>
    <t>熊猫很忙（大沙地店-广东广州）</t>
  </si>
  <si>
    <t>熊猫很忙大沙地店</t>
  </si>
  <si>
    <t>18927515727</t>
  </si>
  <si>
    <t>茅岗环村大街96号C栋108室</t>
  </si>
  <si>
    <t>322</t>
  </si>
  <si>
    <t>熊猫很忙（前山店-广东珠海）</t>
  </si>
  <si>
    <t>熊猫很忙前山店</t>
  </si>
  <si>
    <t>13926996726</t>
  </si>
  <si>
    <t>前山街道港岸街10号商铺之一(如家商旅酒店旁边)</t>
  </si>
  <si>
    <t>326</t>
  </si>
  <si>
    <t>熊猫很忙（横琴店-广东珠海）</t>
  </si>
  <si>
    <t>熊猫很忙横琴店</t>
  </si>
  <si>
    <t>横琴镇红旗村德政街25号二楼 熊猫很忙(格美造型发廊～三米粥铺楼上)熊猫很忙6688</t>
  </si>
  <si>
    <t>331</t>
  </si>
  <si>
    <t>熊猫很忙（清新店-广东清远）</t>
  </si>
  <si>
    <t>熊猫很忙清新店</t>
  </si>
  <si>
    <t>19022739252</t>
  </si>
  <si>
    <t>清新区</t>
  </si>
  <si>
    <t>太和镇笔架路8号品尚公馆二号楼111–113号铺，送货上门，不要放驿站，放驿站投诉</t>
  </si>
  <si>
    <t>333</t>
  </si>
  <si>
    <t>熊猫很忙（斗门店-广东珠海）</t>
  </si>
  <si>
    <t>熊猫很忙斗门店</t>
  </si>
  <si>
    <t>13286079710</t>
  </si>
  <si>
    <t>白蕉镇连桥路304号商铺熊猫很忙超市多多 不放驿站 麻烦送上门 不放任何好评卡</t>
  </si>
  <si>
    <t>334</t>
  </si>
  <si>
    <t>熊猫很忙（香洲店-广东珠海）（直营）</t>
  </si>
  <si>
    <t>赵</t>
  </si>
  <si>
    <t>13169688357</t>
  </si>
  <si>
    <t>人民西路166号三好名苑熊猫很忙（香洲店）</t>
  </si>
  <si>
    <t>337</t>
  </si>
  <si>
    <t>熊猫很忙（金湾店-广东珠海）</t>
  </si>
  <si>
    <t>熊猫很忙金湾店</t>
  </si>
  <si>
    <t>13392998979</t>
  </si>
  <si>
    <t>红旗镇成行路91号商铺(熊猫很忙超市)，不放驿站!!!送货上门!!!</t>
  </si>
  <si>
    <t>340</t>
  </si>
  <si>
    <t>熊猫很忙（大鹏店-广东深圳）</t>
  </si>
  <si>
    <t>熊猫很忙大鹏店</t>
  </si>
  <si>
    <t>15788660283</t>
  </si>
  <si>
    <t>大鹏新区葵涌街道金业大道98号A栋宿舍102熊猫很忙</t>
  </si>
  <si>
    <t>341</t>
  </si>
  <si>
    <t>熊猫很忙（南沙店-广东广州）</t>
  </si>
  <si>
    <t>熊猫很忙南沙店</t>
  </si>
  <si>
    <t>中景四街5号、6号C-114房熊猫很忙超市</t>
  </si>
  <si>
    <t>360</t>
  </si>
  <si>
    <t>熊猫很忙（罗村店-广东佛山）</t>
  </si>
  <si>
    <t>熊猫很忙罗村</t>
  </si>
  <si>
    <t>13612636056</t>
  </si>
  <si>
    <t>怡佳名苑</t>
  </si>
  <si>
    <t>387</t>
  </si>
  <si>
    <t>熊猫很忙（英德店-广东清远）</t>
  </si>
  <si>
    <t>赵明明</t>
  </si>
  <si>
    <t>18620969190</t>
  </si>
  <si>
    <t>英德市</t>
  </si>
  <si>
    <t>英城街道英德市英城街道峰光北三巷裕光新村市场悦淘淘生活超市(裕光店)南门2楼</t>
  </si>
  <si>
    <t>390</t>
  </si>
  <si>
    <t>熊猫很忙（洛溪店-广东广州）</t>
  </si>
  <si>
    <t>熊猫很忙洛溪店</t>
  </si>
  <si>
    <t>18925198548</t>
  </si>
  <si>
    <t>洛溪新城吉祥北园吉祥南街28幢6号铺熊猫很忙（不放驿站，麻烦送上门）</t>
  </si>
  <si>
    <t>391</t>
  </si>
  <si>
    <t>熊猫很忙（新会店-广东江门）收货时间8：00-01：30</t>
  </si>
  <si>
    <t>熊猫很忙新会店</t>
  </si>
  <si>
    <t>18128266779</t>
  </si>
  <si>
    <t>新会区</t>
  </si>
  <si>
    <t>会城大道中45号碧华园二期10座109铺 熊猫很忙6688，麻烦送上门不放驿站 谢谢！！</t>
  </si>
  <si>
    <t>403</t>
  </si>
  <si>
    <t>熊猫很忙（八一店-广东肇庆）</t>
  </si>
  <si>
    <t>熊猫很忙八一店</t>
  </si>
  <si>
    <t>13922630075</t>
  </si>
  <si>
    <t>梅庵对面充电桩旁，熊猫很忙超市 西街道 (不要放在驿站，麻烦送货上门，谢谢!</t>
  </si>
  <si>
    <t>406</t>
  </si>
  <si>
    <t>熊猫很忙（里广路店-广东佛山）</t>
  </si>
  <si>
    <t>永润</t>
  </si>
  <si>
    <t>18620299979</t>
  </si>
  <si>
    <t>里水镇洲村过水埗16号</t>
  </si>
  <si>
    <t>408</t>
  </si>
  <si>
    <t>熊猫很忙（四会店-广东肇庆）</t>
  </si>
  <si>
    <t>熊猫很忙四会店</t>
  </si>
  <si>
    <t>19022739351</t>
  </si>
  <si>
    <t xml:space="preserve"> 东城街道水闸路102号新东方眼镜后面巷二座一楼，熊猫很忙四会店，送货上门，不要放驿站，放驿站投诉</t>
  </si>
  <si>
    <t>409</t>
  </si>
  <si>
    <t>熊猫很忙（地王店-广东江门）</t>
  </si>
  <si>
    <t>熊猫很忙地王店</t>
  </si>
  <si>
    <t>17765798503</t>
  </si>
  <si>
    <t>白沙街道范罗岗花园 15 幢103熊猫很忙多多 （不放驿站送货上门）</t>
  </si>
  <si>
    <t>411</t>
  </si>
  <si>
    <t>熊猫很忙（大旺店-广东肇庆）</t>
  </si>
  <si>
    <t>熊猫很忙（大旺店）</t>
  </si>
  <si>
    <t>18675484424</t>
  </si>
  <si>
    <t xml:space="preserve"> 高新区中心城区农场路29号景泰花园6栋106号商铺熊猫很忙（不放驿站，麻烦送上门）</t>
  </si>
  <si>
    <t>417</t>
  </si>
  <si>
    <t>熊猫很忙（端州店-广东肇庆）</t>
  </si>
  <si>
    <t>熊猫很忙端州店</t>
  </si>
  <si>
    <t>13760056754</t>
  </si>
  <si>
    <t>黄岗街道沙湖路28号万里达机械厂房内</t>
  </si>
  <si>
    <t>418</t>
  </si>
  <si>
    <t>熊猫很忙（蓬江店-广东江门）（直营）</t>
  </si>
  <si>
    <t>熊猫很忙蓬江店</t>
  </si>
  <si>
    <t>15322697993</t>
  </si>
  <si>
    <t>发展大道天长路紫茵庭园2栋101号熊猫很忙</t>
  </si>
  <si>
    <t>470</t>
  </si>
  <si>
    <t>熊猫很忙（鹤山店-广东江门）</t>
  </si>
  <si>
    <t>熊猫很忙鹤山店</t>
  </si>
  <si>
    <t>15019859043</t>
  </si>
  <si>
    <t>鹤山市</t>
  </si>
  <si>
    <t>沙坪街道新升苑148号 熊猫很忙超市鹤山店6688 不放驿站 麻烦送上门</t>
  </si>
  <si>
    <t>471</t>
  </si>
  <si>
    <t>熊猫很忙（台山店-广东江门）</t>
  </si>
  <si>
    <t>熊猫很忙台山店</t>
  </si>
  <si>
    <t>18929077926</t>
  </si>
  <si>
    <t>台城街道环市东路1号108-109铺熊猫很忙(津津美食城旁) 不放驿站，麻烦送上门谢谢</t>
  </si>
  <si>
    <t>472</t>
  </si>
  <si>
    <t>熊猫很忙（里水店-广东佛山）</t>
  </si>
  <si>
    <t>熊猫很忙里水店</t>
  </si>
  <si>
    <t>17328994041</t>
  </si>
  <si>
    <t>里水镇里水大道北10-12号首层4号~8</t>
  </si>
  <si>
    <t>425</t>
  </si>
  <si>
    <t>熊猫很忙（康泰店-广东肇庆）</t>
  </si>
  <si>
    <t>熊猫很忙康泰店</t>
  </si>
  <si>
    <t>19022736531</t>
  </si>
  <si>
    <t>大旺街道四会市大旺街道景泰一路1号华利高服饰有限司宿舍楼1楼熊猫很忙 送货上门，不送投诉，不要放驿站</t>
  </si>
  <si>
    <t>426</t>
  </si>
  <si>
    <t>熊猫很忙（开平店-广东江门）</t>
  </si>
  <si>
    <t>熊猫很忙开平店</t>
  </si>
  <si>
    <t>17728206880</t>
  </si>
  <si>
    <t>三埠长沙中路三巷5号首层第4卡铺位熊猫很忙</t>
  </si>
  <si>
    <t>473</t>
  </si>
  <si>
    <t>熊猫很忙（江海店-广东江门）</t>
  </si>
  <si>
    <t>熊猫很忙江海店</t>
  </si>
  <si>
    <t>18933637053</t>
  </si>
  <si>
    <t>东宁路70号4幢112室熊猫很忙</t>
  </si>
  <si>
    <t>490</t>
  </si>
  <si>
    <t>熊猫很忙（太和店-广东广州）</t>
  </si>
  <si>
    <t>熊猫很忙太和店</t>
  </si>
  <si>
    <t>19872866509</t>
  </si>
  <si>
    <t>太和镇大来南路83号110铺</t>
  </si>
  <si>
    <t>749</t>
  </si>
  <si>
    <t>熊猫很忙（石碁店-广东广州）</t>
  </si>
  <si>
    <t>熊猫很忙石碁店</t>
  </si>
  <si>
    <t>15014155331</t>
  </si>
  <si>
    <t>大龙街金龙路32号(二楼). (绿庭雅苑斜对面)</t>
  </si>
  <si>
    <t>721</t>
  </si>
  <si>
    <t>熊猫很忙（永润店-广东佛山）</t>
  </si>
  <si>
    <t>熊猫很忙永润店</t>
  </si>
  <si>
    <t>18344564997</t>
  </si>
  <si>
    <t>里水镇洲村社区里广路91号过水埗工业区11号</t>
  </si>
  <si>
    <t>476</t>
  </si>
  <si>
    <t>熊猫很忙便利超市（长隆店-广东珠海）</t>
  </si>
  <si>
    <t>CUS00279</t>
  </si>
  <si>
    <t>熊猫很忙（金利店-广东肇庆）</t>
  </si>
  <si>
    <t>熊猫很忙金利店</t>
  </si>
  <si>
    <t>18578078470</t>
  </si>
  <si>
    <t>金利镇金龙大道东金南豪庭西侧金利金贸商业城首航酒吧停车场</t>
  </si>
  <si>
    <t>745</t>
  </si>
  <si>
    <t>熊猫很忙（化龙店-广东广州）</t>
  </si>
  <si>
    <t>熊猫很忙化龙店</t>
  </si>
  <si>
    <t>19210309728</t>
  </si>
  <si>
    <t>化龙镇龙津路22号厂房自编第六栋101号</t>
  </si>
  <si>
    <t>578</t>
  </si>
  <si>
    <t>熊猫很忙（石井店-广东广州）</t>
  </si>
  <si>
    <t>熊猫很忙石井店市（石井店-广东广州）</t>
  </si>
  <si>
    <t>13332842682</t>
  </si>
  <si>
    <t>石门街道红星亭岗路18号A栋2层A202 1688 不放驿站送货上门</t>
  </si>
  <si>
    <t>579</t>
  </si>
  <si>
    <t>熊猫很忙（南庄店-广东佛山）</t>
  </si>
  <si>
    <t>熊猫很忙南庄店</t>
  </si>
  <si>
    <t>13790043768</t>
  </si>
  <si>
    <t>南庄镇利民广场2楼婚庆这个楼梯上来（6688送货上门，放驿站投诉）</t>
  </si>
  <si>
    <t>542</t>
  </si>
  <si>
    <t>熊猫很忙（珠城店-广东广州）</t>
  </si>
  <si>
    <t>熊猫很忙珠城店</t>
  </si>
  <si>
    <t>19120495885</t>
  </si>
  <si>
    <t>天河东路华康街58号101室</t>
  </si>
  <si>
    <t>581</t>
  </si>
  <si>
    <t>熊猫很忙（环宇城店-广东佛山）</t>
  </si>
  <si>
    <t>熊猫很忙环宇城店</t>
  </si>
  <si>
    <t>17322745760</t>
  </si>
  <si>
    <t>桂城街道平西社区格涌风车工业区2号</t>
  </si>
  <si>
    <t>486</t>
  </si>
  <si>
    <t>熊猫很忙（增城店-广东广州）</t>
  </si>
  <si>
    <t>熊猫很忙增城店</t>
  </si>
  <si>
    <t>13288141746</t>
  </si>
  <si>
    <t>荔城街迎祥路一号熊猫很忙</t>
  </si>
  <si>
    <t>CUS00173</t>
  </si>
  <si>
    <t>熊猫很忙（东坊路店-广东东莞）</t>
  </si>
  <si>
    <t>熊猫很忙东坊路店-广东东莞</t>
  </si>
  <si>
    <t>15999831837</t>
  </si>
  <si>
    <t>虎门镇北栅深水四街9号103</t>
  </si>
  <si>
    <t>CUS00178</t>
  </si>
  <si>
    <t>熊猫很忙（龙归城店-广东广州）</t>
  </si>
  <si>
    <t>龙归城</t>
  </si>
  <si>
    <t>14737551928</t>
  </si>
  <si>
    <t>永红路友喜创谷8号熊猫很忙超市（1688请送货上门，放驿站投诉）</t>
  </si>
  <si>
    <t>CUS00193</t>
  </si>
  <si>
    <t>熊猫很忙（伦教店-广东佛山）</t>
  </si>
  <si>
    <t>熊猫很忙伦教店</t>
  </si>
  <si>
    <t>18575781605</t>
  </si>
  <si>
    <t>伦教街道常教社区世纪路5号地下厂房杨帆电梯公寓楼下熊猫很忙超市</t>
  </si>
  <si>
    <t>620</t>
  </si>
  <si>
    <t>熊猫很忙（陈村店-广东佛山）</t>
  </si>
  <si>
    <t>熊猫很忙陈村店</t>
  </si>
  <si>
    <t>15815676550</t>
  </si>
  <si>
    <t>陈村镇锦轩花园46号铺及47号铺熊猫很忙</t>
  </si>
  <si>
    <t>685</t>
  </si>
  <si>
    <t>熊猫很忙（清布店-广东广州）</t>
  </si>
  <si>
    <t>熊猫很忙清布店</t>
  </si>
  <si>
    <t>15013303272</t>
  </si>
  <si>
    <t>富邦路6号永利公寓一楼4栋101室之117铺最里面一间熊猫很忙清布店拒收极兔快递</t>
  </si>
  <si>
    <t>791</t>
  </si>
  <si>
    <t>熊猫很忙（三灶店-广东珠海）</t>
  </si>
  <si>
    <t>熊猫很忙三灶店</t>
  </si>
  <si>
    <t>17841553779</t>
  </si>
  <si>
    <t>三灶镇金海岸大道西46号一楼之17熊猫很忙超市（1688送货上门，放驿站投诉）</t>
  </si>
  <si>
    <t>792</t>
  </si>
  <si>
    <t>熊猫很忙（钟落潭店-广东广州）</t>
  </si>
  <si>
    <t>熊猫很忙钟落潭店</t>
  </si>
  <si>
    <t>17820680772</t>
  </si>
  <si>
    <t>钟落潭镇钟升路48号之十103铺熊猫很忙超市（1688送货上门，放驿站投诉）</t>
  </si>
  <si>
    <t>794</t>
  </si>
  <si>
    <t>熊猫很忙（龙江店-广东佛山）</t>
  </si>
  <si>
    <t>熊猫很忙龙江店</t>
  </si>
  <si>
    <t>15322312540</t>
  </si>
  <si>
    <t>丰华北路153号 盈佳商业楼（文华路五街）二楼A 202（1688送货上门，放驿站投诉）</t>
  </si>
  <si>
    <t>CUS00220</t>
  </si>
  <si>
    <t>熊猫很忙（樟木头店-广东东莞）</t>
  </si>
  <si>
    <t>熊猫很忙樟木头店</t>
  </si>
  <si>
    <t>13424789113</t>
  </si>
  <si>
    <t>樟木头镇新村坑一巷18号熊猫很忙超市（1688送货上门，放驿站投诉）</t>
  </si>
  <si>
    <t>788</t>
  </si>
  <si>
    <t>熊猫很忙（滨江店-广东江门）</t>
  </si>
  <si>
    <t>熊猫很忙滨江店</t>
  </si>
  <si>
    <t>19928950411</t>
  </si>
  <si>
    <t>棠下镇昌盛二路30号新昌科技园A栋一层1F-08熊猫很忙超市（1688送货</t>
  </si>
  <si>
    <t>CUS00225</t>
  </si>
  <si>
    <t>松鼠便利（广州金洲店）</t>
  </si>
  <si>
    <t>松鼠（金洲店）</t>
  </si>
  <si>
    <t>15307398758</t>
  </si>
  <si>
    <t>南沙街道板头九街维也纳酒店(金洲店)东侧约80米松鼠便利（快递不要放驿站，直送到门店）</t>
  </si>
  <si>
    <t>CUS00226</t>
  </si>
  <si>
    <t>松鼠便利（广州狮岭店）</t>
  </si>
  <si>
    <t>舒俊文</t>
  </si>
  <si>
    <t>18028061110</t>
  </si>
  <si>
    <t>狮岭镇望成路17号详兴居A栋104号商铺松鼠便利（不接受驿站服</t>
  </si>
  <si>
    <t>CUS00229</t>
  </si>
  <si>
    <t>松鼠便利（佛山里水店）</t>
  </si>
  <si>
    <t>邓炯祥</t>
  </si>
  <si>
    <t>里水镇草场大道亿耀创意园B5号库二楼松鼠便利（快</t>
  </si>
  <si>
    <t>CUS00233</t>
  </si>
  <si>
    <t>松鼠便利（广州横沙地铁店）</t>
  </si>
  <si>
    <t>黄麒</t>
  </si>
  <si>
    <t>13360861967</t>
  </si>
  <si>
    <t>金沙洲东就街34号松鼠便利（快递不要放驿站，直接送门店）</t>
  </si>
  <si>
    <t>CUS00244</t>
  </si>
  <si>
    <t>松鼠便利（广州知识城店）</t>
  </si>
  <si>
    <t>王利敏</t>
  </si>
  <si>
    <t>13128229513</t>
  </si>
  <si>
    <t>知识城龙湖街道中新智慧园A3大堂西侧台阶下松鼠便利(快</t>
  </si>
  <si>
    <t>152</t>
  </si>
  <si>
    <t>松鼠便利（总仓）</t>
  </si>
  <si>
    <t>张德文</t>
  </si>
  <si>
    <t>13922658724</t>
  </si>
  <si>
    <t>石壁街谢石公路108号（长江物业）13栋一楼仓库</t>
  </si>
  <si>
    <t>153</t>
  </si>
  <si>
    <t>松鼠便利（广州华景店）</t>
  </si>
  <si>
    <t>陈店长</t>
  </si>
  <si>
    <t>13417226631</t>
  </si>
  <si>
    <t>中山大道西105号15-103仓库（松鼠便利超市</t>
  </si>
  <si>
    <t>154</t>
  </si>
  <si>
    <t>松鼠便利（广州昌岗店）</t>
  </si>
  <si>
    <t>张增耀</t>
  </si>
  <si>
    <t>13925645197</t>
  </si>
  <si>
    <t>礼岗路21号中盛昌岗汇B座负一层102号松鼠便利超市（昌岗店）</t>
  </si>
  <si>
    <t>172</t>
  </si>
  <si>
    <t>松鼠便利（广州大山店）</t>
  </si>
  <si>
    <t>松鼠便利（大山店）</t>
  </si>
  <si>
    <t>18475906308</t>
  </si>
  <si>
    <t>大石街富山北路1号115铺 松鼠便利</t>
  </si>
  <si>
    <t>173</t>
  </si>
  <si>
    <t>松鼠便利（广州花地湾店）</t>
  </si>
  <si>
    <t>松鼠便利（花地湾店）</t>
  </si>
  <si>
    <t>13160595801</t>
  </si>
  <si>
    <t>永乐路9号16铺 松鼠便利店花地湾店</t>
  </si>
  <si>
    <t>174</t>
  </si>
  <si>
    <t>松鼠便利（广州金铂店）</t>
  </si>
  <si>
    <t>松鼠便利（金铂店）</t>
  </si>
  <si>
    <t>13392469309</t>
  </si>
  <si>
    <t>嘉禾望岗社岭工业园1栋103铺松鼠便利店</t>
  </si>
  <si>
    <t>175</t>
  </si>
  <si>
    <t>松鼠便利（广州动物园店）</t>
  </si>
  <si>
    <t>松鼠便利（动物园店）</t>
  </si>
  <si>
    <t>13829727226</t>
  </si>
  <si>
    <t>水荫路54号自编第四层404室</t>
  </si>
  <si>
    <t>176</t>
  </si>
  <si>
    <t>松鼠便利（广州三元里店）晚12点前</t>
  </si>
  <si>
    <t>松鼠便利（三元里店）</t>
  </si>
  <si>
    <t>13711316360</t>
  </si>
  <si>
    <t>矿泉街道瑶台瑶池西街25-27号瑶台新街市首层C区第8号挡</t>
  </si>
  <si>
    <t>177</t>
  </si>
  <si>
    <t>松鼠便利（广州市桥店）</t>
  </si>
  <si>
    <t>原西环路店</t>
  </si>
  <si>
    <t>19866756268</t>
  </si>
  <si>
    <t>市桥街西环路137、139号 松鼠便利超市</t>
  </si>
  <si>
    <t>180</t>
  </si>
  <si>
    <t>松鼠便利（广州花都广场店）</t>
  </si>
  <si>
    <t>13533834416</t>
  </si>
  <si>
    <t>华侨商业城花都中店</t>
  </si>
  <si>
    <t>181</t>
  </si>
  <si>
    <t>松鼠便利（广州永平店）</t>
  </si>
  <si>
    <t>徐子华</t>
  </si>
  <si>
    <t>15920154221</t>
  </si>
  <si>
    <t>东平马市岭东街12号101松鼠便利</t>
  </si>
  <si>
    <t>CUS00261</t>
  </si>
  <si>
    <t>松鼠便利（广州大沙东店）</t>
  </si>
  <si>
    <t>李松鼠</t>
  </si>
  <si>
    <t>18218760391</t>
  </si>
  <si>
    <t>黄埔东路489号金丽园大院10号之二商铺（松鼠便利大沙东店）（快递不要放驿站，辛苦直</t>
  </si>
  <si>
    <t>269</t>
  </si>
  <si>
    <t>松鼠便利（广州钟村店）</t>
  </si>
  <si>
    <t>松鼠便利（钟村店）</t>
  </si>
  <si>
    <t>19325942158</t>
  </si>
  <si>
    <t>钟村街钟三松岗大街6号101</t>
  </si>
  <si>
    <t>272</t>
  </si>
  <si>
    <t>松鼠便利（佛山三水店）</t>
  </si>
  <si>
    <t>松鼠便利（三水店）</t>
  </si>
  <si>
    <t>18319188775</t>
  </si>
  <si>
    <t>西南街道园林路7号一座首层园林市场B区36号铺</t>
  </si>
  <si>
    <t>273</t>
  </si>
  <si>
    <t>松鼠便利（佛山嘉洲店）</t>
  </si>
  <si>
    <t>松鼠便利（嘉洲店）</t>
  </si>
  <si>
    <t>15914402521</t>
  </si>
  <si>
    <t>大沥镇黄岐洞庭路66号大楼首层106号铺</t>
  </si>
  <si>
    <t>274</t>
  </si>
  <si>
    <t>松鼠便利（清远万达广场店）</t>
  </si>
  <si>
    <t>15099859978</t>
  </si>
  <si>
    <t>东城街道湖景湾西区10号楼01-02铺</t>
  </si>
  <si>
    <t>275</t>
  </si>
  <si>
    <t>松鼠便利（清远顺盈广场店）</t>
  </si>
  <si>
    <t>17688872435</t>
  </si>
  <si>
    <t>洲心街道朝南维港新天地 10号楼 04-06号商铺（1688发货直接送门店，不要放</t>
  </si>
  <si>
    <t>276</t>
  </si>
  <si>
    <t>松鼠便利（清远城市花园店）</t>
  </si>
  <si>
    <t>18683401676</t>
  </si>
  <si>
    <t>新城东六号区凤鸣路八号鸿运广场C区首层164</t>
  </si>
  <si>
    <t>277</t>
  </si>
  <si>
    <t>松鼠便利（清远樵顺广场店）</t>
  </si>
  <si>
    <t>13413452791</t>
  </si>
  <si>
    <t>东城街道东城大道357号御景东方十四号楼首层05号铺（松鼠便利超市）（1688发</t>
  </si>
  <si>
    <t>278</t>
  </si>
  <si>
    <t>松鼠便利（清远时代倾城店）</t>
  </si>
  <si>
    <t>13509256303</t>
  </si>
  <si>
    <t>凤城街道凤城街清郊岗背村后岗一路岗</t>
  </si>
  <si>
    <t>279</t>
  </si>
  <si>
    <t>松鼠便利（佛山金沙洲店）</t>
  </si>
  <si>
    <t>松鼠便利（星汇店）</t>
  </si>
  <si>
    <t>15361781413</t>
  </si>
  <si>
    <t>大沥镇泌冲村泌二大街三巷2号</t>
  </si>
  <si>
    <t>280</t>
  </si>
  <si>
    <t>松鼠便利（佛山大良店）</t>
  </si>
  <si>
    <t>松鼠便利（大良店）</t>
  </si>
  <si>
    <t>13380511706</t>
  </si>
  <si>
    <t>大良街道办事处金榜社区居民委员会凤山中路12号商铺之8松鼠便利店（派件至门店，不要放驿站 ，1688发货）</t>
  </si>
  <si>
    <t>281</t>
  </si>
  <si>
    <t>松鼠便利（佛山细滘店）</t>
  </si>
  <si>
    <t>松鼠便利（细滘店）</t>
  </si>
  <si>
    <t>18971104388</t>
  </si>
  <si>
    <t>桂新西路45号</t>
  </si>
  <si>
    <t>CUS00267</t>
  </si>
  <si>
    <t>松鼠便利（广州大学城店）</t>
  </si>
  <si>
    <t>松鼠广州大学城店</t>
  </si>
  <si>
    <t>18022344892</t>
  </si>
  <si>
    <t>小谷围街道穗石村穗石大道50-1松鼠便利（快递放门店，不要放驿站）</t>
  </si>
  <si>
    <t>291</t>
  </si>
  <si>
    <t>松鼠便利（佛山桂城店）</t>
  </si>
  <si>
    <t>松鼠便利（桂城店）</t>
  </si>
  <si>
    <t>13318343435</t>
  </si>
  <si>
    <t>桂城街道东二社区石南兴村工业</t>
  </si>
  <si>
    <t>292</t>
  </si>
  <si>
    <t>松鼠便利（佛山岭南路店）</t>
  </si>
  <si>
    <t>松鼠便利（岭南路店）</t>
  </si>
  <si>
    <t>15217681513</t>
  </si>
  <si>
    <t>岭南路联窖工业区滘口路保利珑门97号商铺松鼠便利岭南路店（1688发货，直接放</t>
  </si>
  <si>
    <t>293</t>
  </si>
  <si>
    <t>松鼠便利（佛山张槎店）</t>
  </si>
  <si>
    <t>松鼠便利（张槎店)</t>
  </si>
  <si>
    <t>13168396699</t>
  </si>
  <si>
    <t>张槎街道佛山大道金沙新城市运小区81号松鼠便利张槎店（派件至门店，不要放驿站 ，</t>
  </si>
  <si>
    <t>294</t>
  </si>
  <si>
    <t>松鼠便利（广州同和店）</t>
  </si>
  <si>
    <t>松鼠便利（同和店）</t>
  </si>
  <si>
    <t>19065231353</t>
  </si>
  <si>
    <t>同和白水塘中街21号 101及负101松鼠便利店</t>
  </si>
  <si>
    <t>301</t>
  </si>
  <si>
    <t>松鼠便利（佛山魁奇路店）</t>
  </si>
  <si>
    <t>15024203037</t>
  </si>
  <si>
    <t>石湾镇街道番村红星村谭地围一巷一号(松鼠便利店)</t>
  </si>
  <si>
    <t>CUS00269</t>
  </si>
  <si>
    <t>松鼠便利（清远英德维港店）</t>
  </si>
  <si>
    <t>: 松鼠便利超市（英德维港店）</t>
  </si>
  <si>
    <t>18826629996</t>
  </si>
  <si>
    <t>道滨江西路维港半岛14栋14号商铺（滨江游乐场对面）松鼠便利（快递不要放驿站，直接</t>
  </si>
  <si>
    <t>310</t>
  </si>
  <si>
    <t>松鼠便利（佛山夏东店）</t>
  </si>
  <si>
    <t>王辉</t>
  </si>
  <si>
    <t>19902689725</t>
  </si>
  <si>
    <t>桂城街道涌口村大道与石龙北路交叉口西南80米，星尚创业园601（派件至门店，不要放驿站 ，1688发货）</t>
  </si>
  <si>
    <t>311</t>
  </si>
  <si>
    <t>松鼠便利（广州荔湾店）</t>
  </si>
  <si>
    <t>李洁珍</t>
  </si>
  <si>
    <t>13288819419</t>
  </si>
  <si>
    <t>龙津东路欧家园 43 号首层 A106-A107（仓库收货请送货上门）</t>
  </si>
  <si>
    <t>CUS00270</t>
  </si>
  <si>
    <t>松鼠便利（广州新塘店）</t>
  </si>
  <si>
    <t>松鼠便利超市（新塘店）</t>
  </si>
  <si>
    <t>18681199683</t>
  </si>
  <si>
    <t>广深大道西162号之一101铺松鼠便利超市新塘店（不接受驿站服务，快递请送上门）</t>
  </si>
  <si>
    <t>338</t>
  </si>
  <si>
    <t>松鼠便利（佛山东平店）</t>
  </si>
  <si>
    <t>黄柏坚</t>
  </si>
  <si>
    <t>13431636188</t>
  </si>
  <si>
    <t>乐从镇东平新城裕和路保利东景花园5座104铺-松鼠便利超市（东平店）</t>
  </si>
  <si>
    <t>344</t>
  </si>
  <si>
    <t>松鼠便利（广州新塘永旺店）</t>
  </si>
  <si>
    <t>肖小姐</t>
  </si>
  <si>
    <t>13726247673</t>
  </si>
  <si>
    <t>宁西街道创建路章陂村苍边街平山园路111号松鼠便利新塘万达店</t>
  </si>
  <si>
    <t>CUS00272</t>
  </si>
  <si>
    <t>松鼠便利（广州龙洞店）</t>
  </si>
  <si>
    <t>陈顺</t>
  </si>
  <si>
    <t>13117240285</t>
  </si>
  <si>
    <t>龙洞商贸大街7号101铺（部位:整栋）自编104铺松鼠便利店(快递放门店，不要放驿站)</t>
  </si>
  <si>
    <t>366</t>
  </si>
  <si>
    <t>松鼠便利（江门冈州店）</t>
  </si>
  <si>
    <t>赵先生</t>
  </si>
  <si>
    <t>13828085670</t>
  </si>
  <si>
    <t>会城街道东庆北路5号4座115铺-1 松鼠便利店 （1688来货 别放疫站）</t>
  </si>
  <si>
    <t>365</t>
  </si>
  <si>
    <t>松鼠便利（珠海唐家湾店）</t>
  </si>
  <si>
    <t>马春亿</t>
  </si>
  <si>
    <t>18933214008</t>
  </si>
  <si>
    <t>唐家湾镇拱星路86号一层C区101卡(风驰汽修轮胎店后面)松鼠便利</t>
  </si>
  <si>
    <t>399</t>
  </si>
  <si>
    <t>松鼠便利（江门东宁路店）</t>
  </si>
  <si>
    <t>卓华伟</t>
  </si>
  <si>
    <t>18675048484</t>
  </si>
  <si>
    <t>外海街道江海区外海街道广东省 江门市 江海区 外海街道东宁路68号6栋108铺松鼠便利超市（1688发货，直接送门店</t>
  </si>
  <si>
    <t>380</t>
  </si>
  <si>
    <t>松鼠便利（佛山狮山店）</t>
  </si>
  <si>
    <t>李雪晓</t>
  </si>
  <si>
    <t>18825901558</t>
  </si>
  <si>
    <t>狮山镇红星北路松鼠便利超市(系统来货,快递不要放驿站，辛苦直送门店）</t>
  </si>
  <si>
    <t>384</t>
  </si>
  <si>
    <t>松鼠便利（珠海拱北口岸店）</t>
  </si>
  <si>
    <t>苏老板</t>
  </si>
  <si>
    <t>17707569539</t>
  </si>
  <si>
    <t>拱北夏湾前河路316号铺勤学街松鼠便利(1688送货上门，禁止放驿站)</t>
  </si>
  <si>
    <t>404</t>
  </si>
  <si>
    <t>松鼠便利（广州车陂店）</t>
  </si>
  <si>
    <t>缪运平</t>
  </si>
  <si>
    <t>18024576519</t>
  </si>
  <si>
    <t>广州市天河区车陂黄洲工业区大院内自编7号东梯第三层</t>
  </si>
  <si>
    <t>405</t>
  </si>
  <si>
    <t>松鼠便利（江门地王店）</t>
  </si>
  <si>
    <t>龙振兴</t>
  </si>
  <si>
    <t>13750307660</t>
  </si>
  <si>
    <t>84号汉庭酒店后松鼠便利超市地王店（不接受代签收，快递请送上门）</t>
  </si>
  <si>
    <t>469</t>
  </si>
  <si>
    <t>松鼠便利（佛山季华路店）</t>
  </si>
  <si>
    <t>吴弟二</t>
  </si>
  <si>
    <t>18676881760</t>
  </si>
  <si>
    <t>祖庙街道 季华五路 南丫岛盛世棋牌一楼旁 松鼠便利超市季华路店（不接受代签收，快递送下门店）</t>
  </si>
  <si>
    <t>CUS00276</t>
  </si>
  <si>
    <t>松鼠便利（广州客村店）</t>
  </si>
  <si>
    <t>张儒</t>
  </si>
  <si>
    <t>13632187462</t>
  </si>
  <si>
    <t>客村东大街十巷8号友佳公寓一楼松鼠便利店（快递不要放驿站，直接送门店）</t>
  </si>
  <si>
    <t>427</t>
  </si>
  <si>
    <t>松鼠便利（广州香雪店）</t>
  </si>
  <si>
    <t>聂林</t>
  </si>
  <si>
    <t>18038943577</t>
  </si>
  <si>
    <t>萝岗三级地街130号之二松鼠便利（伟哥便利店斜对面）（不接受代签收，快递请送到门店</t>
  </si>
  <si>
    <t>450</t>
  </si>
  <si>
    <t>松鼠便利（广州骏壹万邦店）早8点前</t>
  </si>
  <si>
    <t>王翠仪</t>
  </si>
  <si>
    <t>19876830820</t>
  </si>
  <si>
    <t>三东大道97号长运中心三楼301-304松鼠便利</t>
  </si>
  <si>
    <t>570</t>
  </si>
  <si>
    <t>松鼠便利（广州棠溪店）</t>
  </si>
  <si>
    <t>董小红</t>
  </si>
  <si>
    <t>19120581455</t>
  </si>
  <si>
    <t>美晨路5号之一七社工业区2号楼202房，松鼠便利（东山创意园东门，万佳超市巷子往里50米。必须送货上门，否则追索到底！）</t>
  </si>
  <si>
    <t>577</t>
  </si>
  <si>
    <t>松鼠便利（珠海湾仔店）</t>
  </si>
  <si>
    <t>廖慧</t>
  </si>
  <si>
    <t>湾仔华美路2号华声工业园2栋厂房副楼</t>
  </si>
  <si>
    <t>526</t>
  </si>
  <si>
    <t>松鼠便利（佛山千灯湖店）</t>
  </si>
  <si>
    <t>范东明</t>
  </si>
  <si>
    <t>18802043529</t>
  </si>
  <si>
    <t>桂城街道夏西社区西约口工业区5号自编之5松鼠便利（快递直接送到门店 不许放驿站）</t>
  </si>
  <si>
    <t>585</t>
  </si>
  <si>
    <t>松鼠便利（佛山智慧新城店）</t>
  </si>
  <si>
    <t>张锦填</t>
  </si>
  <si>
    <t>张槎街道莲丰东路新莲塘市场松鼠便利智慧新城店（不接受代签收，快递请送到门店）</t>
  </si>
  <si>
    <t>529</t>
  </si>
  <si>
    <t>松鼠便利（广州珠江新城店）</t>
  </si>
  <si>
    <t>李炘炘</t>
  </si>
  <si>
    <t>13411170088</t>
  </si>
  <si>
    <t>体育东横街78，80号松鼠便利超市盈泰广场店，(快递不要放驿站，请送货上门)</t>
  </si>
  <si>
    <t>587</t>
  </si>
  <si>
    <t>松鼠便利（广州燕塘店）</t>
  </si>
  <si>
    <t>倪日萍</t>
  </si>
  <si>
    <t>18312011256</t>
  </si>
  <si>
    <t>广州大道北550号A8栋201松鼠便利（系统来货，快递不要放驿站，直接送门店）</t>
  </si>
  <si>
    <t>600</t>
  </si>
  <si>
    <t>李秋杰</t>
  </si>
  <si>
    <t>19098737441</t>
  </si>
  <si>
    <t>新塘镇广深大道西162号之一一层101铺（松鼠便利超市新塘店，快递不要放驿站，请送</t>
  </si>
  <si>
    <t>625</t>
  </si>
  <si>
    <t>松鼠便利（广州万科云城店）</t>
  </si>
  <si>
    <t>18520556906</t>
  </si>
  <si>
    <t>天河智慧城田头岗二路2号智慧金谷3栋201松鼠便利（系统来货，快递不要放驿站，直接送门店）</t>
  </si>
  <si>
    <t>626</t>
  </si>
  <si>
    <t>松鼠便利（佛山环球港店）</t>
  </si>
  <si>
    <t>刘远航</t>
  </si>
  <si>
    <t>13928259977</t>
  </si>
  <si>
    <t>桂城街道石（石肯）社区四村黄洞工业区一号厂房松鼠便利超市（华桂新村42号对面、废品回收站旁）不接受驿站服务，快递请送上门</t>
  </si>
  <si>
    <t>449</t>
  </si>
  <si>
    <t>松鼠便利（佛山北滘新城店）</t>
  </si>
  <si>
    <t>罗红琼</t>
  </si>
  <si>
    <t>19122465009</t>
  </si>
  <si>
    <t>广珠公路105林头路段(嘉怡娱乐城旁边)，和笙汽车影音松鼠便利</t>
  </si>
  <si>
    <t>499</t>
  </si>
  <si>
    <t>松鼠便利（广州石溪店）</t>
  </si>
  <si>
    <t>林何敏</t>
  </si>
  <si>
    <t>18680225821</t>
  </si>
  <si>
    <t>石溪村南约东街北83号首层自编107单元</t>
  </si>
  <si>
    <t>496</t>
  </si>
  <si>
    <t>松鼠便利（肇庆星湖店）</t>
  </si>
  <si>
    <t>黎俊杰</t>
  </si>
  <si>
    <t>18023632952</t>
  </si>
  <si>
    <t>海伦堡林隐天下西侧易发市场松鼠便利星湖店（快递放门口，不要放驿站）</t>
  </si>
  <si>
    <t>502</t>
  </si>
  <si>
    <t>松鼠便利（广州永泰店）</t>
  </si>
  <si>
    <t>刘星</t>
  </si>
  <si>
    <t>18028676820</t>
  </si>
  <si>
    <t>永泰新村永康路45-53号宝湾广场二楼D42房松鼠便利（快递不要放驿站，直接送门店）</t>
  </si>
  <si>
    <t>504</t>
  </si>
  <si>
    <t>松鼠便利（佛山乐从店）</t>
  </si>
  <si>
    <t>李健强</t>
  </si>
  <si>
    <t>19066525560</t>
  </si>
  <si>
    <t>乐从镇腾冲社区细海北路113号A区2号松鼠便利超市（快递不要放驿站，请送货上门）</t>
  </si>
  <si>
    <t>480</t>
  </si>
  <si>
    <t>松鼠便利（肇庆城西街道店）</t>
  </si>
  <si>
    <t>朱</t>
  </si>
  <si>
    <t>13824637618</t>
  </si>
  <si>
    <t>道芙蓉新天地首层松鼠便利</t>
  </si>
  <si>
    <t>483</t>
  </si>
  <si>
    <t>松鼠便利（佛山都汇豪庭店）</t>
  </si>
  <si>
    <t>苏明山</t>
  </si>
  <si>
    <t>13557754902</t>
  </si>
  <si>
    <t>大良街道办事处升平居委会鉴海南路2号都汇豪庭16号铺松鼠便利（快递放门店，不要放驿站）</t>
  </si>
  <si>
    <t>695</t>
  </si>
  <si>
    <t>松鼠便利（广州南村店）</t>
  </si>
  <si>
    <t>李伟芳</t>
  </si>
  <si>
    <t>13794516351</t>
  </si>
  <si>
    <t>南村镇兴南大道268号10栋203房松鼠便利（快递不要放驿站，直接送门店）</t>
  </si>
  <si>
    <t>694</t>
  </si>
  <si>
    <t>松鼠便利（肇庆四会东城店）</t>
  </si>
  <si>
    <t>卢建森</t>
  </si>
  <si>
    <t>13602981708</t>
  </si>
  <si>
    <t>东城街道陶丽居委会富华路6号天羽球馆第8卡松鼠便利（快递不要放驿站，辛苦直送门店）</t>
  </si>
  <si>
    <t>693</t>
  </si>
  <si>
    <t>松鼠便利（广州琶洲南店）</t>
  </si>
  <si>
    <t>冯义斐</t>
  </si>
  <si>
    <t>19068964447</t>
  </si>
  <si>
    <t>石榴岗路18号大院汇谷创业园D2栋3楼303室松鼠便利超市（快递不要放驿站，请送货上门）</t>
  </si>
  <si>
    <t>692</t>
  </si>
  <si>
    <t>松鼠便利（佛山德胜中路店）</t>
  </si>
  <si>
    <t>潘生</t>
  </si>
  <si>
    <t>15918120640</t>
  </si>
  <si>
    <t>大良观绿路3号保利广场首层商铺27松鼠便利店（快递不要放驿站，直接送门店）</t>
  </si>
  <si>
    <t>691</t>
  </si>
  <si>
    <t>松鼠便利（佛山伦教店）</t>
  </si>
  <si>
    <t>涂瑞祥</t>
  </si>
  <si>
    <t>18199528505</t>
  </si>
  <si>
    <t>伦教荔村广珠路东荔村段九号一座二楼B松鼠便利（快递不要放驿站，直接送门店）</t>
  </si>
  <si>
    <t>690</t>
  </si>
  <si>
    <t>松鼠便利（珠海人民路店）</t>
  </si>
  <si>
    <t>刘宏</t>
  </si>
  <si>
    <t>13189536124</t>
  </si>
  <si>
    <t>华达工业区856号第五栋10，11门店“盾珠海服务中心”松鼠便利（快递不要放驿站，直接送门店）</t>
  </si>
  <si>
    <t>688</t>
  </si>
  <si>
    <t>松鼠便利（珠海横琴店）</t>
  </si>
  <si>
    <t>胡海军</t>
  </si>
  <si>
    <t>13380605899</t>
  </si>
  <si>
    <t>横琴镇保利广场主塔琴朗道66号163铺松鼠便利（快递不要放驿站，直接送门店）</t>
  </si>
  <si>
    <t>686</t>
  </si>
  <si>
    <t>松鼠便利（珠海扬名广场店）</t>
  </si>
  <si>
    <t>教育路59号天宝大厦地下室（不接受代签收，快递请送到门店）</t>
  </si>
  <si>
    <t>684</t>
  </si>
  <si>
    <t>松鼠便利（广州珠村店）</t>
  </si>
  <si>
    <t>珠村北环路100号3栋301松鼠便利（快递不要放驿站，直接送门店）</t>
  </si>
  <si>
    <t>683</t>
  </si>
  <si>
    <t>松鼠便利（佛山大沥店）</t>
  </si>
  <si>
    <t>吴跃</t>
  </si>
  <si>
    <t>15387142008</t>
  </si>
  <si>
    <t>大沥镇振兴路2号(场内电器车间)103单元松鼠便利（快递不要放驿站，直送到门店）</t>
  </si>
  <si>
    <t>681</t>
  </si>
  <si>
    <t>松鼠便利（肇庆宝翠园店）</t>
  </si>
  <si>
    <t>谢向荣</t>
  </si>
  <si>
    <t>13602953927</t>
  </si>
  <si>
    <t>睦岗街道龙塘北路金刚狼仓库松鼠便利 （快递放门店，不要放驿站）</t>
  </si>
  <si>
    <t>682</t>
  </si>
  <si>
    <t>松鼠便利（广州增城店）</t>
  </si>
  <si>
    <t>松鼠增城店</t>
  </si>
  <si>
    <t>13560050654</t>
  </si>
  <si>
    <t>荔城街道嘉宁路73号松鼠便利店</t>
  </si>
  <si>
    <t>680</t>
  </si>
  <si>
    <t>松鼠便利（广州江夏店）</t>
  </si>
  <si>
    <t>许敦杰</t>
  </si>
  <si>
    <t>15697542666</t>
  </si>
  <si>
    <t>鹤龙街道鹤边村通达创意园西区12栋一楼116档（松鼠便利超市，</t>
  </si>
  <si>
    <t>679</t>
  </si>
  <si>
    <t>松鼠便利（广州人和店）</t>
  </si>
  <si>
    <t>邢晓飞</t>
  </si>
  <si>
    <t>13903794560</t>
  </si>
  <si>
    <t>人和镇人和商业中心人和村商业三街26号松鼠便利超市（快递不要放驿站，辛苦直送门店）</t>
  </si>
  <si>
    <t>678</t>
  </si>
  <si>
    <t>松鼠便利（广州欣荣广场店）</t>
  </si>
  <si>
    <t>欧阳家亮</t>
  </si>
  <si>
    <t>13711703338</t>
  </si>
  <si>
    <t>江埔街道河东南路98号广州防火门厂松鼠便利超市（快递不要放驿站，辛苦直送门店）</t>
  </si>
  <si>
    <t>677</t>
  </si>
  <si>
    <t>松鼠便利（广州远洋店）</t>
  </si>
  <si>
    <t>周玲慧</t>
  </si>
  <si>
    <t>荔城街嘉宁路73号松鼠便利店（快递不要放驿站，请送货上门）</t>
  </si>
  <si>
    <t>CUS00293</t>
  </si>
  <si>
    <t>松鼠便利（韶关太阳城店）</t>
  </si>
  <si>
    <t>王志文</t>
  </si>
  <si>
    <t>18998665650</t>
  </si>
  <si>
    <t>西联镇芙蓉大道1号韶关宝能城2幢1层生鲜超市1层A1室</t>
  </si>
  <si>
    <t>547</t>
  </si>
  <si>
    <t>松鼠便利（佛山罗村店）</t>
  </si>
  <si>
    <t>黎福明</t>
  </si>
  <si>
    <t>13798692683</t>
  </si>
  <si>
    <t>狮山镇罗村城南路罗东市场F1-21之二商铺松鼠便利店</t>
  </si>
  <si>
    <t>461</t>
  </si>
  <si>
    <t>松鼠便利（广州宝岗店）</t>
  </si>
  <si>
    <t>13129333627</t>
  </si>
  <si>
    <t>龙福东二巷（龙福路2号） 松鼠便利宝岗店</t>
  </si>
  <si>
    <t>462</t>
  </si>
  <si>
    <t>松鼠便利（广州荔城店）</t>
  </si>
  <si>
    <t>荔城街嘉宁路73号松鼠便利店</t>
  </si>
  <si>
    <t>818</t>
  </si>
  <si>
    <t>美宜多【华景店】</t>
  </si>
  <si>
    <t>棠下华景新城华景路155号</t>
  </si>
  <si>
    <t>819</t>
  </si>
  <si>
    <t>美宜多【宏宇店】</t>
  </si>
  <si>
    <t>宏宇店</t>
  </si>
  <si>
    <t>里水镇上沙路十里尚提南苑2栋首层127-132号铺</t>
  </si>
  <si>
    <t>820</t>
  </si>
  <si>
    <t>美宜多【中山八店】</t>
  </si>
  <si>
    <t>中山八店</t>
  </si>
  <si>
    <t>富力广场（泮塘路东）</t>
  </si>
  <si>
    <t>821</t>
  </si>
  <si>
    <t>美宜多【东湖店】</t>
  </si>
  <si>
    <t>东湖店</t>
  </si>
  <si>
    <t>大沙头二马路55号之一08铺</t>
  </si>
  <si>
    <t>822</t>
  </si>
  <si>
    <t>美宜多【宏裕店】</t>
  </si>
  <si>
    <t>宏裕店</t>
  </si>
  <si>
    <t>陈村镇道南路1号宏宇安裕公馆3栋102-106号铺</t>
  </si>
  <si>
    <t>823</t>
  </si>
  <si>
    <t>美宜多【羊城店】</t>
  </si>
  <si>
    <t>羊城店</t>
  </si>
  <si>
    <t>中山大道杨桃西路636-637</t>
  </si>
  <si>
    <t>824</t>
  </si>
  <si>
    <t>美宜多【怡安店】</t>
  </si>
  <si>
    <t>怡安店</t>
  </si>
  <si>
    <t>怡安路200-286号怡安花园</t>
  </si>
  <si>
    <t>826</t>
  </si>
  <si>
    <t>美宜多【璀璨店】</t>
  </si>
  <si>
    <t>璀璨店</t>
  </si>
  <si>
    <t>季华六路璀璨天城A4-1-101</t>
  </si>
  <si>
    <t>827</t>
  </si>
  <si>
    <t>美宜多【怡乐店】</t>
  </si>
  <si>
    <t>怡乐店</t>
  </si>
  <si>
    <t>怡乐路76-1号瑜丰大厦</t>
  </si>
  <si>
    <t>828</t>
  </si>
  <si>
    <t>美宜多【普澜店】</t>
  </si>
  <si>
    <t>普澜店</t>
  </si>
  <si>
    <t>祖庙街道普澜一路与卫国路交叉口南40米</t>
  </si>
  <si>
    <t>829</t>
  </si>
  <si>
    <t>美宜多【东泰】</t>
  </si>
  <si>
    <t>东泰</t>
  </si>
  <si>
    <t>文化里11号之一首层</t>
  </si>
  <si>
    <t>830</t>
  </si>
  <si>
    <t>美宜多【云利】</t>
  </si>
  <si>
    <t>云利</t>
  </si>
  <si>
    <t>大龙街金海岸大道47号</t>
  </si>
  <si>
    <t>831</t>
  </si>
  <si>
    <t>美宜多【体育】</t>
  </si>
  <si>
    <t>体育</t>
  </si>
  <si>
    <t>祖庙街道体育路3号之一首层</t>
  </si>
  <si>
    <t>832</t>
  </si>
  <si>
    <t>美宜多【同华】</t>
  </si>
  <si>
    <t>同华</t>
  </si>
  <si>
    <t>祖庙街道同华西二路10号首层之二</t>
  </si>
  <si>
    <t>833</t>
  </si>
  <si>
    <t>美宜多【南浦】</t>
  </si>
  <si>
    <t>南浦</t>
  </si>
  <si>
    <t>洛浦街南浦东乡村南桂路11号</t>
  </si>
  <si>
    <t>834</t>
  </si>
  <si>
    <t>美宜多【东莞庄】</t>
  </si>
  <si>
    <t>东莞庄</t>
  </si>
  <si>
    <t>五山街道东莞庄路130号首层</t>
  </si>
  <si>
    <t>835</t>
  </si>
  <si>
    <t>美宜多【永发】</t>
  </si>
  <si>
    <t>永发店</t>
  </si>
  <si>
    <t>花都永发路5号雅居乐锦城·花间集</t>
  </si>
  <si>
    <t>800</t>
  </si>
  <si>
    <t>美宜多【万寿店】</t>
  </si>
  <si>
    <t>万寿店</t>
  </si>
  <si>
    <t>万寿北路5-3号</t>
  </si>
  <si>
    <t>801</t>
  </si>
  <si>
    <t>美宜多【应元店】</t>
  </si>
  <si>
    <t>应元店</t>
  </si>
  <si>
    <t>越秀应元路129号101房</t>
  </si>
  <si>
    <t>802</t>
  </si>
  <si>
    <t>美宜多【员村店】</t>
  </si>
  <si>
    <t>员村店</t>
  </si>
  <si>
    <t>员村南富大街27号之一</t>
  </si>
  <si>
    <t>803</t>
  </si>
  <si>
    <t>美宜多【龙口西店】</t>
  </si>
  <si>
    <t>龙口西店</t>
  </si>
  <si>
    <t>龙口西路美宜多214号</t>
  </si>
  <si>
    <t>804</t>
  </si>
  <si>
    <t>美宜多【棠下店】</t>
  </si>
  <si>
    <t>棠下店</t>
  </si>
  <si>
    <t>天河区棠下大片北路禾塘尾西三巷24号凉亭街3号</t>
  </si>
  <si>
    <t>805</t>
  </si>
  <si>
    <t>美宜多【西华店】</t>
  </si>
  <si>
    <t>西华店</t>
  </si>
  <si>
    <t>西华路凉亭街3号</t>
  </si>
  <si>
    <t>806</t>
  </si>
  <si>
    <t>美宜多【龙口东店】</t>
  </si>
  <si>
    <t>龙口东店</t>
  </si>
  <si>
    <t>龙口东路331号</t>
  </si>
  <si>
    <t>807</t>
  </si>
  <si>
    <t>美宜多【雅居乐店】</t>
  </si>
  <si>
    <t>雅居乐店</t>
  </si>
  <si>
    <t>雅居乐肉菜市场（南村镇兴南大道398号）</t>
  </si>
  <si>
    <t>808</t>
  </si>
  <si>
    <t>美宜多【江怡店】</t>
  </si>
  <si>
    <t>江怡店</t>
  </si>
  <si>
    <t>江怡路244号102号</t>
  </si>
  <si>
    <t>809</t>
  </si>
  <si>
    <t>美宜多【尚德店】</t>
  </si>
  <si>
    <t>尚德店</t>
  </si>
  <si>
    <t>五山路141号102铺C</t>
  </si>
  <si>
    <t>810</t>
  </si>
  <si>
    <t>美宜多【上社店】</t>
  </si>
  <si>
    <t>上社店</t>
  </si>
  <si>
    <t>棠东下上社口岗新大街34号一楼</t>
  </si>
  <si>
    <t>812</t>
  </si>
  <si>
    <t>美宜多【百合店】</t>
  </si>
  <si>
    <t>百合店</t>
  </si>
  <si>
    <t>百合苑A区</t>
  </si>
  <si>
    <t>813</t>
  </si>
  <si>
    <t>美宜多【东川店】</t>
  </si>
  <si>
    <t>东川店</t>
  </si>
  <si>
    <t>东川青龙里小区7号铺</t>
  </si>
  <si>
    <t>814</t>
  </si>
  <si>
    <t>美宜多【车陂店】</t>
  </si>
  <si>
    <t>车陂店</t>
  </si>
  <si>
    <t>车陂聚福楼（车陂大塘中街）31-3</t>
  </si>
  <si>
    <t>815</t>
  </si>
  <si>
    <t>美宜多【淘金店】</t>
  </si>
  <si>
    <t>淘金店</t>
  </si>
  <si>
    <t>淘金北小区正面一巷2号3号美宜多超市</t>
  </si>
  <si>
    <t>816</t>
  </si>
  <si>
    <t>美宜多【华乐店】</t>
  </si>
  <si>
    <t>华乐店</t>
  </si>
  <si>
    <t>华乐路38号A11-A12广怡大厦</t>
  </si>
  <si>
    <t>817</t>
  </si>
  <si>
    <t>美宜多【金沙店】</t>
  </si>
  <si>
    <t>金沙店</t>
  </si>
  <si>
    <t>富力.金街28北区（沙凤一路南50米）</t>
  </si>
  <si>
    <t>KH00492</t>
  </si>
  <si>
    <t>城市小铺（佛山-军桥店）</t>
  </si>
  <si>
    <t>15976677537</t>
  </si>
  <si>
    <t>广东省佛山市禅城区佛平路62号4号楼1楼城市小铺（送货上门，不要放代收点）</t>
  </si>
  <si>
    <t>KH00495</t>
  </si>
  <si>
    <t>值小团（东莞凤岗店）</t>
  </si>
  <si>
    <t>凤岗镇排沙围两渡河横巷3号102室美居公寓 值小团精品超市收</t>
  </si>
  <si>
    <t>KH00496</t>
  </si>
  <si>
    <t>畅盈到家超市（广州员村店）</t>
  </si>
  <si>
    <t>15270713452</t>
  </si>
  <si>
    <t>员村三横路直街1号107铺畅盈到家超市员村店</t>
  </si>
  <si>
    <t>KH00497</t>
  </si>
  <si>
    <t>值小团精品超市（佛山禅城店）最晚收货到晚上10点</t>
  </si>
  <si>
    <t>禅城门店</t>
  </si>
  <si>
    <t>18689300841</t>
  </si>
  <si>
    <t>张槎街道粥唐村三星岗大楼首层之一厂房一楼值小团超市</t>
  </si>
  <si>
    <t>KH00498</t>
  </si>
  <si>
    <t>值小团精品超市（佛山大良店）最晚收货到晚上10点</t>
  </si>
  <si>
    <t>大良店</t>
  </si>
  <si>
    <t>19019411173</t>
  </si>
  <si>
    <t>大良街道金榜社区105国道牛岗山3号B座2楼值小团超市</t>
  </si>
  <si>
    <t>KH00499</t>
  </si>
  <si>
    <t>小柴购（佛山-华南仓）</t>
  </si>
  <si>
    <t>王森荣</t>
  </si>
  <si>
    <t>18665569296</t>
  </si>
  <si>
    <t>广东省佛山市顺德区人寿里大街与北尾坊大街交叉口西南方向346米左右（导航至佛山美安物流园）</t>
  </si>
  <si>
    <t>汇总表</t>
    <phoneticPr fontId="2" type="noConversion"/>
  </si>
  <si>
    <t>去重列</t>
    <phoneticPr fontId="2" type="noConversion"/>
  </si>
  <si>
    <t>保留列</t>
    <phoneticPr fontId="2" type="noConversion"/>
  </si>
  <si>
    <t>汇总列</t>
    <phoneticPr fontId="2" type="noConversion"/>
  </si>
  <si>
    <t>收货单位</t>
  </si>
  <si>
    <t>收货地址</t>
    <phoneticPr fontId="2" type="noConversion"/>
  </si>
  <si>
    <t>整件数</t>
    <phoneticPr fontId="10" type="noConversion"/>
  </si>
  <si>
    <r>
      <rPr>
        <b/>
        <sz val="12"/>
        <rFont val="微软雅黑"/>
        <family val="2"/>
        <charset val="134"/>
      </rPr>
      <t>散件数</t>
    </r>
  </si>
  <si>
    <t>重量</t>
    <phoneticPr fontId="2" type="noConversion"/>
  </si>
  <si>
    <t>方数</t>
    <phoneticPr fontId="2" type="noConversion"/>
  </si>
  <si>
    <t>收货单位</t>
    <phoneticPr fontId="2" type="noConversion"/>
  </si>
  <si>
    <t>整件数</t>
    <phoneticPr fontId="2" type="noConversion"/>
  </si>
  <si>
    <t>散件数</t>
    <phoneticPr fontId="2" type="noConversion"/>
  </si>
  <si>
    <t>广东省广州市黄埔区夏港街道临江路3号自编
102房熊猫很忙6688</t>
  </si>
  <si>
    <t>鲸选超市（广州板桥店)</t>
  </si>
  <si>
    <t>广东省广州市番禺区南村镇南村镇兴南大道
902号板桥商务大厦3楼315号</t>
  </si>
  <si>
    <t>鲸选超市（广州番禺店)</t>
  </si>
  <si>
    <t>广东省广州市番禺区南村镇南村镇敏捷上城国
际【2期2座112店铺2楼京东便利店仓库】</t>
  </si>
  <si>
    <t>广东省广州市番禺区南村镇南村镇登云大路
2号之六105房</t>
  </si>
  <si>
    <t>广东省广州市番禺区大石街道大石街大山村富
山路四街1号胜文工业园2栋1楼103室</t>
  </si>
  <si>
    <t>广东省广州市番禺区大石街道大石街道大石镇
朝阳东路170号201房值小团超市（原玲丰服饰
)</t>
  </si>
  <si>
    <t>鲸选超市（广州大石店)</t>
  </si>
  <si>
    <t>广东省广州市番禺区大石街道大石街道大涌路
157号大石伟讯电子数码城4楼421铺</t>
  </si>
  <si>
    <t>广东省广州市荔湾区白鹤洞街道鹤洞路346号
218室2楼送货上门6688不放驿站</t>
  </si>
  <si>
    <t>广东省广州市荔湾区白鹤洞街道坑口大街 138
号红岗工业区1 号首层 101、102 室</t>
  </si>
  <si>
    <t>鲸选超市（广州芳村店)</t>
  </si>
  <si>
    <t>广东省广州市荔湾区冲口街道花溪路3号 坑口
工业区1栋2楼215鲸选超市里面(有电梯)</t>
  </si>
  <si>
    <t>广东省广州市海珠区南石头街道南石头街道工
业大道中路385号大院11号楼224房</t>
  </si>
  <si>
    <t>广东省广州市海珠区昌岗街道信雅路54</t>
  </si>
  <si>
    <t>熊猫很忙（夏园店-广东广州）
（直营）</t>
    <phoneticPr fontId="2" type="noConversion"/>
  </si>
  <si>
    <t>批次号（发车单号）</t>
    <phoneticPr fontId="2" type="noConversion"/>
  </si>
  <si>
    <t>原始数据（输入列）</t>
    <phoneticPr fontId="2" type="noConversion"/>
  </si>
  <si>
    <t>FS-WB-SAMPLE-01</t>
  </si>
  <si>
    <t>FS-WB-SAMPLE-02</t>
  </si>
  <si>
    <t>FS-WB-SAMPLE-03</t>
  </si>
  <si>
    <t>FS-WB-SAMPLE-04</t>
  </si>
  <si>
    <t>FS-WB-SAMPLE-05</t>
  </si>
  <si>
    <t>FS-WB-SAMPLE-06</t>
  </si>
  <si>
    <t>FS-WB-SAMPLE-07</t>
  </si>
  <si>
    <t>FS-WB-SAMPLE-08</t>
  </si>
  <si>
    <t>FS-WB-SAMPLE-09</t>
  </si>
  <si>
    <t>FS-WB-SAMPLE-10</t>
  </si>
  <si>
    <t>FS-WB-SAMPLE-11</t>
  </si>
  <si>
    <t>FS-WB-SAMPLE-12</t>
  </si>
  <si>
    <t>仓库名称</t>
    <phoneticPr fontId="2" type="noConversion"/>
  </si>
  <si>
    <t>WH</t>
    <phoneticPr fontId="2" type="noConversion"/>
  </si>
  <si>
    <t>周日配送</t>
  </si>
  <si>
    <t>周六配送</t>
  </si>
  <si>
    <t>周五配送</t>
  </si>
  <si>
    <t>周四配送</t>
  </si>
  <si>
    <t>周三配送</t>
  </si>
  <si>
    <t>周二配送</t>
  </si>
  <si>
    <t>周一配送</t>
  </si>
  <si>
    <t>地库限高</t>
  </si>
  <si>
    <t>上楼层数</t>
  </si>
  <si>
    <t>保温箱置换</t>
  </si>
  <si>
    <t>托盘置换</t>
  </si>
  <si>
    <t>小巷子</t>
  </si>
  <si>
    <t>停车费_小时</t>
  </si>
  <si>
    <t>免费停车时长_分钟</t>
  </si>
  <si>
    <t>违停</t>
  </si>
  <si>
    <t>不收货时间段</t>
  </si>
  <si>
    <t>收货时间段</t>
  </si>
  <si>
    <t>截止收货时间</t>
  </si>
  <si>
    <t>开始收货时间</t>
  </si>
  <si>
    <t>仓库偏好</t>
  </si>
  <si>
    <t>线路偏好</t>
  </si>
  <si>
    <t>客户地址</t>
  </si>
  <si>
    <t>客户序号</t>
  </si>
  <si>
    <t>部门名称</t>
  </si>
  <si>
    <t>组织</t>
  </si>
  <si>
    <t>联系电话</t>
  </si>
  <si>
    <t>客户编号</t>
  </si>
  <si>
    <t>门店节点编号</t>
  </si>
  <si>
    <t>运单号</t>
  </si>
  <si>
    <t>自定义字段1</t>
  </si>
  <si>
    <t>订单备注</t>
  </si>
  <si>
    <t>创建日期</t>
  </si>
  <si>
    <t>审核人</t>
  </si>
  <si>
    <t>制单人</t>
  </si>
  <si>
    <t>物流状态</t>
  </si>
  <si>
    <t>单据状态</t>
  </si>
  <si>
    <t>结算状态</t>
  </si>
  <si>
    <t>支付状态</t>
  </si>
  <si>
    <t>审核日期</t>
  </si>
  <si>
    <t>单据日期</t>
  </si>
  <si>
    <t>单据来源</t>
  </si>
  <si>
    <t>业务类型</t>
  </si>
  <si>
    <t>单据类型</t>
  </si>
  <si>
    <t>第三方单据号</t>
  </si>
  <si>
    <t>来源参考号</t>
  </si>
  <si>
    <t>销售订单号</t>
  </si>
  <si>
    <t>单据号</t>
  </si>
  <si>
    <t>订单行编号</t>
  </si>
  <si>
    <t>明细备注</t>
  </si>
  <si>
    <t>总体积</t>
  </si>
  <si>
    <t>总毛重</t>
  </si>
  <si>
    <t>商品单件体积</t>
  </si>
  <si>
    <t>商品单件毛重</t>
  </si>
  <si>
    <t>低于标准价</t>
  </si>
  <si>
    <t>高于标准价</t>
  </si>
  <si>
    <t>毛利率</t>
  </si>
  <si>
    <t>毛利</t>
  </si>
  <si>
    <t>成本金额</t>
  </si>
  <si>
    <t>不含税金额</t>
  </si>
  <si>
    <t>税额</t>
  </si>
  <si>
    <t>未结算金额</t>
  </si>
  <si>
    <t>已结算金额</t>
  </si>
  <si>
    <t>金额</t>
  </si>
  <si>
    <t>小单位单价</t>
  </si>
  <si>
    <t>单据单价</t>
  </si>
  <si>
    <t>换货数量</t>
  </si>
  <si>
    <t>赠品数量</t>
  </si>
  <si>
    <t>箱数</t>
  </si>
  <si>
    <t>小单位数量</t>
  </si>
  <si>
    <t>单据数量</t>
  </si>
  <si>
    <t>基本数量</t>
  </si>
  <si>
    <t>小单位</t>
  </si>
  <si>
    <t>单据单位</t>
  </si>
  <si>
    <t>基本单位</t>
  </si>
  <si>
    <t>类别</t>
  </si>
  <si>
    <t>品牌</t>
  </si>
  <si>
    <t>条码</t>
  </si>
  <si>
    <t>规格</t>
  </si>
  <si>
    <t>商品名称</t>
  </si>
  <si>
    <t>货号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</si>
</sst>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15" x14ac:knownFonts="1">
    <font>
      <sz val="11"/>
      <color theme="1"/>
      <name val="宋体"/>
      <family val="2"/>
      <scheme val="minor"/>
    </font>
    <font>
      <b/>
      <sz val="11"/>
      <name val="宋体"/>
      <family val="3"/>
      <charset val="134"/>
    </font>
    <font>
      <sz val="9"/>
      <name val="宋体"/>
      <family val="3"/>
      <charset val="134"/>
      <scheme val="minor"/>
    </font>
    <font>
      <b/>
      <sz val="11"/>
      <color rgb="FF000000"/>
      <name val="微软雅黑"/>
      <family val="2"/>
      <charset val="134"/>
    </font>
    <font>
      <b/>
      <sz val="11"/>
      <color indexed="8"/>
      <name val="Calibri"/>
      <family val="2"/>
    </font>
    <font>
      <b/>
      <sz val="11"/>
      <color rgb="FF000000"/>
      <name val="宋体"/>
      <family val="2"/>
      <charset val="134"/>
    </font>
    <font>
      <b/>
      <sz val="8.5"/>
      <color rgb="FF000000"/>
      <name val="微软雅黑"/>
      <family val="2"/>
      <charset val="134"/>
    </font>
    <font>
      <sz val="9"/>
      <name val="宋体"/>
      <family val="2"/>
      <charset val="134"/>
      <scheme val="minor"/>
    </font>
    <font>
      <b/>
      <sz val="11"/>
      <color theme="1"/>
      <name val="微软雅黑"/>
      <family val="2"/>
      <charset val="134"/>
    </font>
    <font>
      <b/>
      <sz val="12"/>
      <name val="微软雅黑"/>
      <family val="2"/>
      <charset val="134"/>
    </font>
    <font>
      <sz val="9"/>
      <name val="宋体"/>
      <family val="3"/>
      <charset val="134"/>
    </font>
    <font>
      <b/>
      <sz val="12"/>
      <color rgb="FF000000"/>
      <name val="微软雅黑"/>
      <family val="2"/>
      <charset val="134"/>
    </font>
    <font>
      <sz val="11"/>
      <color theme="1"/>
      <name val="宋体"/>
      <family val="3"/>
      <charset val="134"/>
      <scheme val="minor"/>
    </font>
    <font>
      <b/>
      <sz val="14"/>
      <color rgb="FFC00000"/>
      <name val="宋体"/>
      <family val="3"/>
      <charset val="134"/>
      <scheme val="minor"/>
    </font>
    <font>
      <b/>
      <sz val="12"/>
      <color rgb="FFC00000"/>
      <name val="宋体"/>
      <family val="3"/>
      <charset val="134"/>
      <scheme val="minor"/>
    </font>
  </fonts>
  <fills count="8">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5">
    <xf numFmtId="0" fontId="0" fillId="0" borderId="0" xfId="0"/>
    <xf numFmtId="0" fontId="1" fillId="0" borderId="0" xfId="0" applyFont="1"/>
    <xf numFmtId="0" fontId="0" fillId="0" borderId="1" xfId="0" applyBorder="1" applyAlignment="1">
      <alignment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5" fillId="4" borderId="0" xfId="0" applyFont="1" applyFill="1" applyAlignment="1">
      <alignment horizontal="center" vertical="center" wrapText="1"/>
    </xf>
    <xf numFmtId="0" fontId="0" fillId="4" borderId="0" xfId="0" applyFill="1" applyAlignment="1">
      <alignment wrapText="1"/>
    </xf>
    <xf numFmtId="176" fontId="0" fillId="4" borderId="0" xfId="0" applyNumberFormat="1" applyFill="1" applyAlignment="1">
      <alignment wrapText="1"/>
    </xf>
    <xf numFmtId="0" fontId="6" fillId="0" borderId="0" xfId="0" applyFont="1" applyAlignment="1">
      <alignment vertical="center" wrapText="1"/>
    </xf>
    <xf numFmtId="0" fontId="6" fillId="3" borderId="0" xfId="0" applyFont="1" applyFill="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5" borderId="0" xfId="0" applyFill="1" applyAlignment="1">
      <alignment horizontal="left" vertical="center" wrapText="1"/>
    </xf>
    <xf numFmtId="0" fontId="0" fillId="0" borderId="0" xfId="0" applyAlignment="1">
      <alignment vertical="center"/>
    </xf>
    <xf numFmtId="0" fontId="8" fillId="0" borderId="6" xfId="0" applyFont="1" applyBorder="1" applyAlignment="1">
      <alignment horizontal="center" vertical="center"/>
    </xf>
    <xf numFmtId="0" fontId="8" fillId="0" borderId="11" xfId="0" applyFont="1" applyBorder="1" applyAlignment="1">
      <alignment vertical="center"/>
    </xf>
    <xf numFmtId="0" fontId="12" fillId="0" borderId="0" xfId="0" applyFont="1" applyAlignment="1">
      <alignment vertical="center"/>
    </xf>
    <xf numFmtId="0" fontId="8" fillId="0" borderId="13" xfId="0" applyFont="1" applyBorder="1" applyAlignment="1">
      <alignment vertical="center"/>
    </xf>
    <xf numFmtId="0" fontId="8" fillId="0" borderId="16" xfId="0" applyFont="1" applyBorder="1" applyAlignment="1">
      <alignment vertical="center"/>
    </xf>
    <xf numFmtId="0" fontId="0" fillId="0" borderId="17" xfId="0"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7" xfId="0" applyBorder="1" applyAlignment="1">
      <alignment vertical="center"/>
    </xf>
    <xf numFmtId="0" fontId="0" fillId="0" borderId="1" xfId="0" applyBorder="1" applyAlignment="1">
      <alignment vertical="center"/>
    </xf>
    <xf numFmtId="0" fontId="8" fillId="0" borderId="7" xfId="0" applyFont="1" applyBorder="1" applyAlignment="1">
      <alignment horizontal="center" vertical="center" wrapText="1"/>
    </xf>
    <xf numFmtId="0" fontId="8" fillId="0" borderId="12" xfId="0" applyFont="1" applyBorder="1" applyAlignment="1">
      <alignment vertical="center" wrapText="1"/>
    </xf>
    <xf numFmtId="0" fontId="12" fillId="0" borderId="17" xfId="0" applyFont="1" applyBorder="1" applyAlignment="1">
      <alignment horizontal="left" vertical="top" wrapText="1"/>
    </xf>
    <xf numFmtId="0" fontId="0" fillId="0" borderId="17" xfId="0" applyBorder="1" applyAlignment="1">
      <alignment vertical="center" wrapText="1"/>
    </xf>
    <xf numFmtId="0" fontId="13" fillId="6" borderId="18" xfId="0" applyFont="1" applyFill="1" applyBorder="1" applyAlignment="1">
      <alignment vertical="center"/>
    </xf>
    <xf numFmtId="0" fontId="14" fillId="6" borderId="0" xfId="0" applyFont="1" applyFill="1" applyAlignment="1">
      <alignment vertical="center"/>
    </xf>
    <xf numFmtId="0" fontId="8" fillId="7" borderId="6" xfId="0" applyFont="1" applyFill="1" applyBorder="1" applyAlignment="1">
      <alignment horizontal="center" vertical="center"/>
    </xf>
    <xf numFmtId="0" fontId="8" fillId="7" borderId="7" xfId="0" applyFont="1" applyFill="1" applyBorder="1" applyAlignment="1">
      <alignment horizontal="center" vertical="center"/>
    </xf>
    <xf numFmtId="0" fontId="8" fillId="7" borderId="11" xfId="0" applyFont="1" applyFill="1" applyBorder="1" applyAlignment="1">
      <alignment vertical="center"/>
    </xf>
    <xf numFmtId="0" fontId="8" fillId="7" borderId="12" xfId="0" applyFont="1" applyFill="1" applyBorder="1" applyAlignment="1">
      <alignment vertical="center"/>
    </xf>
    <xf numFmtId="0" fontId="9" fillId="7" borderId="13"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8" fillId="7" borderId="14" xfId="0" applyFont="1" applyFill="1" applyBorder="1" applyAlignment="1">
      <alignment vertical="center"/>
    </xf>
    <xf numFmtId="0" fontId="8" fillId="7" borderId="15" xfId="0" applyFont="1" applyFill="1" applyBorder="1" applyAlignment="1">
      <alignment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7" borderId="8" xfId="0" applyFont="1" applyFill="1" applyBorder="1" applyAlignment="1">
      <alignment horizontal="center" vertical="center"/>
    </xf>
    <xf numFmtId="0" fontId="8" fillId="7" borderId="9" xfId="0" applyFont="1" applyFill="1" applyBorder="1" applyAlignment="1">
      <alignment horizontal="center" vertical="center"/>
    </xf>
    <xf numFmtId="0" fontId="8" fillId="7" borderId="10" xfId="0" applyFont="1" applyFill="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1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6"/>
  <sheetViews>
    <sheetView workbookViewId="0">
      <selection activeCell="D2" sqref="D2"/>
    </sheetView>
  </sheetViews>
  <sheetFormatPr defaultRowHeight="14" x14ac:dyDescent="0.25"/>
  <cols>
    <col min="1" max="2" width="20" customWidth="1"/>
    <col min="3" max="3" width="13.81640625" customWidth="1"/>
    <col min="4" max="4" width="34" customWidth="1"/>
    <col min="5" max="5" width="14" customWidth="1"/>
    <col min="6" max="6" width="13" customWidth="1"/>
    <col min="7" max="7" width="32.81640625" customWidth="1"/>
    <col min="8" max="8" width="15" customWidth="1"/>
    <col min="9" max="9" width="40" customWidth="1"/>
    <col min="10" max="10" width="13.08984375" customWidth="1"/>
    <col min="11" max="11" width="9.7265625" customWidth="1"/>
    <col min="12" max="12" width="15" customWidth="1"/>
    <col min="13" max="13" width="11" customWidth="1"/>
  </cols>
  <sheetData>
    <row r="1" spans="1:15" x14ac:dyDescent="0.25">
      <c r="A1" t="s">
        <v>35</v>
      </c>
      <c r="B1" t="s">
        <v>34</v>
      </c>
      <c r="C1" t="s">
        <v>5</v>
      </c>
      <c r="D1" t="s">
        <v>6</v>
      </c>
      <c r="E1" t="s">
        <v>8</v>
      </c>
      <c r="F1" t="s">
        <v>9</v>
      </c>
      <c r="G1" t="s">
        <v>7</v>
      </c>
      <c r="H1" t="s">
        <v>10</v>
      </c>
      <c r="I1" t="s">
        <v>11</v>
      </c>
      <c r="J1" t="s">
        <v>0</v>
      </c>
      <c r="K1" t="s">
        <v>1</v>
      </c>
      <c r="L1" t="s">
        <v>2</v>
      </c>
      <c r="M1" t="s">
        <v>3</v>
      </c>
      <c r="N1" t="s">
        <v>4</v>
      </c>
      <c r="O1" t="s">
        <v>5729</v>
      </c>
    </row>
    <row r="2" spans="1:15" ht="25.5" customHeight="1" x14ac:dyDescent="0.25">
      <c r="A2" t="str">
        <f>数据输入表!B1</f>
        <v>LC20260421000980</v>
      </c>
      <c r="B2" t="s">
        <v>5717</v>
      </c>
      <c r="C2" t="str">
        <f>IF(D2&lt;&gt;"",ROW()-1,"")</f>
        <v/>
      </c>
      <c r="E2" t="str">
        <f>IF(D2="","",IFERROR(_xlfn.XLOOKUP(D2,客户信息底表!B:B,客户信息底表!Q:Q,,0),IFERROR(_xlfn.XLOOKUP(D2,客户信息底表!BB:BB,客户信息底表!Q:Q,,0),IFERROR(_xlfn.XLOOKUP(D2,客户信息底表!BC:BC,客户信息底表!Q:Q,,0),IFERROR(_xlfn.XLOOKUP(D2,客户信息底表!BD:BD,客户信息底表!Q:Q,,0),"底表未登记")))))</f>
        <v/>
      </c>
      <c r="F2" t="str">
        <f>IF(D2="","",IFERROR(_xlfn.XLOOKUP(D2,客户信息底表!B:B,客户信息底表!R:R,,0),IFERROR(_xlfn.XLOOKUP(D2,客户信息底表!BB:BB,客户信息底表!R:R,,0),IFERROR(_xlfn.XLOOKUP(D2,客户信息底表!BC:BC,客户信息底表!R:R,,0),IFERROR(_xlfn.XLOOKUP(D2,客户信息底表!BD:BD,客户信息底表!R:R,,0),"底表未登记")))))</f>
        <v/>
      </c>
      <c r="G2" s="2" t="str">
        <f>IF(D2="","",IFERROR(_xlfn.XLOOKUP(D2,客户信息底表!B:B,客户信息底表!L:L,,0),IFERROR(_xlfn.XLOOKUP(D2,客户信息底表!BB:BB,客户信息底表!L:L,,0),IFERROR(_xlfn.XLOOKUP(D2,客户信息底表!BC:BC,客户信息底表!L:L,,0),IFERROR(_xlfn.XLOOKUP(D2,客户信息底表!BD:BD,客户信息底表!L:L,,0),"底表未登记")))))</f>
        <v/>
      </c>
      <c r="H2" t="str">
        <f>IF(D2="","",IFERROR(_xlfn.XLOOKUP(D2,客户信息底表!B:B,客户信息底表!G:G,,0),IFERROR(_xlfn.XLOOKUP(D2,客户信息底表!BB:BB,客户信息底表!G:G,,0),IFERROR(_xlfn.XLOOKUP(D2,客户信息底表!BC:BC,客户信息底表!G:G,,0),IFERROR(_xlfn.XLOOKUP(D2,客户信息底表!BD:BD,客户信息底表!G:G,,0),"底表未登记")))))</f>
        <v/>
      </c>
      <c r="I2" t="str">
        <f>IF(D2="","","整："&amp;数据输入表!J5&amp;"，散："&amp;数据输入表!K5&amp;"；重量kg："&amp;数据输入表!L5&amp;"，体积："&amp;数据输入表!M5)</f>
        <v/>
      </c>
      <c r="J2" s="54">
        <v>46136</v>
      </c>
      <c r="O2" t="s">
        <v>5730</v>
      </c>
    </row>
    <row r="3" spans="1:15" ht="28" x14ac:dyDescent="0.25">
      <c r="A3" t="str">
        <f>IF(D3&lt;&gt;"",$A$2,"")</f>
        <v>LC20260421000980</v>
      </c>
      <c r="B3" t="s">
        <v>5718</v>
      </c>
      <c r="C3">
        <f t="shared" ref="C3:C66" si="0">IF(D3&lt;&gt;"",ROW()-1,"")</f>
        <v>2</v>
      </c>
      <c r="D3" t="str">
        <f>IF(数据输入表!H6="","",数据输入表!H6)</f>
        <v>鲸选超市（广州板桥店)</v>
      </c>
      <c r="E3">
        <f>IF(D3="","",IFERROR(_xlfn.XLOOKUP(D3,客户信息底表!B:B,客户信息底表!Q:Q,,0),IFERROR(_xlfn.XLOOKUP(D3,客户信息底表!BB:BB,客户信息底表!Q:Q,,0),IFERROR(_xlfn.XLOOKUP(D3,客户信息底表!BC:BC,客户信息底表!Q:Q,,0),IFERROR(_xlfn.XLOOKUP(D3,客户信息底表!BD:BD,客户信息底表!Q:Q,,0),"底表未登记")))))</f>
        <v>113.387934</v>
      </c>
      <c r="F3">
        <f>IF(D3="","",IFERROR(_xlfn.XLOOKUP(D3,客户信息底表!B:B,客户信息底表!R:R,,0),IFERROR(_xlfn.XLOOKUP(D3,客户信息底表!BB:BB,客户信息底表!R:R,,0),IFERROR(_xlfn.XLOOKUP(D3,客户信息底表!BC:BC,客户信息底表!R:R,,0),IFERROR(_xlfn.XLOOKUP(D3,客户信息底表!BD:BD,客户信息底表!R:R,,0),"底表未登记")))))</f>
        <v>23.009784</v>
      </c>
      <c r="G3" s="2" t="str">
        <f>IF(D3="","",IFERROR(_xlfn.XLOOKUP(D3,客户信息底表!B:B,客户信息底表!L:L,,0),IFERROR(_xlfn.XLOOKUP(D3,客户信息底表!BB:BB,客户信息底表!L:L,,0),IFERROR(_xlfn.XLOOKUP(D3,客户信息底表!BC:BC,客户信息底表!L:L,,0),IFERROR(_xlfn.XLOOKUP(D3,客户信息底表!BD:BD,客户信息底表!L:L,,0),"底表未登记")))))</f>
        <v>南村镇兴南大道902号板桥商务大厦3楼315号</v>
      </c>
      <c r="H3" t="str">
        <f>IF(D3="","",IFERROR(_xlfn.XLOOKUP(D3,客户信息底表!B:B,客户信息底表!G:G,,0),IFERROR(_xlfn.XLOOKUP(D3,客户信息底表!BB:BB,客户信息底表!G:G,,0),IFERROR(_xlfn.XLOOKUP(D3,客户信息底表!BC:BC,客户信息底表!G:G,,0),IFERROR(_xlfn.XLOOKUP(D3,客户信息底表!BD:BD,客户信息底表!G:G,,0),"底表未登记")))))</f>
        <v>13533764129</v>
      </c>
      <c r="I3" t="str">
        <f>IF(D3="","","整："&amp;数据输入表!J6&amp;"，散："&amp;数据输入表!K6&amp;"；重量kg："&amp;数据输入表!L6&amp;"，体积："&amp;数据输入表!M6)</f>
        <v>整：11，散：190；重量kg：190，体积：0.03</v>
      </c>
      <c r="J3" s="54">
        <v>46136</v>
      </c>
      <c r="O3" t="s">
        <v>5730</v>
      </c>
    </row>
    <row r="4" spans="1:15" ht="28" x14ac:dyDescent="0.25">
      <c r="A4" t="str">
        <f t="shared" ref="A4:A67" si="1">IF(D4&lt;&gt;"",$A$2,"")</f>
        <v>LC20260421000980</v>
      </c>
      <c r="B4" t="s">
        <v>5719</v>
      </c>
      <c r="C4">
        <f t="shared" si="0"/>
        <v>3</v>
      </c>
      <c r="D4" t="str">
        <f>IF(数据输入表!H7="","",数据输入表!H7)</f>
        <v>鲸选超市（广州番禺店)</v>
      </c>
      <c r="E4">
        <f>IF(D4="","",IFERROR(_xlfn.XLOOKUP(D4,客户信息底表!B:B,客户信息底表!Q:Q,,0),IFERROR(_xlfn.XLOOKUP(D4,客户信息底表!BB:BB,客户信息底表!Q:Q,,0),IFERROR(_xlfn.XLOOKUP(D4,客户信息底表!BC:BC,客户信息底表!Q:Q,,0),IFERROR(_xlfn.XLOOKUP(D4,客户信息底表!BD:BD,客户信息底表!Q:Q,,0),"底表未登记")))))</f>
        <v>113.35109199999999</v>
      </c>
      <c r="F4">
        <f>IF(D4="","",IFERROR(_xlfn.XLOOKUP(D4,客户信息底表!B:B,客户信息底表!R:R,,0),IFERROR(_xlfn.XLOOKUP(D4,客户信息底表!BB:BB,客户信息底表!R:R,,0),IFERROR(_xlfn.XLOOKUP(D4,客户信息底表!BC:BC,客户信息底表!R:R,,0),IFERROR(_xlfn.XLOOKUP(D4,客户信息底表!BD:BD,客户信息底表!R:R,,0),"底表未登记")))))</f>
        <v>23.001303</v>
      </c>
      <c r="G4" s="2" t="str">
        <f>IF(D4="","",IFERROR(_xlfn.XLOOKUP(D4,客户信息底表!B:B,客户信息底表!L:L,,0),IFERROR(_xlfn.XLOOKUP(D4,客户信息底表!BB:BB,客户信息底表!L:L,,0),IFERROR(_xlfn.XLOOKUP(D4,客户信息底表!BC:BC,客户信息底表!L:L,,0),IFERROR(_xlfn.XLOOKUP(D4,客户信息底表!BD:BD,客户信息底表!L:L,,0),"底表未登记")))))</f>
        <v>南村镇敏捷上城国际【2期2座112店铺2楼京东便利店仓库】</v>
      </c>
      <c r="H4" t="str">
        <f>IF(D4="","",IFERROR(_xlfn.XLOOKUP(D4,客户信息底表!B:B,客户信息底表!G:G,,0),IFERROR(_xlfn.XLOOKUP(D4,客户信息底表!BB:BB,客户信息底表!G:G,,0),IFERROR(_xlfn.XLOOKUP(D4,客户信息底表!BC:BC,客户信息底表!G:G,,0),IFERROR(_xlfn.XLOOKUP(D4,客户信息底表!BD:BD,客户信息底表!G:G,,0),"底表未登记")))))</f>
        <v>13533764129</v>
      </c>
      <c r="I4" t="str">
        <f>IF(D4="","","整："&amp;数据输入表!J7&amp;"，散："&amp;数据输入表!K7&amp;"；重量kg："&amp;数据输入表!L7&amp;"，体积："&amp;数据输入表!M7)</f>
        <v>整：4，散：110；重量kg：110，体积：0.01</v>
      </c>
      <c r="J4" s="54">
        <v>46136</v>
      </c>
      <c r="O4" t="s">
        <v>5730</v>
      </c>
    </row>
    <row r="5" spans="1:15" x14ac:dyDescent="0.25">
      <c r="A5" t="str">
        <f t="shared" si="1"/>
        <v>LC20260421000980</v>
      </c>
      <c r="B5" t="s">
        <v>5720</v>
      </c>
      <c r="C5">
        <f t="shared" si="0"/>
        <v>4</v>
      </c>
      <c r="D5" t="str">
        <f>IF(数据输入表!H8="","",数据输入表!H8)</f>
        <v>时光里便利超市（广州番禺万博店）</v>
      </c>
      <c r="E5">
        <f>IF(D5="","",IFERROR(_xlfn.XLOOKUP(D5,客户信息底表!B:B,客户信息底表!Q:Q,,0),IFERROR(_xlfn.XLOOKUP(D5,客户信息底表!BB:BB,客户信息底表!Q:Q,,0),IFERROR(_xlfn.XLOOKUP(D5,客户信息底表!BC:BC,客户信息底表!Q:Q,,0),IFERROR(_xlfn.XLOOKUP(D5,客户信息底表!BD:BD,客户信息底表!Q:Q,,0),"底表未登记")))))</f>
        <v>113.34426000000001</v>
      </c>
      <c r="F5">
        <f>IF(D5="","",IFERROR(_xlfn.XLOOKUP(D5,客户信息底表!B:B,客户信息底表!R:R,,0),IFERROR(_xlfn.XLOOKUP(D5,客户信息底表!BB:BB,客户信息底表!R:R,,0),IFERROR(_xlfn.XLOOKUP(D5,客户信息底表!BC:BC,客户信息底表!R:R,,0),IFERROR(_xlfn.XLOOKUP(D5,客户信息底表!BD:BD,客户信息底表!R:R,,0),"底表未登记")))))</f>
        <v>23.013172999999998</v>
      </c>
      <c r="G5" s="2" t="str">
        <f>IF(D5="","",IFERROR(_xlfn.XLOOKUP(D5,客户信息底表!B:B,客户信息底表!L:L,,0),IFERROR(_xlfn.XLOOKUP(D5,客户信息底表!BB:BB,客户信息底表!L:L,,0),IFERROR(_xlfn.XLOOKUP(D5,客户信息底表!BC:BC,客户信息底表!L:L,,0),IFERROR(_xlfn.XLOOKUP(D5,客户信息底表!BD:BD,客户信息底表!L:L,,0),"底表未登记")))))</f>
        <v>南村镇登云大路2号之六105房</v>
      </c>
      <c r="H5" t="str">
        <f>IF(D5="","",IFERROR(_xlfn.XLOOKUP(D5,客户信息底表!B:B,客户信息底表!G:G,,0),IFERROR(_xlfn.XLOOKUP(D5,客户信息底表!BB:BB,客户信息底表!G:G,,0),IFERROR(_xlfn.XLOOKUP(D5,客户信息底表!BC:BC,客户信息底表!G:G,,0),IFERROR(_xlfn.XLOOKUP(D5,客户信息底表!BD:BD,客户信息底表!G:G,,0),"底表未登记")))))</f>
        <v>13318758760</v>
      </c>
      <c r="I5" t="str">
        <f>IF(D5="","","整："&amp;数据输入表!J8&amp;"，散："&amp;数据输入表!K8&amp;"；重量kg："&amp;数据输入表!L8&amp;"，体积："&amp;数据输入表!M8)</f>
        <v>整：6，散：107；重量kg：107，体积：0.05</v>
      </c>
      <c r="J5" s="54">
        <v>46136</v>
      </c>
      <c r="O5" t="s">
        <v>5730</v>
      </c>
    </row>
    <row r="6" spans="1:15" ht="28" x14ac:dyDescent="0.25">
      <c r="A6" t="str">
        <f t="shared" si="1"/>
        <v>LC20260421000980</v>
      </c>
      <c r="B6" t="s">
        <v>5721</v>
      </c>
      <c r="C6">
        <f t="shared" si="0"/>
        <v>5</v>
      </c>
      <c r="D6" t="str">
        <f>IF(数据输入表!H9="","",数据输入表!H9)</f>
        <v>熊猫很忙（大石店-广东广州）</v>
      </c>
      <c r="E6">
        <f>IF(D6="","",IFERROR(_xlfn.XLOOKUP(D6,客户信息底表!B:B,客户信息底表!Q:Q,,0),IFERROR(_xlfn.XLOOKUP(D6,客户信息底表!BB:BB,客户信息底表!Q:Q,,0),IFERROR(_xlfn.XLOOKUP(D6,客户信息底表!BC:BC,客户信息底表!Q:Q,,0),IFERROR(_xlfn.XLOOKUP(D6,客户信息底表!BD:BD,客户信息底表!Q:Q,,0),"底表未登记")))))</f>
        <v>113.32446400000001</v>
      </c>
      <c r="F6">
        <f>IF(D6="","",IFERROR(_xlfn.XLOOKUP(D6,客户信息底表!B:B,客户信息底表!R:R,,0),IFERROR(_xlfn.XLOOKUP(D6,客户信息底表!BB:BB,客户信息底表!R:R,,0),IFERROR(_xlfn.XLOOKUP(D6,客户信息底表!BC:BC,客户信息底表!R:R,,0),IFERROR(_xlfn.XLOOKUP(D6,客户信息底表!BD:BD,客户信息底表!R:R,,0),"底表未登记")))))</f>
        <v>23.023298</v>
      </c>
      <c r="G6" s="2" t="str">
        <f>IF(D6="","",IFERROR(_xlfn.XLOOKUP(D6,客户信息底表!B:B,客户信息底表!L:L,,0),IFERROR(_xlfn.XLOOKUP(D6,客户信息底表!BB:BB,客户信息底表!L:L,,0),IFERROR(_xlfn.XLOOKUP(D6,客户信息底表!BC:BC,客户信息底表!L:L,,0),IFERROR(_xlfn.XLOOKUP(D6,客户信息底表!BD:BD,客户信息底表!L:L,,0),"底表未登记")))))</f>
        <v>大石街大山村富山路四街1号胜文工业园2栋1楼103室</v>
      </c>
      <c r="H6" t="str">
        <f>IF(D6="","",IFERROR(_xlfn.XLOOKUP(D6,客户信息底表!B:B,客户信息底表!G:G,,0),IFERROR(_xlfn.XLOOKUP(D6,客户信息底表!BB:BB,客户信息底表!G:G,,0),IFERROR(_xlfn.XLOOKUP(D6,客户信息底表!BC:BC,客户信息底表!G:G,,0),IFERROR(_xlfn.XLOOKUP(D6,客户信息底表!BD:BD,客户信息底表!G:G,,0),"底表未登记")))))</f>
        <v>15018430593</v>
      </c>
      <c r="I6" t="str">
        <f>IF(D6="","","整："&amp;数据输入表!J9&amp;"，散："&amp;数据输入表!K9&amp;"；重量kg："&amp;数据输入表!L9&amp;"，体积："&amp;数据输入表!M9)</f>
        <v>整：2，散：125；重量kg：125，体积：0.01</v>
      </c>
      <c r="J6" s="54">
        <v>46136</v>
      </c>
      <c r="O6" t="s">
        <v>5730</v>
      </c>
    </row>
    <row r="7" spans="1:15" ht="28" x14ac:dyDescent="0.25">
      <c r="A7" t="str">
        <f t="shared" si="1"/>
        <v>LC20260421000980</v>
      </c>
      <c r="B7" t="s">
        <v>5722</v>
      </c>
      <c r="C7">
        <f t="shared" si="0"/>
        <v>6</v>
      </c>
      <c r="D7" t="str">
        <f>IF(数据输入表!H10="","",数据输入表!H10)</f>
        <v>值小团（广州大石店）</v>
      </c>
      <c r="E7">
        <f>IF(D7="","",IFERROR(_xlfn.XLOOKUP(D7,客户信息底表!B:B,客户信息底表!Q:Q,,0),IFERROR(_xlfn.XLOOKUP(D7,客户信息底表!BB:BB,客户信息底表!Q:Q,,0),IFERROR(_xlfn.XLOOKUP(D7,客户信息底表!BC:BC,客户信息底表!Q:Q,,0),IFERROR(_xlfn.XLOOKUP(D7,客户信息底表!BD:BD,客户信息底表!Q:Q,,0),"底表未登记")))))</f>
        <v>113.31959999999999</v>
      </c>
      <c r="F7">
        <f>IF(D7="","",IFERROR(_xlfn.XLOOKUP(D7,客户信息底表!B:B,客户信息底表!R:R,,0),IFERROR(_xlfn.XLOOKUP(D7,客户信息底表!BB:BB,客户信息底表!R:R,,0),IFERROR(_xlfn.XLOOKUP(D7,客户信息底表!BC:BC,客户信息底表!R:R,,0),IFERROR(_xlfn.XLOOKUP(D7,客户信息底表!BD:BD,客户信息底表!R:R,,0),"底表未登记")))))</f>
        <v>23.026733</v>
      </c>
      <c r="G7" s="2" t="str">
        <f>IF(D7="","",IFERROR(_xlfn.XLOOKUP(D7,客户信息底表!B:B,客户信息底表!L:L,,0),IFERROR(_xlfn.XLOOKUP(D7,客户信息底表!BB:BB,客户信息底表!L:L,,0),IFERROR(_xlfn.XLOOKUP(D7,客户信息底表!BC:BC,客户信息底表!L:L,,0),IFERROR(_xlfn.XLOOKUP(D7,客户信息底表!BD:BD,客户信息底表!L:L,,0),"底表未登记")))))</f>
        <v>大石街道大石镇朝阳东路170号201房值小团超市（原玲丰服饰）</v>
      </c>
      <c r="H7" t="str">
        <f>IF(D7="","",IFERROR(_xlfn.XLOOKUP(D7,客户信息底表!B:B,客户信息底表!G:G,,0),IFERROR(_xlfn.XLOOKUP(D7,客户信息底表!BB:BB,客户信息底表!G:G,,0),IFERROR(_xlfn.XLOOKUP(D7,客户信息底表!BC:BC,客户信息底表!G:G,,0),IFERROR(_xlfn.XLOOKUP(D7,客户信息底表!BD:BD,客户信息底表!G:G,,0),"底表未登记")))))</f>
        <v>19068527315</v>
      </c>
      <c r="I7" t="str">
        <f>IF(D7="","","整："&amp;数据输入表!J10&amp;"，散："&amp;数据输入表!K10&amp;"；重量kg："&amp;数据输入表!L10&amp;"，体积："&amp;数据输入表!M10)</f>
        <v>整：3，散：60；重量kg：60，体积：0.01</v>
      </c>
      <c r="J7" s="54">
        <v>46136</v>
      </c>
      <c r="O7" t="s">
        <v>5730</v>
      </c>
    </row>
    <row r="8" spans="1:15" ht="28" x14ac:dyDescent="0.25">
      <c r="A8" t="str">
        <f t="shared" si="1"/>
        <v>LC20260421000980</v>
      </c>
      <c r="B8" t="s">
        <v>5723</v>
      </c>
      <c r="C8">
        <f t="shared" si="0"/>
        <v>7</v>
      </c>
      <c r="D8" t="str">
        <f>IF(数据输入表!H11="","",数据输入表!H11)</f>
        <v>鲸选超市（广州大石店)</v>
      </c>
      <c r="E8">
        <f>IF(D8="","",IFERROR(_xlfn.XLOOKUP(D8,客户信息底表!B:B,客户信息底表!Q:Q,,0),IFERROR(_xlfn.XLOOKUP(D8,客户信息底表!BB:BB,客户信息底表!Q:Q,,0),IFERROR(_xlfn.XLOOKUP(D8,客户信息底表!BC:BC,客户信息底表!Q:Q,,0),IFERROR(_xlfn.XLOOKUP(D8,客户信息底表!BD:BD,客户信息底表!Q:Q,,0),"底表未登记")))))</f>
        <v>113.317443</v>
      </c>
      <c r="F8">
        <f>IF(D8="","",IFERROR(_xlfn.XLOOKUP(D8,客户信息底表!B:B,客户信息底表!R:R,,0),IFERROR(_xlfn.XLOOKUP(D8,客户信息底表!BB:BB,客户信息底表!R:R,,0),IFERROR(_xlfn.XLOOKUP(D8,客户信息底表!BC:BC,客户信息底表!R:R,,0),IFERROR(_xlfn.XLOOKUP(D8,客户信息底表!BD:BD,客户信息底表!R:R,,0),"底表未登记")))))</f>
        <v>23.022373999999999</v>
      </c>
      <c r="G8" s="2" t="str">
        <f>IF(D8="","",IFERROR(_xlfn.XLOOKUP(D8,客户信息底表!B:B,客户信息底表!L:L,,0),IFERROR(_xlfn.XLOOKUP(D8,客户信息底表!BB:BB,客户信息底表!L:L,,0),IFERROR(_xlfn.XLOOKUP(D8,客户信息底表!BC:BC,客户信息底表!L:L,,0),IFERROR(_xlfn.XLOOKUP(D8,客户信息底表!BD:BD,客户信息底表!L:L,,0),"底表未登记")))))</f>
        <v>大石街道大涌路157号大石伟讯电子数码城4楼421铺</v>
      </c>
      <c r="H8" t="str">
        <f>IF(D8="","",IFERROR(_xlfn.XLOOKUP(D8,客户信息底表!B:B,客户信息底表!G:G,,0),IFERROR(_xlfn.XLOOKUP(D8,客户信息底表!BB:BB,客户信息底表!G:G,,0),IFERROR(_xlfn.XLOOKUP(D8,客户信息底表!BC:BC,客户信息底表!G:G,,0),IFERROR(_xlfn.XLOOKUP(D8,客户信息底表!BD:BD,客户信息底表!G:G,,0),"底表未登记")))))</f>
        <v>13533764129</v>
      </c>
      <c r="I8" t="str">
        <f>IF(D8="","","整："&amp;数据输入表!J11&amp;"，散："&amp;数据输入表!K11&amp;"；重量kg："&amp;数据输入表!L11&amp;"，体积："&amp;数据输入表!M11)</f>
        <v>整：9，散：207；重量kg：207，体积：0.03</v>
      </c>
      <c r="J8" s="54">
        <v>46136</v>
      </c>
      <c r="O8" t="s">
        <v>5730</v>
      </c>
    </row>
    <row r="9" spans="1:15" ht="28" x14ac:dyDescent="0.25">
      <c r="A9" t="str">
        <f t="shared" si="1"/>
        <v>LC20260421000980</v>
      </c>
      <c r="B9" t="s">
        <v>5724</v>
      </c>
      <c r="C9">
        <f t="shared" si="0"/>
        <v>8</v>
      </c>
      <c r="D9" t="str">
        <f>IF(数据输入表!H12="","",数据输入表!H12)</f>
        <v>熊猫很忙（鹤洞店-广东广州）（直营）</v>
      </c>
      <c r="E9">
        <f>IF(D9="","",IFERROR(_xlfn.XLOOKUP(D9,客户信息底表!B:B,客户信息底表!Q:Q,,0),IFERROR(_xlfn.XLOOKUP(D9,客户信息底表!BB:BB,客户信息底表!Q:Q,,0),IFERROR(_xlfn.XLOOKUP(D9,客户信息底表!BC:BC,客户信息底表!Q:Q,,0),IFERROR(_xlfn.XLOOKUP(D9,客户信息底表!BD:BD,客户信息底表!Q:Q,,0),"底表未登记")))))</f>
        <v>113.236003</v>
      </c>
      <c r="F9">
        <f>IF(D9="","",IFERROR(_xlfn.XLOOKUP(D9,客户信息底表!B:B,客户信息底表!R:R,,0),IFERROR(_xlfn.XLOOKUP(D9,客户信息底表!BB:BB,客户信息底表!R:R,,0),IFERROR(_xlfn.XLOOKUP(D9,客户信息底表!BC:BC,客户信息底表!R:R,,0),IFERROR(_xlfn.XLOOKUP(D9,客户信息底表!BD:BD,客户信息底表!R:R,,0),"底表未登记")))))</f>
        <v>23.068961999999999</v>
      </c>
      <c r="G9" s="2" t="str">
        <f>IF(D9="","",IFERROR(_xlfn.XLOOKUP(D9,客户信息底表!B:B,客户信息底表!L:L,,0),IFERROR(_xlfn.XLOOKUP(D9,客户信息底表!BB:BB,客户信息底表!L:L,,0),IFERROR(_xlfn.XLOOKUP(D9,客户信息底表!BC:BC,客户信息底表!L:L,,0),IFERROR(_xlfn.XLOOKUP(D9,客户信息底表!BD:BD,客户信息底表!L:L,,0),"底表未登记")))))</f>
        <v>鹤洞路346号218室2楼送货上门6688不放驿站</v>
      </c>
      <c r="H9" t="str">
        <f>IF(D9="","",IFERROR(_xlfn.XLOOKUP(D9,客户信息底表!B:B,客户信息底表!G:G,,0),IFERROR(_xlfn.XLOOKUP(D9,客户信息底表!BB:BB,客户信息底表!G:G,,0),IFERROR(_xlfn.XLOOKUP(D9,客户信息底表!BC:BC,客户信息底表!G:G,,0),IFERROR(_xlfn.XLOOKUP(D9,客户信息底表!BD:BD,客户信息底表!G:G,,0),"底表未登记")))))</f>
        <v>17722262342</v>
      </c>
      <c r="I9" t="str">
        <f>IF(D9="","","整："&amp;数据输入表!J12&amp;"，散："&amp;数据输入表!K12&amp;"；重量kg："&amp;数据输入表!L12&amp;"，体积："&amp;数据输入表!M12)</f>
        <v>整：6，散：102；重量kg：102，体积：0.01</v>
      </c>
      <c r="J9" s="54">
        <v>46136</v>
      </c>
      <c r="O9" t="s">
        <v>5730</v>
      </c>
    </row>
    <row r="10" spans="1:15" ht="28" x14ac:dyDescent="0.25">
      <c r="A10" t="str">
        <f t="shared" si="1"/>
        <v>LC20260421000980</v>
      </c>
      <c r="B10" t="s">
        <v>5725</v>
      </c>
      <c r="C10">
        <f t="shared" si="0"/>
        <v>9</v>
      </c>
      <c r="D10" t="str">
        <f>IF(数据输入表!H13="","",数据输入表!H13)</f>
        <v>值小团（广州芳村店）</v>
      </c>
      <c r="E10">
        <f>IF(D10="","",IFERROR(_xlfn.XLOOKUP(D10,客户信息底表!B:B,客户信息底表!Q:Q,,0),IFERROR(_xlfn.XLOOKUP(D10,客户信息底表!BB:BB,客户信息底表!Q:Q,,0),IFERROR(_xlfn.XLOOKUP(D10,客户信息底表!BC:BC,客户信息底表!Q:Q,,0),IFERROR(_xlfn.XLOOKUP(D10,客户信息底表!BD:BD,客户信息底表!Q:Q,,0),"底表未登记")))))</f>
        <v>113.23804800000001</v>
      </c>
      <c r="F10">
        <f>IF(D10="","",IFERROR(_xlfn.XLOOKUP(D10,客户信息底表!B:B,客户信息底表!R:R,,0),IFERROR(_xlfn.XLOOKUP(D10,客户信息底表!BB:BB,客户信息底表!R:R,,0),IFERROR(_xlfn.XLOOKUP(D10,客户信息底表!BC:BC,客户信息底表!R:R,,0),IFERROR(_xlfn.XLOOKUP(D10,客户信息底表!BD:BD,客户信息底表!R:R,,0),"底表未登记")))))</f>
        <v>23.076416999999999</v>
      </c>
      <c r="G10" s="2" t="str">
        <f>IF(D10="","",IFERROR(_xlfn.XLOOKUP(D10,客户信息底表!B:B,客户信息底表!L:L,,0),IFERROR(_xlfn.XLOOKUP(D10,客户信息底表!BB:BB,客户信息底表!L:L,,0),IFERROR(_xlfn.XLOOKUP(D10,客户信息底表!BC:BC,客户信息底表!L:L,,0),IFERROR(_xlfn.XLOOKUP(D10,客户信息底表!BD:BD,客户信息底表!L:L,,0),"底表未登记")))))</f>
        <v>坑口大街 138 号红岗工业区1 号首层 101、102 室</v>
      </c>
      <c r="H10" t="str">
        <f>IF(D10="","",IFERROR(_xlfn.XLOOKUP(D10,客户信息底表!B:B,客户信息底表!G:G,,0),IFERROR(_xlfn.XLOOKUP(D10,客户信息底表!BB:BB,客户信息底表!G:G,,0),IFERROR(_xlfn.XLOOKUP(D10,客户信息底表!BC:BC,客户信息底表!G:G,,0),IFERROR(_xlfn.XLOOKUP(D10,客户信息底表!BD:BD,客户信息底表!G:G,,0),"底表未登记")))))</f>
        <v>17575037885</v>
      </c>
      <c r="I10" t="str">
        <f>IF(D10="","","整："&amp;数据输入表!J13&amp;"，散："&amp;数据输入表!K13&amp;"；重量kg："&amp;数据输入表!L13&amp;"，体积："&amp;数据输入表!M13)</f>
        <v>整：7，散：114；重量kg：114，体积：0.03</v>
      </c>
      <c r="J10" s="54">
        <v>46136</v>
      </c>
      <c r="O10" t="s">
        <v>5730</v>
      </c>
    </row>
    <row r="11" spans="1:15" ht="28" x14ac:dyDescent="0.25">
      <c r="A11" t="str">
        <f t="shared" si="1"/>
        <v>LC20260421000980</v>
      </c>
      <c r="B11" t="s">
        <v>5726</v>
      </c>
      <c r="C11">
        <f t="shared" si="0"/>
        <v>10</v>
      </c>
      <c r="D11" t="str">
        <f>IF(数据输入表!H14="","",数据输入表!H14)</f>
        <v>鲸选超市（广州芳村店)</v>
      </c>
      <c r="E11">
        <f>IF(D11="","",IFERROR(_xlfn.XLOOKUP(D11,客户信息底表!B:B,客户信息底表!Q:Q,,0),IFERROR(_xlfn.XLOOKUP(D11,客户信息底表!BB:BB,客户信息底表!Q:Q,,0),IFERROR(_xlfn.XLOOKUP(D11,客户信息底表!BC:BC,客户信息底表!Q:Q,,0),IFERROR(_xlfn.XLOOKUP(D11,客户信息底表!BD:BD,客户信息底表!Q:Q,,0),"底表未登记")))))</f>
        <v>113.23657799999999</v>
      </c>
      <c r="F11">
        <f>IF(D11="","",IFERROR(_xlfn.XLOOKUP(D11,客户信息底表!B:B,客户信息底表!R:R,,0),IFERROR(_xlfn.XLOOKUP(D11,客户信息底表!BB:BB,客户信息底表!R:R,,0),IFERROR(_xlfn.XLOOKUP(D11,客户信息底表!BC:BC,客户信息底表!R:R,,0),IFERROR(_xlfn.XLOOKUP(D11,客户信息底表!BD:BD,客户信息底表!R:R,,0),"底表未登记")))))</f>
        <v>23.076886999999999</v>
      </c>
      <c r="G11" s="2" t="str">
        <f>IF(D11="","",IFERROR(_xlfn.XLOOKUP(D11,客户信息底表!B:B,客户信息底表!L:L,,0),IFERROR(_xlfn.XLOOKUP(D11,客户信息底表!BB:BB,客户信息底表!L:L,,0),IFERROR(_xlfn.XLOOKUP(D11,客户信息底表!BC:BC,客户信息底表!L:L,,0),IFERROR(_xlfn.XLOOKUP(D11,客户信息底表!BD:BD,客户信息底表!L:L,,0),"底表未登记")))))</f>
        <v>花溪路3号 坑口工业区1栋2楼215鲸选超市里面(有电梯)</v>
      </c>
      <c r="H11" t="str">
        <f>IF(D11="","",IFERROR(_xlfn.XLOOKUP(D11,客户信息底表!B:B,客户信息底表!G:G,,0),IFERROR(_xlfn.XLOOKUP(D11,客户信息底表!BB:BB,客户信息底表!G:G,,0),IFERROR(_xlfn.XLOOKUP(D11,客户信息底表!BC:BC,客户信息底表!G:G,,0),IFERROR(_xlfn.XLOOKUP(D11,客户信息底表!BD:BD,客户信息底表!G:G,,0),"底表未登记")))))</f>
        <v>13533764129</v>
      </c>
      <c r="I11" t="str">
        <f>IF(D11="","","整："&amp;数据输入表!J14&amp;"，散："&amp;数据输入表!K14&amp;"；重量kg："&amp;数据输入表!L14&amp;"，体积："&amp;数据输入表!M14)</f>
        <v>整：6，散：162；重量kg：162，体积：0.02</v>
      </c>
      <c r="J11" s="54">
        <v>46136</v>
      </c>
      <c r="O11" t="s">
        <v>5730</v>
      </c>
    </row>
    <row r="12" spans="1:15" ht="28" x14ac:dyDescent="0.25">
      <c r="A12" t="str">
        <f t="shared" si="1"/>
        <v>LC20260421000980</v>
      </c>
      <c r="B12" t="s">
        <v>5727</v>
      </c>
      <c r="C12">
        <f t="shared" si="0"/>
        <v>11</v>
      </c>
      <c r="D12" t="str">
        <f>IF(数据输入表!H15="","",数据输入表!H15)</f>
        <v>畅盈到家超市（广州海珠店）</v>
      </c>
      <c r="E12">
        <f>IF(D12="","",IFERROR(_xlfn.XLOOKUP(D12,客户信息底表!B:B,客户信息底表!Q:Q,,0),IFERROR(_xlfn.XLOOKUP(D12,客户信息底表!BB:BB,客户信息底表!Q:Q,,0),IFERROR(_xlfn.XLOOKUP(D12,客户信息底表!BC:BC,客户信息底表!Q:Q,,0),IFERROR(_xlfn.XLOOKUP(D12,客户信息底表!BD:BD,客户信息底表!Q:Q,,0),"底表未登记")))))</f>
        <v>113.267354</v>
      </c>
      <c r="F12">
        <f>IF(D12="","",IFERROR(_xlfn.XLOOKUP(D12,客户信息底表!B:B,客户信息底表!R:R,,0),IFERROR(_xlfn.XLOOKUP(D12,客户信息底表!BB:BB,客户信息底表!R:R,,0),IFERROR(_xlfn.XLOOKUP(D12,客户信息底表!BC:BC,客户信息底表!R:R,,0),IFERROR(_xlfn.XLOOKUP(D12,客户信息底表!BD:BD,客户信息底表!R:R,,0),"底表未登记")))))</f>
        <v>23.079249000000001</v>
      </c>
      <c r="G12" s="2" t="str">
        <f>IF(D12="","",IFERROR(_xlfn.XLOOKUP(D12,客户信息底表!B:B,客户信息底表!L:L,,0),IFERROR(_xlfn.XLOOKUP(D12,客户信息底表!BB:BB,客户信息底表!L:L,,0),IFERROR(_xlfn.XLOOKUP(D12,客户信息底表!BC:BC,客户信息底表!L:L,,0),IFERROR(_xlfn.XLOOKUP(D12,客户信息底表!BD:BD,客户信息底表!L:L,,0),"底表未登记")))))</f>
        <v>南石头街道工业大道中路385号大院11号楼224房</v>
      </c>
      <c r="H12" t="str">
        <f>IF(D12="","",IFERROR(_xlfn.XLOOKUP(D12,客户信息底表!B:B,客户信息底表!G:G,,0),IFERROR(_xlfn.XLOOKUP(D12,客户信息底表!BB:BB,客户信息底表!G:G,,0),IFERROR(_xlfn.XLOOKUP(D12,客户信息底表!BC:BC,客户信息底表!G:G,,0),IFERROR(_xlfn.XLOOKUP(D12,客户信息底表!BD:BD,客户信息底表!G:G,,0),"底表未登记")))))</f>
        <v>13435657776</v>
      </c>
      <c r="I12" t="str">
        <f>IF(D12="","","整："&amp;数据输入表!J15&amp;"，散："&amp;数据输入表!K15&amp;"；重量kg："&amp;数据输入表!L15&amp;"，体积："&amp;数据输入表!M15)</f>
        <v>整：9，散：178；重量kg：178，体积：0.12</v>
      </c>
      <c r="J12" s="54">
        <v>46136</v>
      </c>
      <c r="O12" t="s">
        <v>5730</v>
      </c>
    </row>
    <row r="13" spans="1:15" x14ac:dyDescent="0.25">
      <c r="A13" t="str">
        <f t="shared" si="1"/>
        <v>LC20260421000980</v>
      </c>
      <c r="B13" t="s">
        <v>5728</v>
      </c>
      <c r="C13">
        <f t="shared" si="0"/>
        <v>12</v>
      </c>
      <c r="D13" t="str">
        <f>IF(数据输入表!H16="","",数据输入表!H16)</f>
        <v>值小团（广州海珠店）</v>
      </c>
      <c r="E13">
        <f>IF(D13="","",IFERROR(_xlfn.XLOOKUP(D13,客户信息底表!B:B,客户信息底表!Q:Q,,0),IFERROR(_xlfn.XLOOKUP(D13,客户信息底表!BB:BB,客户信息底表!Q:Q,,0),IFERROR(_xlfn.XLOOKUP(D13,客户信息底表!BC:BC,客户信息底表!Q:Q,,0),IFERROR(_xlfn.XLOOKUP(D13,客户信息底表!BD:BD,客户信息底表!Q:Q,,0),"底表未登记")))))</f>
        <v>113.275998</v>
      </c>
      <c r="F13">
        <f>IF(D13="","",IFERROR(_xlfn.XLOOKUP(D13,客户信息底表!B:B,客户信息底表!R:R,,0),IFERROR(_xlfn.XLOOKUP(D13,客户信息底表!BB:BB,客户信息底表!R:R,,0),IFERROR(_xlfn.XLOOKUP(D13,客户信息底表!BC:BC,客户信息底表!R:R,,0),IFERROR(_xlfn.XLOOKUP(D13,客户信息底表!BD:BD,客户信息底表!R:R,,0),"底表未登记")))))</f>
        <v>23.085415999999999</v>
      </c>
      <c r="G13" s="2" t="str">
        <f>IF(D13="","",IFERROR(_xlfn.XLOOKUP(D13,客户信息底表!B:B,客户信息底表!L:L,,0),IFERROR(_xlfn.XLOOKUP(D13,客户信息底表!BB:BB,客户信息底表!L:L,,0),IFERROR(_xlfn.XLOOKUP(D13,客户信息底表!BC:BC,客户信息底表!L:L,,0),IFERROR(_xlfn.XLOOKUP(D13,客户信息底表!BD:BD,客户信息底表!L:L,,0),"底表未登记")))))</f>
        <v>信雅路54</v>
      </c>
      <c r="H13" t="str">
        <f>IF(D13="","",IFERROR(_xlfn.XLOOKUP(D13,客户信息底表!B:B,客户信息底表!G:G,,0),IFERROR(_xlfn.XLOOKUP(D13,客户信息底表!BB:BB,客户信息底表!G:G,,0),IFERROR(_xlfn.XLOOKUP(D13,客户信息底表!BC:BC,客户信息底表!G:G,,0),IFERROR(_xlfn.XLOOKUP(D13,客户信息底表!BD:BD,客户信息底表!G:G,,0),"底表未登记")))))</f>
        <v>13710664156</v>
      </c>
      <c r="I13" t="str">
        <f>IF(D13="","","整："&amp;数据输入表!J16&amp;"，散："&amp;数据输入表!K16&amp;"；重量kg："&amp;数据输入表!L16&amp;"，体积："&amp;数据输入表!M16)</f>
        <v>整：12，散：135；重量kg：135，体积：0.17</v>
      </c>
      <c r="J13" s="54">
        <v>46136</v>
      </c>
      <c r="O13" t="s">
        <v>5730</v>
      </c>
    </row>
    <row r="14" spans="1:15" x14ac:dyDescent="0.25">
      <c r="A14" t="str">
        <f t="shared" si="1"/>
        <v/>
      </c>
      <c r="C14" t="str">
        <f t="shared" si="0"/>
        <v/>
      </c>
      <c r="D14" t="str">
        <f>IF(数据输入表!H17="","",数据输入表!H17)</f>
        <v/>
      </c>
      <c r="E14" t="str">
        <f>IF(D14="","",IFERROR(_xlfn.XLOOKUP(D14,客户信息底表!B:B,客户信息底表!Q:Q,,0),IFERROR(_xlfn.XLOOKUP(D14,客户信息底表!BB:BB,客户信息底表!Q:Q,,0),IFERROR(_xlfn.XLOOKUP(D14,客户信息底表!BC:BC,客户信息底表!Q:Q,,0),IFERROR(_xlfn.XLOOKUP(D14,客户信息底表!BD:BD,客户信息底表!Q:Q,,0),"底表未登记")))))</f>
        <v/>
      </c>
      <c r="F14" t="str">
        <f>IF(D14="","",IFERROR(_xlfn.XLOOKUP(D14,客户信息底表!B:B,客户信息底表!R:R,,0),IFERROR(_xlfn.XLOOKUP(D14,客户信息底表!BB:BB,客户信息底表!R:R,,0),IFERROR(_xlfn.XLOOKUP(D14,客户信息底表!BC:BC,客户信息底表!R:R,,0),IFERROR(_xlfn.XLOOKUP(D14,客户信息底表!BD:BD,客户信息底表!R:R,,0),"底表未登记")))))</f>
        <v/>
      </c>
      <c r="G14" s="2" t="str">
        <f>IF(D14="","",IFERROR(_xlfn.XLOOKUP(D14,客户信息底表!B:B,客户信息底表!L:L,,0),IFERROR(_xlfn.XLOOKUP(D14,客户信息底表!BB:BB,客户信息底表!L:L,,0),IFERROR(_xlfn.XLOOKUP(D14,客户信息底表!BC:BC,客户信息底表!L:L,,0),IFERROR(_xlfn.XLOOKUP(D14,客户信息底表!BD:BD,客户信息底表!L:L,,0),"底表未登记")))))</f>
        <v/>
      </c>
      <c r="H14" t="str">
        <f>IF(D14="","",IFERROR(_xlfn.XLOOKUP(D14,客户信息底表!B:B,客户信息底表!G:G,,0),IFERROR(_xlfn.XLOOKUP(D14,客户信息底表!BB:BB,客户信息底表!G:G,,0),IFERROR(_xlfn.XLOOKUP(D14,客户信息底表!BC:BC,客户信息底表!G:G,,0),IFERROR(_xlfn.XLOOKUP(D14,客户信息底表!BD:BD,客户信息底表!G:G,,0),"底表未登记")))))</f>
        <v/>
      </c>
      <c r="I14" t="str">
        <f>IF(D14="","","整："&amp;数据输入表!J17&amp;"，散："&amp;数据输入表!K17&amp;"；重量kg："&amp;数据输入表!L17&amp;"，体积："&amp;数据输入表!M17)</f>
        <v/>
      </c>
    </row>
    <row r="15" spans="1:15" x14ac:dyDescent="0.25">
      <c r="A15" t="str">
        <f t="shared" si="1"/>
        <v/>
      </c>
      <c r="C15" t="str">
        <f t="shared" si="0"/>
        <v/>
      </c>
      <c r="D15" t="str">
        <f>IF(数据输入表!H18="","",数据输入表!H18)</f>
        <v/>
      </c>
      <c r="E15" t="str">
        <f>IF(D15="","",IFERROR(_xlfn.XLOOKUP(D15,客户信息底表!B:B,客户信息底表!Q:Q,,0),IFERROR(_xlfn.XLOOKUP(D15,客户信息底表!BB:BB,客户信息底表!Q:Q,,0),IFERROR(_xlfn.XLOOKUP(D15,客户信息底表!BC:BC,客户信息底表!Q:Q,,0),IFERROR(_xlfn.XLOOKUP(D15,客户信息底表!BD:BD,客户信息底表!Q:Q,,0),"底表未登记")))))</f>
        <v/>
      </c>
      <c r="F15" t="str">
        <f>IF(D15="","",IFERROR(_xlfn.XLOOKUP(D15,客户信息底表!B:B,客户信息底表!R:R,,0),IFERROR(_xlfn.XLOOKUP(D15,客户信息底表!BB:BB,客户信息底表!R:R,,0),IFERROR(_xlfn.XLOOKUP(D15,客户信息底表!BC:BC,客户信息底表!R:R,,0),IFERROR(_xlfn.XLOOKUP(D15,客户信息底表!BD:BD,客户信息底表!R:R,,0),"底表未登记")))))</f>
        <v/>
      </c>
      <c r="G15" s="2" t="str">
        <f>IF(D15="","",IFERROR(_xlfn.XLOOKUP(D15,客户信息底表!B:B,客户信息底表!L:L,,0),IFERROR(_xlfn.XLOOKUP(D15,客户信息底表!BB:BB,客户信息底表!L:L,,0),IFERROR(_xlfn.XLOOKUP(D15,客户信息底表!BC:BC,客户信息底表!L:L,,0),IFERROR(_xlfn.XLOOKUP(D15,客户信息底表!BD:BD,客户信息底表!L:L,,0),"底表未登记")))))</f>
        <v/>
      </c>
      <c r="H15" t="str">
        <f>IF(D15="","",IFERROR(_xlfn.XLOOKUP(D15,客户信息底表!B:B,客户信息底表!G:G,,0),IFERROR(_xlfn.XLOOKUP(D15,客户信息底表!BB:BB,客户信息底表!G:G,,0),IFERROR(_xlfn.XLOOKUP(D15,客户信息底表!BC:BC,客户信息底表!G:G,,0),IFERROR(_xlfn.XLOOKUP(D15,客户信息底表!BD:BD,客户信息底表!G:G,,0),"底表未登记")))))</f>
        <v/>
      </c>
      <c r="I15" t="str">
        <f>IF(D15="","","整："&amp;数据输入表!J18&amp;"，散："&amp;数据输入表!K18&amp;"；重量kg："&amp;数据输入表!L18&amp;"，体积："&amp;数据输入表!M18)</f>
        <v/>
      </c>
    </row>
    <row r="16" spans="1:15" x14ac:dyDescent="0.25">
      <c r="A16" t="str">
        <f t="shared" si="1"/>
        <v/>
      </c>
      <c r="C16" t="str">
        <f t="shared" si="0"/>
        <v/>
      </c>
      <c r="D16" t="str">
        <f>IF(数据输入表!H19="","",数据输入表!H19)</f>
        <v/>
      </c>
      <c r="E16" t="str">
        <f>IF(D16="","",IFERROR(_xlfn.XLOOKUP(D16,客户信息底表!B:B,客户信息底表!Q:Q,,0),IFERROR(_xlfn.XLOOKUP(D16,客户信息底表!BB:BB,客户信息底表!Q:Q,,0),IFERROR(_xlfn.XLOOKUP(D16,客户信息底表!BC:BC,客户信息底表!Q:Q,,0),IFERROR(_xlfn.XLOOKUP(D16,客户信息底表!BD:BD,客户信息底表!Q:Q,,0),"底表未登记")))))</f>
        <v/>
      </c>
      <c r="F16" t="str">
        <f>IF(D16="","",IFERROR(_xlfn.XLOOKUP(D16,客户信息底表!B:B,客户信息底表!R:R,,0),IFERROR(_xlfn.XLOOKUP(D16,客户信息底表!BB:BB,客户信息底表!R:R,,0),IFERROR(_xlfn.XLOOKUP(D16,客户信息底表!BC:BC,客户信息底表!R:R,,0),IFERROR(_xlfn.XLOOKUP(D16,客户信息底表!BD:BD,客户信息底表!R:R,,0),"底表未登记")))))</f>
        <v/>
      </c>
      <c r="G16" s="2" t="str">
        <f>IF(D16="","",IFERROR(_xlfn.XLOOKUP(D16,客户信息底表!B:B,客户信息底表!L:L,,0),IFERROR(_xlfn.XLOOKUP(D16,客户信息底表!BB:BB,客户信息底表!L:L,,0),IFERROR(_xlfn.XLOOKUP(D16,客户信息底表!BC:BC,客户信息底表!L:L,,0),IFERROR(_xlfn.XLOOKUP(D16,客户信息底表!BD:BD,客户信息底表!L:L,,0),"底表未登记")))))</f>
        <v/>
      </c>
      <c r="H16" t="str">
        <f>IF(D16="","",IFERROR(_xlfn.XLOOKUP(D16,客户信息底表!B:B,客户信息底表!G:G,,0),IFERROR(_xlfn.XLOOKUP(D16,客户信息底表!BB:BB,客户信息底表!G:G,,0),IFERROR(_xlfn.XLOOKUP(D16,客户信息底表!BC:BC,客户信息底表!G:G,,0),IFERROR(_xlfn.XLOOKUP(D16,客户信息底表!BD:BD,客户信息底表!G:G,,0),"底表未登记")))))</f>
        <v/>
      </c>
      <c r="I16" t="str">
        <f>IF(D16="","","整："&amp;数据输入表!J19&amp;"，散："&amp;数据输入表!K19&amp;"；重量kg："&amp;数据输入表!L19&amp;"，体积："&amp;数据输入表!M19)</f>
        <v/>
      </c>
    </row>
    <row r="17" spans="1:9" x14ac:dyDescent="0.25">
      <c r="A17" t="str">
        <f t="shared" si="1"/>
        <v/>
      </c>
      <c r="C17" t="str">
        <f t="shared" si="0"/>
        <v/>
      </c>
      <c r="D17" t="str">
        <f>IF(数据输入表!H20="","",数据输入表!H20)</f>
        <v/>
      </c>
      <c r="E17" t="str">
        <f>IF(D17="","",IFERROR(_xlfn.XLOOKUP(D17,客户信息底表!B:B,客户信息底表!Q:Q,,0),IFERROR(_xlfn.XLOOKUP(D17,客户信息底表!BB:BB,客户信息底表!Q:Q,,0),IFERROR(_xlfn.XLOOKUP(D17,客户信息底表!BC:BC,客户信息底表!Q:Q,,0),IFERROR(_xlfn.XLOOKUP(D17,客户信息底表!BD:BD,客户信息底表!Q:Q,,0),"底表未登记")))))</f>
        <v/>
      </c>
      <c r="F17" t="str">
        <f>IF(D17="","",IFERROR(_xlfn.XLOOKUP(D17,客户信息底表!B:B,客户信息底表!R:R,,0),IFERROR(_xlfn.XLOOKUP(D17,客户信息底表!BB:BB,客户信息底表!R:R,,0),IFERROR(_xlfn.XLOOKUP(D17,客户信息底表!BC:BC,客户信息底表!R:R,,0),IFERROR(_xlfn.XLOOKUP(D17,客户信息底表!BD:BD,客户信息底表!R:R,,0),"底表未登记")))))</f>
        <v/>
      </c>
      <c r="G17" s="2" t="str">
        <f>IF(D17="","",IFERROR(_xlfn.XLOOKUP(D17,客户信息底表!B:B,客户信息底表!L:L,,0),IFERROR(_xlfn.XLOOKUP(D17,客户信息底表!BB:BB,客户信息底表!L:L,,0),IFERROR(_xlfn.XLOOKUP(D17,客户信息底表!BC:BC,客户信息底表!L:L,,0),IFERROR(_xlfn.XLOOKUP(D17,客户信息底表!BD:BD,客户信息底表!L:L,,0),"底表未登记")))))</f>
        <v/>
      </c>
      <c r="H17" t="str">
        <f>IF(D17="","",IFERROR(_xlfn.XLOOKUP(D17,客户信息底表!B:B,客户信息底表!G:G,,0),IFERROR(_xlfn.XLOOKUP(D17,客户信息底表!BB:BB,客户信息底表!G:G,,0),IFERROR(_xlfn.XLOOKUP(D17,客户信息底表!BC:BC,客户信息底表!G:G,,0),IFERROR(_xlfn.XLOOKUP(D17,客户信息底表!BD:BD,客户信息底表!G:G,,0),"底表未登记")))))</f>
        <v/>
      </c>
      <c r="I17" t="str">
        <f>IF(D17="","","整："&amp;数据输入表!J20&amp;"，散："&amp;数据输入表!K20&amp;"；重量kg："&amp;数据输入表!L20&amp;"，体积："&amp;数据输入表!M20)</f>
        <v/>
      </c>
    </row>
    <row r="18" spans="1:9" x14ac:dyDescent="0.25">
      <c r="A18" t="str">
        <f t="shared" si="1"/>
        <v/>
      </c>
      <c r="C18" t="str">
        <f t="shared" si="0"/>
        <v/>
      </c>
      <c r="D18" t="str">
        <f>IF(数据输入表!H21="","",数据输入表!H21)</f>
        <v/>
      </c>
      <c r="E18" t="str">
        <f>IF(D18="","",IFERROR(_xlfn.XLOOKUP(D18,客户信息底表!B:B,客户信息底表!Q:Q,,0),IFERROR(_xlfn.XLOOKUP(D18,客户信息底表!BB:BB,客户信息底表!Q:Q,,0),IFERROR(_xlfn.XLOOKUP(D18,客户信息底表!BC:BC,客户信息底表!Q:Q,,0),IFERROR(_xlfn.XLOOKUP(D18,客户信息底表!BD:BD,客户信息底表!Q:Q,,0),"底表未登记")))))</f>
        <v/>
      </c>
      <c r="F18" t="str">
        <f>IF(D18="","",IFERROR(_xlfn.XLOOKUP(D18,客户信息底表!B:B,客户信息底表!R:R,,0),IFERROR(_xlfn.XLOOKUP(D18,客户信息底表!BB:BB,客户信息底表!R:R,,0),IFERROR(_xlfn.XLOOKUP(D18,客户信息底表!BC:BC,客户信息底表!R:R,,0),IFERROR(_xlfn.XLOOKUP(D18,客户信息底表!BD:BD,客户信息底表!R:R,,0),"底表未登记")))))</f>
        <v/>
      </c>
      <c r="G18" s="2" t="str">
        <f>IF(D18="","",IFERROR(_xlfn.XLOOKUP(D18,客户信息底表!B:B,客户信息底表!L:L,,0),IFERROR(_xlfn.XLOOKUP(D18,客户信息底表!BB:BB,客户信息底表!L:L,,0),IFERROR(_xlfn.XLOOKUP(D18,客户信息底表!BC:BC,客户信息底表!L:L,,0),IFERROR(_xlfn.XLOOKUP(D18,客户信息底表!BD:BD,客户信息底表!L:L,,0),"底表未登记")))))</f>
        <v/>
      </c>
      <c r="H18" t="str">
        <f>IF(D18="","",IFERROR(_xlfn.XLOOKUP(D18,客户信息底表!B:B,客户信息底表!G:G,,0),IFERROR(_xlfn.XLOOKUP(D18,客户信息底表!BB:BB,客户信息底表!G:G,,0),IFERROR(_xlfn.XLOOKUP(D18,客户信息底表!BC:BC,客户信息底表!G:G,,0),IFERROR(_xlfn.XLOOKUP(D18,客户信息底表!BD:BD,客户信息底表!G:G,,0),"底表未登记")))))</f>
        <v/>
      </c>
      <c r="I18" t="str">
        <f>IF(D18="","","整："&amp;数据输入表!J21&amp;"，散："&amp;数据输入表!K21&amp;"；重量kg："&amp;数据输入表!L21&amp;"，体积："&amp;数据输入表!M21)</f>
        <v/>
      </c>
    </row>
    <row r="19" spans="1:9" x14ac:dyDescent="0.25">
      <c r="A19" t="str">
        <f t="shared" si="1"/>
        <v/>
      </c>
      <c r="C19" t="str">
        <f t="shared" si="0"/>
        <v/>
      </c>
      <c r="D19" t="str">
        <f>IF(数据输入表!H22="","",数据输入表!H22)</f>
        <v/>
      </c>
      <c r="E19" t="str">
        <f>IF(D19="","",IFERROR(_xlfn.XLOOKUP(D19,客户信息底表!B:B,客户信息底表!Q:Q,,0),IFERROR(_xlfn.XLOOKUP(D19,客户信息底表!BB:BB,客户信息底表!Q:Q,,0),IFERROR(_xlfn.XLOOKUP(D19,客户信息底表!BC:BC,客户信息底表!Q:Q,,0),IFERROR(_xlfn.XLOOKUP(D19,客户信息底表!BD:BD,客户信息底表!Q:Q,,0),"底表未登记")))))</f>
        <v/>
      </c>
      <c r="F19" t="str">
        <f>IF(D19="","",IFERROR(_xlfn.XLOOKUP(D19,客户信息底表!B:B,客户信息底表!R:R,,0),IFERROR(_xlfn.XLOOKUP(D19,客户信息底表!BB:BB,客户信息底表!R:R,,0),IFERROR(_xlfn.XLOOKUP(D19,客户信息底表!BC:BC,客户信息底表!R:R,,0),IFERROR(_xlfn.XLOOKUP(D19,客户信息底表!BD:BD,客户信息底表!R:R,,0),"底表未登记")))))</f>
        <v/>
      </c>
      <c r="G19" s="2" t="str">
        <f>IF(D19="","",IFERROR(_xlfn.XLOOKUP(D19,客户信息底表!B:B,客户信息底表!L:L,,0),IFERROR(_xlfn.XLOOKUP(D19,客户信息底表!BB:BB,客户信息底表!L:L,,0),IFERROR(_xlfn.XLOOKUP(D19,客户信息底表!BC:BC,客户信息底表!L:L,,0),IFERROR(_xlfn.XLOOKUP(D19,客户信息底表!BD:BD,客户信息底表!L:L,,0),"底表未登记")))))</f>
        <v/>
      </c>
      <c r="H19" t="str">
        <f>IF(D19="","",IFERROR(_xlfn.XLOOKUP(D19,客户信息底表!B:B,客户信息底表!G:G,,0),IFERROR(_xlfn.XLOOKUP(D19,客户信息底表!BB:BB,客户信息底表!G:G,,0),IFERROR(_xlfn.XLOOKUP(D19,客户信息底表!BC:BC,客户信息底表!G:G,,0),IFERROR(_xlfn.XLOOKUP(D19,客户信息底表!BD:BD,客户信息底表!G:G,,0),"底表未登记")))))</f>
        <v/>
      </c>
      <c r="I19" t="str">
        <f>IF(D19="","","整："&amp;数据输入表!J22&amp;"，散："&amp;数据输入表!K22&amp;"；重量kg："&amp;数据输入表!L22&amp;"，体积："&amp;数据输入表!M22)</f>
        <v/>
      </c>
    </row>
    <row r="20" spans="1:9" x14ac:dyDescent="0.25">
      <c r="A20" t="str">
        <f t="shared" si="1"/>
        <v/>
      </c>
      <c r="C20" t="str">
        <f t="shared" si="0"/>
        <v/>
      </c>
      <c r="D20" t="str">
        <f>IF(数据输入表!H23="","",数据输入表!H23)</f>
        <v/>
      </c>
      <c r="E20" t="str">
        <f>IF(D20="","",IFERROR(_xlfn.XLOOKUP(D20,客户信息底表!B:B,客户信息底表!Q:Q,,0),IFERROR(_xlfn.XLOOKUP(D20,客户信息底表!BB:BB,客户信息底表!Q:Q,,0),IFERROR(_xlfn.XLOOKUP(D20,客户信息底表!BC:BC,客户信息底表!Q:Q,,0),IFERROR(_xlfn.XLOOKUP(D20,客户信息底表!BD:BD,客户信息底表!Q:Q,,0),"底表未登记")))))</f>
        <v/>
      </c>
      <c r="F20" t="str">
        <f>IF(D20="","",IFERROR(_xlfn.XLOOKUP(D20,客户信息底表!B:B,客户信息底表!R:R,,0),IFERROR(_xlfn.XLOOKUP(D20,客户信息底表!BB:BB,客户信息底表!R:R,,0),IFERROR(_xlfn.XLOOKUP(D20,客户信息底表!BC:BC,客户信息底表!R:R,,0),IFERROR(_xlfn.XLOOKUP(D20,客户信息底表!BD:BD,客户信息底表!R:R,,0),"底表未登记")))))</f>
        <v/>
      </c>
      <c r="G20" s="2" t="str">
        <f>IF(D20="","",IFERROR(_xlfn.XLOOKUP(D20,客户信息底表!B:B,客户信息底表!L:L,,0),IFERROR(_xlfn.XLOOKUP(D20,客户信息底表!BB:BB,客户信息底表!L:L,,0),IFERROR(_xlfn.XLOOKUP(D20,客户信息底表!BC:BC,客户信息底表!L:L,,0),IFERROR(_xlfn.XLOOKUP(D20,客户信息底表!BD:BD,客户信息底表!L:L,,0),"底表未登记")))))</f>
        <v/>
      </c>
      <c r="H20" t="str">
        <f>IF(D20="","",IFERROR(_xlfn.XLOOKUP(D20,客户信息底表!B:B,客户信息底表!G:G,,0),IFERROR(_xlfn.XLOOKUP(D20,客户信息底表!BB:BB,客户信息底表!G:G,,0),IFERROR(_xlfn.XLOOKUP(D20,客户信息底表!BC:BC,客户信息底表!G:G,,0),IFERROR(_xlfn.XLOOKUP(D20,客户信息底表!BD:BD,客户信息底表!G:G,,0),"底表未登记")))))</f>
        <v/>
      </c>
      <c r="I20" t="str">
        <f>IF(D20="","","整："&amp;数据输入表!J23&amp;"，散："&amp;数据输入表!K23&amp;"；重量kg："&amp;数据输入表!L23&amp;"，体积："&amp;数据输入表!M23)</f>
        <v/>
      </c>
    </row>
    <row r="21" spans="1:9" x14ac:dyDescent="0.25">
      <c r="A21" t="str">
        <f t="shared" si="1"/>
        <v/>
      </c>
      <c r="C21" t="str">
        <f t="shared" si="0"/>
        <v/>
      </c>
      <c r="D21" t="str">
        <f>IF(数据输入表!H24="","",数据输入表!H24)</f>
        <v/>
      </c>
      <c r="E21" t="str">
        <f>IF(D21="","",IFERROR(_xlfn.XLOOKUP(D21,客户信息底表!B:B,客户信息底表!Q:Q,,0),IFERROR(_xlfn.XLOOKUP(D21,客户信息底表!BB:BB,客户信息底表!Q:Q,,0),IFERROR(_xlfn.XLOOKUP(D21,客户信息底表!BC:BC,客户信息底表!Q:Q,,0),IFERROR(_xlfn.XLOOKUP(D21,客户信息底表!BD:BD,客户信息底表!Q:Q,,0),"底表未登记")))))</f>
        <v/>
      </c>
      <c r="F21" t="str">
        <f>IF(D21="","",IFERROR(_xlfn.XLOOKUP(D21,客户信息底表!B:B,客户信息底表!R:R,,0),IFERROR(_xlfn.XLOOKUP(D21,客户信息底表!BB:BB,客户信息底表!R:R,,0),IFERROR(_xlfn.XLOOKUP(D21,客户信息底表!BC:BC,客户信息底表!R:R,,0),IFERROR(_xlfn.XLOOKUP(D21,客户信息底表!BD:BD,客户信息底表!R:R,,0),"底表未登记")))))</f>
        <v/>
      </c>
      <c r="G21" s="2" t="str">
        <f>IF(D21="","",IFERROR(_xlfn.XLOOKUP(D21,客户信息底表!B:B,客户信息底表!L:L,,0),IFERROR(_xlfn.XLOOKUP(D21,客户信息底表!BB:BB,客户信息底表!L:L,,0),IFERROR(_xlfn.XLOOKUP(D21,客户信息底表!BC:BC,客户信息底表!L:L,,0),IFERROR(_xlfn.XLOOKUP(D21,客户信息底表!BD:BD,客户信息底表!L:L,,0),"底表未登记")))))</f>
        <v/>
      </c>
      <c r="H21" t="str">
        <f>IF(D21="","",IFERROR(_xlfn.XLOOKUP(D21,客户信息底表!B:B,客户信息底表!G:G,,0),IFERROR(_xlfn.XLOOKUP(D21,客户信息底表!BB:BB,客户信息底表!G:G,,0),IFERROR(_xlfn.XLOOKUP(D21,客户信息底表!BC:BC,客户信息底表!G:G,,0),IFERROR(_xlfn.XLOOKUP(D21,客户信息底表!BD:BD,客户信息底表!G:G,,0),"底表未登记")))))</f>
        <v/>
      </c>
      <c r="I21" t="str">
        <f>IF(D21="","","整："&amp;数据输入表!J24&amp;"，散："&amp;数据输入表!K24&amp;"；重量kg："&amp;数据输入表!L24&amp;"，体积："&amp;数据输入表!M24)</f>
        <v/>
      </c>
    </row>
    <row r="22" spans="1:9" x14ac:dyDescent="0.25">
      <c r="A22" t="str">
        <f t="shared" si="1"/>
        <v/>
      </c>
      <c r="C22" t="str">
        <f t="shared" si="0"/>
        <v/>
      </c>
      <c r="D22" t="str">
        <f>IF(数据输入表!H25="","",数据输入表!H25)</f>
        <v/>
      </c>
      <c r="E22" t="str">
        <f>IF(D22="","",IFERROR(_xlfn.XLOOKUP(D22,客户信息底表!B:B,客户信息底表!Q:Q,,0),IFERROR(_xlfn.XLOOKUP(D22,客户信息底表!BB:BB,客户信息底表!Q:Q,,0),IFERROR(_xlfn.XLOOKUP(D22,客户信息底表!BC:BC,客户信息底表!Q:Q,,0),IFERROR(_xlfn.XLOOKUP(D22,客户信息底表!BD:BD,客户信息底表!Q:Q,,0),"底表未登记")))))</f>
        <v/>
      </c>
      <c r="F22" t="str">
        <f>IF(D22="","",IFERROR(_xlfn.XLOOKUP(D22,客户信息底表!B:B,客户信息底表!R:R,,0),IFERROR(_xlfn.XLOOKUP(D22,客户信息底表!BB:BB,客户信息底表!R:R,,0),IFERROR(_xlfn.XLOOKUP(D22,客户信息底表!BC:BC,客户信息底表!R:R,,0),IFERROR(_xlfn.XLOOKUP(D22,客户信息底表!BD:BD,客户信息底表!R:R,,0),"底表未登记")))))</f>
        <v/>
      </c>
      <c r="G22" s="2" t="str">
        <f>IF(D22="","",IFERROR(_xlfn.XLOOKUP(D22,客户信息底表!B:B,客户信息底表!L:L,,0),IFERROR(_xlfn.XLOOKUP(D22,客户信息底表!BB:BB,客户信息底表!L:L,,0),IFERROR(_xlfn.XLOOKUP(D22,客户信息底表!BC:BC,客户信息底表!L:L,,0),IFERROR(_xlfn.XLOOKUP(D22,客户信息底表!BD:BD,客户信息底表!L:L,,0),"底表未登记")))))</f>
        <v/>
      </c>
      <c r="H22" t="str">
        <f>IF(D22="","",IFERROR(_xlfn.XLOOKUP(D22,客户信息底表!B:B,客户信息底表!G:G,,0),IFERROR(_xlfn.XLOOKUP(D22,客户信息底表!BB:BB,客户信息底表!G:G,,0),IFERROR(_xlfn.XLOOKUP(D22,客户信息底表!BC:BC,客户信息底表!G:G,,0),IFERROR(_xlfn.XLOOKUP(D22,客户信息底表!BD:BD,客户信息底表!G:G,,0),"底表未登记")))))</f>
        <v/>
      </c>
      <c r="I22" t="str">
        <f>IF(D22="","","整："&amp;数据输入表!J25&amp;"，散："&amp;数据输入表!K25&amp;"；重量kg："&amp;数据输入表!L25&amp;"，体积："&amp;数据输入表!M25)</f>
        <v/>
      </c>
    </row>
    <row r="23" spans="1:9" x14ac:dyDescent="0.25">
      <c r="A23" t="str">
        <f t="shared" si="1"/>
        <v/>
      </c>
      <c r="C23" t="str">
        <f t="shared" si="0"/>
        <v/>
      </c>
      <c r="D23" t="str">
        <f>IF(数据输入表!H26="","",数据输入表!H26)</f>
        <v/>
      </c>
      <c r="E23" t="str">
        <f>IF(D23="","",IFERROR(_xlfn.XLOOKUP(D23,客户信息底表!B:B,客户信息底表!Q:Q,,0),IFERROR(_xlfn.XLOOKUP(D23,客户信息底表!BB:BB,客户信息底表!Q:Q,,0),IFERROR(_xlfn.XLOOKUP(D23,客户信息底表!BC:BC,客户信息底表!Q:Q,,0),IFERROR(_xlfn.XLOOKUP(D23,客户信息底表!BD:BD,客户信息底表!Q:Q,,0),"底表未登记")))))</f>
        <v/>
      </c>
      <c r="F23" t="str">
        <f>IF(D23="","",IFERROR(_xlfn.XLOOKUP(D23,客户信息底表!B:B,客户信息底表!R:R,,0),IFERROR(_xlfn.XLOOKUP(D23,客户信息底表!BB:BB,客户信息底表!R:R,,0),IFERROR(_xlfn.XLOOKUP(D23,客户信息底表!BC:BC,客户信息底表!R:R,,0),IFERROR(_xlfn.XLOOKUP(D23,客户信息底表!BD:BD,客户信息底表!R:R,,0),"底表未登记")))))</f>
        <v/>
      </c>
      <c r="G23" s="2" t="str">
        <f>IF(D23="","",IFERROR(_xlfn.XLOOKUP(D23,客户信息底表!B:B,客户信息底表!L:L,,0),IFERROR(_xlfn.XLOOKUP(D23,客户信息底表!BB:BB,客户信息底表!L:L,,0),IFERROR(_xlfn.XLOOKUP(D23,客户信息底表!BC:BC,客户信息底表!L:L,,0),IFERROR(_xlfn.XLOOKUP(D23,客户信息底表!BD:BD,客户信息底表!L:L,,0),"底表未登记")))))</f>
        <v/>
      </c>
      <c r="H23" t="str">
        <f>IF(D23="","",IFERROR(_xlfn.XLOOKUP(D23,客户信息底表!B:B,客户信息底表!G:G,,0),IFERROR(_xlfn.XLOOKUP(D23,客户信息底表!BB:BB,客户信息底表!G:G,,0),IFERROR(_xlfn.XLOOKUP(D23,客户信息底表!BC:BC,客户信息底表!G:G,,0),IFERROR(_xlfn.XLOOKUP(D23,客户信息底表!BD:BD,客户信息底表!G:G,,0),"底表未登记")))))</f>
        <v/>
      </c>
      <c r="I23" t="str">
        <f>IF(D23="","","整："&amp;数据输入表!J26&amp;"，散："&amp;数据输入表!K26&amp;"；重量kg："&amp;数据输入表!L26&amp;"，体积："&amp;数据输入表!M26)</f>
        <v/>
      </c>
    </row>
    <row r="24" spans="1:9" x14ac:dyDescent="0.25">
      <c r="A24" t="str">
        <f t="shared" si="1"/>
        <v/>
      </c>
      <c r="B24" s="1"/>
      <c r="C24" t="str">
        <f t="shared" si="0"/>
        <v/>
      </c>
      <c r="D24" t="str">
        <f>IF(数据输入表!H27="","",数据输入表!H27)</f>
        <v/>
      </c>
      <c r="E24" t="str">
        <f>IF(D24="","",IFERROR(_xlfn.XLOOKUP(D24,客户信息底表!B:B,客户信息底表!Q:Q,,0),IFERROR(_xlfn.XLOOKUP(D24,客户信息底表!BB:BB,客户信息底表!Q:Q,,0),IFERROR(_xlfn.XLOOKUP(D24,客户信息底表!BC:BC,客户信息底表!Q:Q,,0),IFERROR(_xlfn.XLOOKUP(D24,客户信息底表!BD:BD,客户信息底表!Q:Q,,0),"底表未登记")))))</f>
        <v/>
      </c>
      <c r="F24" t="str">
        <f>IF(D24="","",IFERROR(_xlfn.XLOOKUP(D24,客户信息底表!B:B,客户信息底表!R:R,,0),IFERROR(_xlfn.XLOOKUP(D24,客户信息底表!BB:BB,客户信息底表!R:R,,0),IFERROR(_xlfn.XLOOKUP(D24,客户信息底表!BC:BC,客户信息底表!R:R,,0),IFERROR(_xlfn.XLOOKUP(D24,客户信息底表!BD:BD,客户信息底表!R:R,,0),"底表未登记")))))</f>
        <v/>
      </c>
      <c r="G24" s="2" t="str">
        <f>IF(D24="","",IFERROR(_xlfn.XLOOKUP(D24,客户信息底表!B:B,客户信息底表!L:L,,0),IFERROR(_xlfn.XLOOKUP(D24,客户信息底表!BB:BB,客户信息底表!L:L,,0),IFERROR(_xlfn.XLOOKUP(D24,客户信息底表!BC:BC,客户信息底表!L:L,,0),IFERROR(_xlfn.XLOOKUP(D24,客户信息底表!BD:BD,客户信息底表!L:L,,0),"底表未登记")))))</f>
        <v/>
      </c>
      <c r="H24" t="str">
        <f>IF(D24="","",IFERROR(_xlfn.XLOOKUP(D24,客户信息底表!B:B,客户信息底表!G:G,,0),IFERROR(_xlfn.XLOOKUP(D24,客户信息底表!BB:BB,客户信息底表!G:G,,0),IFERROR(_xlfn.XLOOKUP(D24,客户信息底表!BC:BC,客户信息底表!G:G,,0),IFERROR(_xlfn.XLOOKUP(D24,客户信息底表!BD:BD,客户信息底表!G:G,,0),"底表未登记")))))</f>
        <v/>
      </c>
      <c r="I24" t="str">
        <f>IF(D24="","","整："&amp;数据输入表!J27&amp;"，散："&amp;数据输入表!K27&amp;"；重量kg："&amp;数据输入表!L27&amp;"，体积："&amp;数据输入表!M27)</f>
        <v/>
      </c>
    </row>
    <row r="25" spans="1:9" x14ac:dyDescent="0.25">
      <c r="A25" t="str">
        <f t="shared" si="1"/>
        <v/>
      </c>
      <c r="B25" s="1"/>
      <c r="C25" t="str">
        <f t="shared" si="0"/>
        <v/>
      </c>
      <c r="D25" t="str">
        <f>IF(数据输入表!H28="","",数据输入表!H28)</f>
        <v/>
      </c>
      <c r="E25" t="str">
        <f>IF(D25="","",IFERROR(_xlfn.XLOOKUP(D25,客户信息底表!B:B,客户信息底表!Q:Q,,0),IFERROR(_xlfn.XLOOKUP(D25,客户信息底表!BB:BB,客户信息底表!Q:Q,,0),IFERROR(_xlfn.XLOOKUP(D25,客户信息底表!BC:BC,客户信息底表!Q:Q,,0),IFERROR(_xlfn.XLOOKUP(D25,客户信息底表!BD:BD,客户信息底表!Q:Q,,0),"底表未登记")))))</f>
        <v/>
      </c>
      <c r="F25" t="str">
        <f>IF(D25="","",IFERROR(_xlfn.XLOOKUP(D25,客户信息底表!B:B,客户信息底表!R:R,,0),IFERROR(_xlfn.XLOOKUP(D25,客户信息底表!BB:BB,客户信息底表!R:R,,0),IFERROR(_xlfn.XLOOKUP(D25,客户信息底表!BC:BC,客户信息底表!R:R,,0),IFERROR(_xlfn.XLOOKUP(D25,客户信息底表!BD:BD,客户信息底表!R:R,,0),"底表未登记")))))</f>
        <v/>
      </c>
      <c r="G25" s="2" t="str">
        <f>IF(D25="","",IFERROR(_xlfn.XLOOKUP(D25,客户信息底表!B:B,客户信息底表!L:L,,0),IFERROR(_xlfn.XLOOKUP(D25,客户信息底表!BB:BB,客户信息底表!L:L,,0),IFERROR(_xlfn.XLOOKUP(D25,客户信息底表!BC:BC,客户信息底表!L:L,,0),IFERROR(_xlfn.XLOOKUP(D25,客户信息底表!BD:BD,客户信息底表!L:L,,0),"底表未登记")))))</f>
        <v/>
      </c>
      <c r="H25" t="str">
        <f>IF(D25="","",IFERROR(_xlfn.XLOOKUP(D25,客户信息底表!B:B,客户信息底表!G:G,,0),IFERROR(_xlfn.XLOOKUP(D25,客户信息底表!BB:BB,客户信息底表!G:G,,0),IFERROR(_xlfn.XLOOKUP(D25,客户信息底表!BC:BC,客户信息底表!G:G,,0),IFERROR(_xlfn.XLOOKUP(D25,客户信息底表!BD:BD,客户信息底表!G:G,,0),"底表未登记")))))</f>
        <v/>
      </c>
      <c r="I25" t="str">
        <f>IF(D25="","","整："&amp;数据输入表!J28&amp;"，散："&amp;数据输入表!K28&amp;"；重量kg："&amp;数据输入表!L28&amp;"，体积："&amp;数据输入表!M28)</f>
        <v/>
      </c>
    </row>
    <row r="26" spans="1:9" x14ac:dyDescent="0.25">
      <c r="A26" t="str">
        <f t="shared" si="1"/>
        <v/>
      </c>
      <c r="C26" t="str">
        <f t="shared" si="0"/>
        <v/>
      </c>
      <c r="D26" t="str">
        <f>IF(数据输入表!H29="","",数据输入表!H29)</f>
        <v/>
      </c>
      <c r="E26" t="str">
        <f>IF(D26="","",IFERROR(_xlfn.XLOOKUP(D26,客户信息底表!B:B,客户信息底表!Q:Q,,0),IFERROR(_xlfn.XLOOKUP(D26,客户信息底表!BB:BB,客户信息底表!Q:Q,,0),IFERROR(_xlfn.XLOOKUP(D26,客户信息底表!BC:BC,客户信息底表!Q:Q,,0),IFERROR(_xlfn.XLOOKUP(D26,客户信息底表!BD:BD,客户信息底表!Q:Q,,0),"底表未登记")))))</f>
        <v/>
      </c>
      <c r="F26" t="str">
        <f>IF(D26="","",IFERROR(_xlfn.XLOOKUP(D26,客户信息底表!B:B,客户信息底表!R:R,,0),IFERROR(_xlfn.XLOOKUP(D26,客户信息底表!BB:BB,客户信息底表!R:R,,0),IFERROR(_xlfn.XLOOKUP(D26,客户信息底表!BC:BC,客户信息底表!R:R,,0),IFERROR(_xlfn.XLOOKUP(D26,客户信息底表!BD:BD,客户信息底表!R:R,,0),"底表未登记")))))</f>
        <v/>
      </c>
      <c r="G26" s="2" t="str">
        <f>IF(D26="","",IFERROR(_xlfn.XLOOKUP(D26,客户信息底表!B:B,客户信息底表!L:L,,0),IFERROR(_xlfn.XLOOKUP(D26,客户信息底表!BB:BB,客户信息底表!L:L,,0),IFERROR(_xlfn.XLOOKUP(D26,客户信息底表!BC:BC,客户信息底表!L:L,,0),IFERROR(_xlfn.XLOOKUP(D26,客户信息底表!BD:BD,客户信息底表!L:L,,0),"底表未登记")))))</f>
        <v/>
      </c>
      <c r="H26" t="str">
        <f>IF(D26="","",IFERROR(_xlfn.XLOOKUP(D26,客户信息底表!B:B,客户信息底表!G:G,,0),IFERROR(_xlfn.XLOOKUP(D26,客户信息底表!BB:BB,客户信息底表!G:G,,0),IFERROR(_xlfn.XLOOKUP(D26,客户信息底表!BC:BC,客户信息底表!G:G,,0),IFERROR(_xlfn.XLOOKUP(D26,客户信息底表!BD:BD,客户信息底表!G:G,,0),"底表未登记")))))</f>
        <v/>
      </c>
      <c r="I26" t="str">
        <f>IF(D26="","","整："&amp;数据输入表!J29&amp;"，散："&amp;数据输入表!K29&amp;"；重量kg："&amp;数据输入表!L29&amp;"，体积："&amp;数据输入表!M29)</f>
        <v/>
      </c>
    </row>
    <row r="27" spans="1:9" x14ac:dyDescent="0.25">
      <c r="A27" t="str">
        <f t="shared" si="1"/>
        <v/>
      </c>
      <c r="C27" t="str">
        <f t="shared" si="0"/>
        <v/>
      </c>
      <c r="D27" t="str">
        <f>IF(数据输入表!H30="","",数据输入表!H30)</f>
        <v/>
      </c>
      <c r="E27" t="str">
        <f>IF(D27="","",IFERROR(_xlfn.XLOOKUP(D27,客户信息底表!B:B,客户信息底表!Q:Q,,0),IFERROR(_xlfn.XLOOKUP(D27,客户信息底表!BB:BB,客户信息底表!Q:Q,,0),IFERROR(_xlfn.XLOOKUP(D27,客户信息底表!BC:BC,客户信息底表!Q:Q,,0),IFERROR(_xlfn.XLOOKUP(D27,客户信息底表!BD:BD,客户信息底表!Q:Q,,0),"底表未登记")))))</f>
        <v/>
      </c>
      <c r="F27" t="str">
        <f>IF(D27="","",IFERROR(_xlfn.XLOOKUP(D27,客户信息底表!B:B,客户信息底表!R:R,,0),IFERROR(_xlfn.XLOOKUP(D27,客户信息底表!BB:BB,客户信息底表!R:R,,0),IFERROR(_xlfn.XLOOKUP(D27,客户信息底表!BC:BC,客户信息底表!R:R,,0),IFERROR(_xlfn.XLOOKUP(D27,客户信息底表!BD:BD,客户信息底表!R:R,,0),"底表未登记")))))</f>
        <v/>
      </c>
      <c r="G27" s="2" t="str">
        <f>IF(D27="","",IFERROR(_xlfn.XLOOKUP(D27,客户信息底表!B:B,客户信息底表!L:L,,0),IFERROR(_xlfn.XLOOKUP(D27,客户信息底表!BB:BB,客户信息底表!L:L,,0),IFERROR(_xlfn.XLOOKUP(D27,客户信息底表!BC:BC,客户信息底表!L:L,,0),IFERROR(_xlfn.XLOOKUP(D27,客户信息底表!BD:BD,客户信息底表!L:L,,0),"底表未登记")))))</f>
        <v/>
      </c>
      <c r="H27" t="str">
        <f>IF(D27="","",IFERROR(_xlfn.XLOOKUP(D27,客户信息底表!B:B,客户信息底表!G:G,,0),IFERROR(_xlfn.XLOOKUP(D27,客户信息底表!BB:BB,客户信息底表!G:G,,0),IFERROR(_xlfn.XLOOKUP(D27,客户信息底表!BC:BC,客户信息底表!G:G,,0),IFERROR(_xlfn.XLOOKUP(D27,客户信息底表!BD:BD,客户信息底表!G:G,,0),"底表未登记")))))</f>
        <v/>
      </c>
      <c r="I27" t="str">
        <f>IF(D27="","","整："&amp;数据输入表!J30&amp;"，散："&amp;数据输入表!K30&amp;"；重量kg："&amp;数据输入表!L30&amp;"，体积："&amp;数据输入表!M30)</f>
        <v/>
      </c>
    </row>
    <row r="28" spans="1:9" x14ac:dyDescent="0.25">
      <c r="A28" t="str">
        <f t="shared" si="1"/>
        <v/>
      </c>
      <c r="C28" t="str">
        <f t="shared" si="0"/>
        <v/>
      </c>
      <c r="D28" t="str">
        <f>IF(数据输入表!H31="","",数据输入表!H31)</f>
        <v/>
      </c>
      <c r="E28" t="str">
        <f>IF(D28="","",IFERROR(_xlfn.XLOOKUP(D28,客户信息底表!B:B,客户信息底表!Q:Q,,0),IFERROR(_xlfn.XLOOKUP(D28,客户信息底表!BB:BB,客户信息底表!Q:Q,,0),IFERROR(_xlfn.XLOOKUP(D28,客户信息底表!BC:BC,客户信息底表!Q:Q,,0),IFERROR(_xlfn.XLOOKUP(D28,客户信息底表!BD:BD,客户信息底表!Q:Q,,0),"底表未登记")))))</f>
        <v/>
      </c>
      <c r="F28" t="str">
        <f>IF(D28="","",IFERROR(_xlfn.XLOOKUP(D28,客户信息底表!B:B,客户信息底表!R:R,,0),IFERROR(_xlfn.XLOOKUP(D28,客户信息底表!BB:BB,客户信息底表!R:R,,0),IFERROR(_xlfn.XLOOKUP(D28,客户信息底表!BC:BC,客户信息底表!R:R,,0),IFERROR(_xlfn.XLOOKUP(D28,客户信息底表!BD:BD,客户信息底表!R:R,,0),"底表未登记")))))</f>
        <v/>
      </c>
      <c r="G28" s="2" t="str">
        <f>IF(D28="","",IFERROR(_xlfn.XLOOKUP(D28,客户信息底表!B:B,客户信息底表!L:L,,0),IFERROR(_xlfn.XLOOKUP(D28,客户信息底表!BB:BB,客户信息底表!L:L,,0),IFERROR(_xlfn.XLOOKUP(D28,客户信息底表!BC:BC,客户信息底表!L:L,,0),IFERROR(_xlfn.XLOOKUP(D28,客户信息底表!BD:BD,客户信息底表!L:L,,0),"底表未登记")))))</f>
        <v/>
      </c>
      <c r="H28" t="str">
        <f>IF(D28="","",IFERROR(_xlfn.XLOOKUP(D28,客户信息底表!B:B,客户信息底表!G:G,,0),IFERROR(_xlfn.XLOOKUP(D28,客户信息底表!BB:BB,客户信息底表!G:G,,0),IFERROR(_xlfn.XLOOKUP(D28,客户信息底表!BC:BC,客户信息底表!G:G,,0),IFERROR(_xlfn.XLOOKUP(D28,客户信息底表!BD:BD,客户信息底表!G:G,,0),"底表未登记")))))</f>
        <v/>
      </c>
      <c r="I28" t="str">
        <f>IF(D28="","","整："&amp;数据输入表!J31&amp;"，散："&amp;数据输入表!K31&amp;"；重量kg："&amp;数据输入表!L31&amp;"，体积："&amp;数据输入表!M31)</f>
        <v/>
      </c>
    </row>
    <row r="29" spans="1:9" x14ac:dyDescent="0.25">
      <c r="A29" t="str">
        <f t="shared" si="1"/>
        <v/>
      </c>
      <c r="C29" t="str">
        <f t="shared" si="0"/>
        <v/>
      </c>
      <c r="D29" t="str">
        <f>IF(数据输入表!H32="","",数据输入表!H32)</f>
        <v/>
      </c>
      <c r="E29" t="str">
        <f>IF(D29="","",IFERROR(_xlfn.XLOOKUP(D29,客户信息底表!B:B,客户信息底表!Q:Q,,0),IFERROR(_xlfn.XLOOKUP(D29,客户信息底表!BB:BB,客户信息底表!Q:Q,,0),IFERROR(_xlfn.XLOOKUP(D29,客户信息底表!BC:BC,客户信息底表!Q:Q,,0),IFERROR(_xlfn.XLOOKUP(D29,客户信息底表!BD:BD,客户信息底表!Q:Q,,0),"底表未登记")))))</f>
        <v/>
      </c>
      <c r="F29" t="str">
        <f>IF(D29="","",IFERROR(_xlfn.XLOOKUP(D29,客户信息底表!B:B,客户信息底表!R:R,,0),IFERROR(_xlfn.XLOOKUP(D29,客户信息底表!BB:BB,客户信息底表!R:R,,0),IFERROR(_xlfn.XLOOKUP(D29,客户信息底表!BC:BC,客户信息底表!R:R,,0),IFERROR(_xlfn.XLOOKUP(D29,客户信息底表!BD:BD,客户信息底表!R:R,,0),"底表未登记")))))</f>
        <v/>
      </c>
      <c r="G29" s="2" t="str">
        <f>IF(D29="","",IFERROR(_xlfn.XLOOKUP(D29,客户信息底表!B:B,客户信息底表!L:L,,0),IFERROR(_xlfn.XLOOKUP(D29,客户信息底表!BB:BB,客户信息底表!L:L,,0),IFERROR(_xlfn.XLOOKUP(D29,客户信息底表!BC:BC,客户信息底表!L:L,,0),IFERROR(_xlfn.XLOOKUP(D29,客户信息底表!BD:BD,客户信息底表!L:L,,0),"底表未登记")))))</f>
        <v/>
      </c>
      <c r="H29" t="str">
        <f>IF(D29="","",IFERROR(_xlfn.XLOOKUP(D29,客户信息底表!B:B,客户信息底表!G:G,,0),IFERROR(_xlfn.XLOOKUP(D29,客户信息底表!BB:BB,客户信息底表!G:G,,0),IFERROR(_xlfn.XLOOKUP(D29,客户信息底表!BC:BC,客户信息底表!G:G,,0),IFERROR(_xlfn.XLOOKUP(D29,客户信息底表!BD:BD,客户信息底表!G:G,,0),"底表未登记")))))</f>
        <v/>
      </c>
      <c r="I29" t="str">
        <f>IF(D29="","","整："&amp;数据输入表!J32&amp;"，散："&amp;数据输入表!K32&amp;"；重量kg："&amp;数据输入表!L32&amp;"，体积："&amp;数据输入表!M32)</f>
        <v/>
      </c>
    </row>
    <row r="30" spans="1:9" x14ac:dyDescent="0.25">
      <c r="A30" t="str">
        <f t="shared" si="1"/>
        <v/>
      </c>
      <c r="C30" t="str">
        <f t="shared" si="0"/>
        <v/>
      </c>
      <c r="D30" t="str">
        <f>IF(数据输入表!H33="","",数据输入表!H33)</f>
        <v/>
      </c>
      <c r="E30" t="str">
        <f>IF(D30="","",IFERROR(_xlfn.XLOOKUP(D30,客户信息底表!B:B,客户信息底表!Q:Q,,0),IFERROR(_xlfn.XLOOKUP(D30,客户信息底表!BB:BB,客户信息底表!Q:Q,,0),IFERROR(_xlfn.XLOOKUP(D30,客户信息底表!BC:BC,客户信息底表!Q:Q,,0),IFERROR(_xlfn.XLOOKUP(D30,客户信息底表!BD:BD,客户信息底表!Q:Q,,0),"底表未登记")))))</f>
        <v/>
      </c>
      <c r="F30" t="str">
        <f>IF(D30="","",IFERROR(_xlfn.XLOOKUP(D30,客户信息底表!B:B,客户信息底表!R:R,,0),IFERROR(_xlfn.XLOOKUP(D30,客户信息底表!BB:BB,客户信息底表!R:R,,0),IFERROR(_xlfn.XLOOKUP(D30,客户信息底表!BC:BC,客户信息底表!R:R,,0),IFERROR(_xlfn.XLOOKUP(D30,客户信息底表!BD:BD,客户信息底表!R:R,,0),"底表未登记")))))</f>
        <v/>
      </c>
      <c r="G30" s="2" t="str">
        <f>IF(D30="","",IFERROR(_xlfn.XLOOKUP(D30,客户信息底表!B:B,客户信息底表!L:L,,0),IFERROR(_xlfn.XLOOKUP(D30,客户信息底表!BB:BB,客户信息底表!L:L,,0),IFERROR(_xlfn.XLOOKUP(D30,客户信息底表!BC:BC,客户信息底表!L:L,,0),IFERROR(_xlfn.XLOOKUP(D30,客户信息底表!BD:BD,客户信息底表!L:L,,0),"底表未登记")))))</f>
        <v/>
      </c>
      <c r="H30" t="str">
        <f>IF(D30="","",IFERROR(_xlfn.XLOOKUP(D30,客户信息底表!B:B,客户信息底表!G:G,,0),IFERROR(_xlfn.XLOOKUP(D30,客户信息底表!BB:BB,客户信息底表!G:G,,0),IFERROR(_xlfn.XLOOKUP(D30,客户信息底表!BC:BC,客户信息底表!G:G,,0),IFERROR(_xlfn.XLOOKUP(D30,客户信息底表!BD:BD,客户信息底表!G:G,,0),"底表未登记")))))</f>
        <v/>
      </c>
      <c r="I30" t="str">
        <f>IF(D30="","","整："&amp;数据输入表!J33&amp;"，散："&amp;数据输入表!K33&amp;"；重量kg："&amp;数据输入表!L33&amp;"，体积："&amp;数据输入表!M33)</f>
        <v/>
      </c>
    </row>
    <row r="31" spans="1:9" x14ac:dyDescent="0.25">
      <c r="A31" t="str">
        <f t="shared" si="1"/>
        <v/>
      </c>
      <c r="C31" t="str">
        <f t="shared" si="0"/>
        <v/>
      </c>
      <c r="D31" t="str">
        <f>IF(数据输入表!H34="","",数据输入表!H34)</f>
        <v/>
      </c>
      <c r="E31" t="str">
        <f>IF(D31="","",IFERROR(_xlfn.XLOOKUP(D31,客户信息底表!B:B,客户信息底表!Q:Q,,0),IFERROR(_xlfn.XLOOKUP(D31,客户信息底表!BB:BB,客户信息底表!Q:Q,,0),IFERROR(_xlfn.XLOOKUP(D31,客户信息底表!BC:BC,客户信息底表!Q:Q,,0),IFERROR(_xlfn.XLOOKUP(D31,客户信息底表!BD:BD,客户信息底表!Q:Q,,0),"底表未登记")))))</f>
        <v/>
      </c>
      <c r="F31" t="str">
        <f>IF(D31="","",IFERROR(_xlfn.XLOOKUP(D31,客户信息底表!B:B,客户信息底表!R:R,,0),IFERROR(_xlfn.XLOOKUP(D31,客户信息底表!BB:BB,客户信息底表!R:R,,0),IFERROR(_xlfn.XLOOKUP(D31,客户信息底表!BC:BC,客户信息底表!R:R,,0),IFERROR(_xlfn.XLOOKUP(D31,客户信息底表!BD:BD,客户信息底表!R:R,,0),"底表未登记")))))</f>
        <v/>
      </c>
      <c r="G31" s="2" t="str">
        <f>IF(D31="","",IFERROR(_xlfn.XLOOKUP(D31,客户信息底表!B:B,客户信息底表!L:L,,0),IFERROR(_xlfn.XLOOKUP(D31,客户信息底表!BB:BB,客户信息底表!L:L,,0),IFERROR(_xlfn.XLOOKUP(D31,客户信息底表!BC:BC,客户信息底表!L:L,,0),IFERROR(_xlfn.XLOOKUP(D31,客户信息底表!BD:BD,客户信息底表!L:L,,0),"底表未登记")))))</f>
        <v/>
      </c>
      <c r="H31" t="str">
        <f>IF(D31="","",IFERROR(_xlfn.XLOOKUP(D31,客户信息底表!B:B,客户信息底表!G:G,,0),IFERROR(_xlfn.XLOOKUP(D31,客户信息底表!BB:BB,客户信息底表!G:G,,0),IFERROR(_xlfn.XLOOKUP(D31,客户信息底表!BC:BC,客户信息底表!G:G,,0),IFERROR(_xlfn.XLOOKUP(D31,客户信息底表!BD:BD,客户信息底表!G:G,,0),"底表未登记")))))</f>
        <v/>
      </c>
      <c r="I31" t="str">
        <f>IF(D31="","","整："&amp;数据输入表!J34&amp;"，散："&amp;数据输入表!K34&amp;"；重量kg："&amp;数据输入表!L34&amp;"，体积："&amp;数据输入表!M34)</f>
        <v/>
      </c>
    </row>
    <row r="32" spans="1:9" x14ac:dyDescent="0.25">
      <c r="A32" t="str">
        <f t="shared" si="1"/>
        <v/>
      </c>
      <c r="C32" t="str">
        <f t="shared" si="0"/>
        <v/>
      </c>
      <c r="D32" t="str">
        <f>IF(数据输入表!H35="","",数据输入表!H35)</f>
        <v/>
      </c>
      <c r="E32" t="str">
        <f>IF(D32="","",IFERROR(_xlfn.XLOOKUP(D32,客户信息底表!B:B,客户信息底表!Q:Q,,0),IFERROR(_xlfn.XLOOKUP(D32,客户信息底表!BB:BB,客户信息底表!Q:Q,,0),IFERROR(_xlfn.XLOOKUP(D32,客户信息底表!BC:BC,客户信息底表!Q:Q,,0),IFERROR(_xlfn.XLOOKUP(D32,客户信息底表!BD:BD,客户信息底表!Q:Q,,0),"底表未登记")))))</f>
        <v/>
      </c>
      <c r="F32" t="str">
        <f>IF(D32="","",IFERROR(_xlfn.XLOOKUP(D32,客户信息底表!B:B,客户信息底表!R:R,,0),IFERROR(_xlfn.XLOOKUP(D32,客户信息底表!BB:BB,客户信息底表!R:R,,0),IFERROR(_xlfn.XLOOKUP(D32,客户信息底表!BC:BC,客户信息底表!R:R,,0),IFERROR(_xlfn.XLOOKUP(D32,客户信息底表!BD:BD,客户信息底表!R:R,,0),"底表未登记")))))</f>
        <v/>
      </c>
      <c r="G32" s="2" t="str">
        <f>IF(D32="","",IFERROR(_xlfn.XLOOKUP(D32,客户信息底表!B:B,客户信息底表!L:L,,0),IFERROR(_xlfn.XLOOKUP(D32,客户信息底表!BB:BB,客户信息底表!L:L,,0),IFERROR(_xlfn.XLOOKUP(D32,客户信息底表!BC:BC,客户信息底表!L:L,,0),IFERROR(_xlfn.XLOOKUP(D32,客户信息底表!BD:BD,客户信息底表!L:L,,0),"底表未登记")))))</f>
        <v/>
      </c>
      <c r="H32" t="str">
        <f>IF(D32="","",IFERROR(_xlfn.XLOOKUP(D32,客户信息底表!B:B,客户信息底表!G:G,,0),IFERROR(_xlfn.XLOOKUP(D32,客户信息底表!BB:BB,客户信息底表!G:G,,0),IFERROR(_xlfn.XLOOKUP(D32,客户信息底表!BC:BC,客户信息底表!G:G,,0),IFERROR(_xlfn.XLOOKUP(D32,客户信息底表!BD:BD,客户信息底表!G:G,,0),"底表未登记")))))</f>
        <v/>
      </c>
      <c r="I32" t="str">
        <f>IF(D32="","","整："&amp;数据输入表!J35&amp;"，散："&amp;数据输入表!K35&amp;"；重量kg："&amp;数据输入表!L35&amp;"，体积："&amp;数据输入表!M35)</f>
        <v/>
      </c>
    </row>
    <row r="33" spans="1:9" x14ac:dyDescent="0.25">
      <c r="A33" t="str">
        <f t="shared" si="1"/>
        <v/>
      </c>
      <c r="C33" t="str">
        <f t="shared" si="0"/>
        <v/>
      </c>
      <c r="D33" t="str">
        <f>IF(数据输入表!H36="","",数据输入表!H36)</f>
        <v/>
      </c>
      <c r="E33" t="str">
        <f>IF(D33="","",IFERROR(_xlfn.XLOOKUP(D33,客户信息底表!B:B,客户信息底表!Q:Q,,0),IFERROR(_xlfn.XLOOKUP(D33,客户信息底表!BB:BB,客户信息底表!Q:Q,,0),IFERROR(_xlfn.XLOOKUP(D33,客户信息底表!BC:BC,客户信息底表!Q:Q,,0),IFERROR(_xlfn.XLOOKUP(D33,客户信息底表!BD:BD,客户信息底表!Q:Q,,0),"底表未登记")))))</f>
        <v/>
      </c>
      <c r="F33" t="str">
        <f>IF(D33="","",IFERROR(_xlfn.XLOOKUP(D33,客户信息底表!B:B,客户信息底表!R:R,,0),IFERROR(_xlfn.XLOOKUP(D33,客户信息底表!BB:BB,客户信息底表!R:R,,0),IFERROR(_xlfn.XLOOKUP(D33,客户信息底表!BC:BC,客户信息底表!R:R,,0),IFERROR(_xlfn.XLOOKUP(D33,客户信息底表!BD:BD,客户信息底表!R:R,,0),"底表未登记")))))</f>
        <v/>
      </c>
      <c r="G33" s="2" t="str">
        <f>IF(D33="","",IFERROR(_xlfn.XLOOKUP(D33,客户信息底表!B:B,客户信息底表!L:L,,0),IFERROR(_xlfn.XLOOKUP(D33,客户信息底表!BB:BB,客户信息底表!L:L,,0),IFERROR(_xlfn.XLOOKUP(D33,客户信息底表!BC:BC,客户信息底表!L:L,,0),IFERROR(_xlfn.XLOOKUP(D33,客户信息底表!BD:BD,客户信息底表!L:L,,0),"底表未登记")))))</f>
        <v/>
      </c>
      <c r="H33" t="str">
        <f>IF(D33="","",IFERROR(_xlfn.XLOOKUP(D33,客户信息底表!B:B,客户信息底表!G:G,,0),IFERROR(_xlfn.XLOOKUP(D33,客户信息底表!BB:BB,客户信息底表!G:G,,0),IFERROR(_xlfn.XLOOKUP(D33,客户信息底表!BC:BC,客户信息底表!G:G,,0),IFERROR(_xlfn.XLOOKUP(D33,客户信息底表!BD:BD,客户信息底表!G:G,,0),"底表未登记")))))</f>
        <v/>
      </c>
      <c r="I33" t="str">
        <f>IF(D33="","","整："&amp;数据输入表!J36&amp;"，散："&amp;数据输入表!K36&amp;"；重量kg："&amp;数据输入表!L36&amp;"，体积："&amp;数据输入表!M36)</f>
        <v/>
      </c>
    </row>
    <row r="34" spans="1:9" x14ac:dyDescent="0.25">
      <c r="A34" t="str">
        <f t="shared" si="1"/>
        <v/>
      </c>
      <c r="C34" t="str">
        <f t="shared" si="0"/>
        <v/>
      </c>
      <c r="D34" t="str">
        <f>IF(数据输入表!H37="","",数据输入表!H37)</f>
        <v/>
      </c>
      <c r="E34" t="str">
        <f>IF(D34="","",IFERROR(_xlfn.XLOOKUP(D34,客户信息底表!B:B,客户信息底表!Q:Q,,0),IFERROR(_xlfn.XLOOKUP(D34,客户信息底表!BB:BB,客户信息底表!Q:Q,,0),IFERROR(_xlfn.XLOOKUP(D34,客户信息底表!BC:BC,客户信息底表!Q:Q,,0),IFERROR(_xlfn.XLOOKUP(D34,客户信息底表!BD:BD,客户信息底表!Q:Q,,0),"底表未登记")))))</f>
        <v/>
      </c>
      <c r="F34" t="str">
        <f>IF(D34="","",IFERROR(_xlfn.XLOOKUP(D34,客户信息底表!B:B,客户信息底表!R:R,,0),IFERROR(_xlfn.XLOOKUP(D34,客户信息底表!BB:BB,客户信息底表!R:R,,0),IFERROR(_xlfn.XLOOKUP(D34,客户信息底表!BC:BC,客户信息底表!R:R,,0),IFERROR(_xlfn.XLOOKUP(D34,客户信息底表!BD:BD,客户信息底表!R:R,,0),"底表未登记")))))</f>
        <v/>
      </c>
      <c r="G34" s="2" t="str">
        <f>IF(D34="","",IFERROR(_xlfn.XLOOKUP(D34,客户信息底表!B:B,客户信息底表!L:L,,0),IFERROR(_xlfn.XLOOKUP(D34,客户信息底表!BB:BB,客户信息底表!L:L,,0),IFERROR(_xlfn.XLOOKUP(D34,客户信息底表!BC:BC,客户信息底表!L:L,,0),IFERROR(_xlfn.XLOOKUP(D34,客户信息底表!BD:BD,客户信息底表!L:L,,0),"底表未登记")))))</f>
        <v/>
      </c>
      <c r="H34" t="str">
        <f>IF(D34="","",IFERROR(_xlfn.XLOOKUP(D34,客户信息底表!B:B,客户信息底表!G:G,,0),IFERROR(_xlfn.XLOOKUP(D34,客户信息底表!BB:BB,客户信息底表!G:G,,0),IFERROR(_xlfn.XLOOKUP(D34,客户信息底表!BC:BC,客户信息底表!G:G,,0),IFERROR(_xlfn.XLOOKUP(D34,客户信息底表!BD:BD,客户信息底表!G:G,,0),"底表未登记")))))</f>
        <v/>
      </c>
      <c r="I34" t="str">
        <f>IF(D34="","","整："&amp;数据输入表!J37&amp;"，散："&amp;数据输入表!K37&amp;"；重量kg："&amp;数据输入表!L37&amp;"，体积："&amp;数据输入表!M37)</f>
        <v/>
      </c>
    </row>
    <row r="35" spans="1:9" x14ac:dyDescent="0.25">
      <c r="A35" t="str">
        <f t="shared" si="1"/>
        <v/>
      </c>
      <c r="C35" t="str">
        <f t="shared" si="0"/>
        <v/>
      </c>
      <c r="D35" t="str">
        <f>IF(数据输入表!H38="","",数据输入表!H38)</f>
        <v/>
      </c>
      <c r="E35" t="str">
        <f>IF(D35="","",IFERROR(_xlfn.XLOOKUP(D35,客户信息底表!B:B,客户信息底表!Q:Q,,0),IFERROR(_xlfn.XLOOKUP(D35,客户信息底表!BB:BB,客户信息底表!Q:Q,,0),IFERROR(_xlfn.XLOOKUP(D35,客户信息底表!BC:BC,客户信息底表!Q:Q,,0),IFERROR(_xlfn.XLOOKUP(D35,客户信息底表!BD:BD,客户信息底表!Q:Q,,0),"底表未登记")))))</f>
        <v/>
      </c>
      <c r="F35" t="str">
        <f>IF(D35="","",IFERROR(_xlfn.XLOOKUP(D35,客户信息底表!B:B,客户信息底表!R:R,,0),IFERROR(_xlfn.XLOOKUP(D35,客户信息底表!BB:BB,客户信息底表!R:R,,0),IFERROR(_xlfn.XLOOKUP(D35,客户信息底表!BC:BC,客户信息底表!R:R,,0),IFERROR(_xlfn.XLOOKUP(D35,客户信息底表!BD:BD,客户信息底表!R:R,,0),"底表未登记")))))</f>
        <v/>
      </c>
      <c r="G35" s="2" t="str">
        <f>IF(D35="","",IFERROR(_xlfn.XLOOKUP(D35,客户信息底表!B:B,客户信息底表!L:L,,0),IFERROR(_xlfn.XLOOKUP(D35,客户信息底表!BB:BB,客户信息底表!L:L,,0),IFERROR(_xlfn.XLOOKUP(D35,客户信息底表!BC:BC,客户信息底表!L:L,,0),IFERROR(_xlfn.XLOOKUP(D35,客户信息底表!BD:BD,客户信息底表!L:L,,0),"底表未登记")))))</f>
        <v/>
      </c>
      <c r="H35" t="str">
        <f>IF(D35="","",IFERROR(_xlfn.XLOOKUP(D35,客户信息底表!B:B,客户信息底表!G:G,,0),IFERROR(_xlfn.XLOOKUP(D35,客户信息底表!BB:BB,客户信息底表!G:G,,0),IFERROR(_xlfn.XLOOKUP(D35,客户信息底表!BC:BC,客户信息底表!G:G,,0),IFERROR(_xlfn.XLOOKUP(D35,客户信息底表!BD:BD,客户信息底表!G:G,,0),"底表未登记")))))</f>
        <v/>
      </c>
      <c r="I35" t="str">
        <f>IF(D35="","","整："&amp;数据输入表!J38&amp;"，散："&amp;数据输入表!K38&amp;"；重量kg："&amp;数据输入表!L38&amp;"，体积："&amp;数据输入表!M38)</f>
        <v/>
      </c>
    </row>
    <row r="36" spans="1:9" x14ac:dyDescent="0.25">
      <c r="A36" t="str">
        <f t="shared" si="1"/>
        <v/>
      </c>
      <c r="C36" t="str">
        <f t="shared" si="0"/>
        <v/>
      </c>
      <c r="D36" t="str">
        <f>IF(数据输入表!H39="","",数据输入表!H39)</f>
        <v/>
      </c>
      <c r="E36" t="str">
        <f>IF(D36="","",IFERROR(_xlfn.XLOOKUP(D36,客户信息底表!B:B,客户信息底表!Q:Q,,0),IFERROR(_xlfn.XLOOKUP(D36,客户信息底表!BB:BB,客户信息底表!Q:Q,,0),IFERROR(_xlfn.XLOOKUP(D36,客户信息底表!BC:BC,客户信息底表!Q:Q,,0),IFERROR(_xlfn.XLOOKUP(D36,客户信息底表!BD:BD,客户信息底表!Q:Q,,0),"底表未登记")))))</f>
        <v/>
      </c>
      <c r="F36" t="str">
        <f>IF(D36="","",IFERROR(_xlfn.XLOOKUP(D36,客户信息底表!B:B,客户信息底表!R:R,,0),IFERROR(_xlfn.XLOOKUP(D36,客户信息底表!BB:BB,客户信息底表!R:R,,0),IFERROR(_xlfn.XLOOKUP(D36,客户信息底表!BC:BC,客户信息底表!R:R,,0),IFERROR(_xlfn.XLOOKUP(D36,客户信息底表!BD:BD,客户信息底表!R:R,,0),"底表未登记")))))</f>
        <v/>
      </c>
      <c r="G36" s="2" t="str">
        <f>IF(D36="","",IFERROR(_xlfn.XLOOKUP(D36,客户信息底表!B:B,客户信息底表!L:L,,0),IFERROR(_xlfn.XLOOKUP(D36,客户信息底表!BB:BB,客户信息底表!L:L,,0),IFERROR(_xlfn.XLOOKUP(D36,客户信息底表!BC:BC,客户信息底表!L:L,,0),IFERROR(_xlfn.XLOOKUP(D36,客户信息底表!BD:BD,客户信息底表!L:L,,0),"底表未登记")))))</f>
        <v/>
      </c>
      <c r="H36" t="str">
        <f>IF(D36="","",IFERROR(_xlfn.XLOOKUP(D36,客户信息底表!B:B,客户信息底表!G:G,,0),IFERROR(_xlfn.XLOOKUP(D36,客户信息底表!BB:BB,客户信息底表!G:G,,0),IFERROR(_xlfn.XLOOKUP(D36,客户信息底表!BC:BC,客户信息底表!G:G,,0),IFERROR(_xlfn.XLOOKUP(D36,客户信息底表!BD:BD,客户信息底表!G:G,,0),"底表未登记")))))</f>
        <v/>
      </c>
      <c r="I36" t="str">
        <f>IF(D36="","","整："&amp;数据输入表!J39&amp;"，散："&amp;数据输入表!K39&amp;"；重量kg："&amp;数据输入表!L39&amp;"，体积："&amp;数据输入表!M39)</f>
        <v/>
      </c>
    </row>
    <row r="37" spans="1:9" x14ac:dyDescent="0.25">
      <c r="A37" t="str">
        <f t="shared" si="1"/>
        <v/>
      </c>
      <c r="C37" t="str">
        <f t="shared" si="0"/>
        <v/>
      </c>
      <c r="D37" t="str">
        <f>IF(数据输入表!H40="","",数据输入表!H40)</f>
        <v/>
      </c>
      <c r="E37" t="str">
        <f>IF(D37="","",IFERROR(_xlfn.XLOOKUP(D37,客户信息底表!B:B,客户信息底表!Q:Q,,0),IFERROR(_xlfn.XLOOKUP(D37,客户信息底表!BB:BB,客户信息底表!Q:Q,,0),IFERROR(_xlfn.XLOOKUP(D37,客户信息底表!BC:BC,客户信息底表!Q:Q,,0),IFERROR(_xlfn.XLOOKUP(D37,客户信息底表!BD:BD,客户信息底表!Q:Q,,0),"底表未登记")))))</f>
        <v/>
      </c>
      <c r="F37" t="str">
        <f>IF(D37="","",IFERROR(_xlfn.XLOOKUP(D37,客户信息底表!B:B,客户信息底表!R:R,,0),IFERROR(_xlfn.XLOOKUP(D37,客户信息底表!BB:BB,客户信息底表!R:R,,0),IFERROR(_xlfn.XLOOKUP(D37,客户信息底表!BC:BC,客户信息底表!R:R,,0),IFERROR(_xlfn.XLOOKUP(D37,客户信息底表!BD:BD,客户信息底表!R:R,,0),"底表未登记")))))</f>
        <v/>
      </c>
      <c r="G37" s="2" t="str">
        <f>IF(D37="","",IFERROR(_xlfn.XLOOKUP(D37,客户信息底表!B:B,客户信息底表!L:L,,0),IFERROR(_xlfn.XLOOKUP(D37,客户信息底表!BB:BB,客户信息底表!L:L,,0),IFERROR(_xlfn.XLOOKUP(D37,客户信息底表!BC:BC,客户信息底表!L:L,,0),IFERROR(_xlfn.XLOOKUP(D37,客户信息底表!BD:BD,客户信息底表!L:L,,0),"底表未登记")))))</f>
        <v/>
      </c>
      <c r="H37" t="str">
        <f>IF(D37="","",IFERROR(_xlfn.XLOOKUP(D37,客户信息底表!B:B,客户信息底表!G:G,,0),IFERROR(_xlfn.XLOOKUP(D37,客户信息底表!BB:BB,客户信息底表!G:G,,0),IFERROR(_xlfn.XLOOKUP(D37,客户信息底表!BC:BC,客户信息底表!G:G,,0),IFERROR(_xlfn.XLOOKUP(D37,客户信息底表!BD:BD,客户信息底表!G:G,,0),"底表未登记")))))</f>
        <v/>
      </c>
      <c r="I37" t="str">
        <f>IF(D37="","","整："&amp;数据输入表!J40&amp;"，散："&amp;数据输入表!K40&amp;"；重量kg："&amp;数据输入表!L40&amp;"，体积："&amp;数据输入表!M40)</f>
        <v/>
      </c>
    </row>
    <row r="38" spans="1:9" x14ac:dyDescent="0.25">
      <c r="A38" t="str">
        <f t="shared" si="1"/>
        <v/>
      </c>
      <c r="C38" t="str">
        <f t="shared" si="0"/>
        <v/>
      </c>
      <c r="E38" t="str">
        <f>IF(D38="","",IFERROR(_xlfn.XLOOKUP(D38,客户信息底表!B:B,客户信息底表!Q:Q,,0),IFERROR(_xlfn.XLOOKUP(D38,客户信息底表!BB:BB,客户信息底表!Q:Q,,0),IFERROR(_xlfn.XLOOKUP(D38,客户信息底表!BC:BC,客户信息底表!Q:Q,,0),IFERROR(_xlfn.XLOOKUP(D38,客户信息底表!BD:BD,客户信息底表!Q:Q,,0),"底表未登记")))))</f>
        <v/>
      </c>
      <c r="F38" t="str">
        <f>IF(D38="","",IFERROR(_xlfn.XLOOKUP(D38,客户信息底表!B:B,客户信息底表!R:R,,0),IFERROR(_xlfn.XLOOKUP(D38,客户信息底表!BB:BB,客户信息底表!R:R,,0),IFERROR(_xlfn.XLOOKUP(D38,客户信息底表!BC:BC,客户信息底表!R:R,,0),IFERROR(_xlfn.XLOOKUP(D38,客户信息底表!BD:BD,客户信息底表!R:R,,0),"底表未登记")))))</f>
        <v/>
      </c>
      <c r="G38" s="2" t="str">
        <f>IF(D38="","",IFERROR(_xlfn.XLOOKUP(D38,客户信息底表!B:B,客户信息底表!L:L,,0),IFERROR(_xlfn.XLOOKUP(D38,客户信息底表!BB:BB,客户信息底表!L:L,,0),IFERROR(_xlfn.XLOOKUP(D38,客户信息底表!BC:BC,客户信息底表!L:L,,0),IFERROR(_xlfn.XLOOKUP(D38,客户信息底表!BD:BD,客户信息底表!L:L,,0),"底表未登记")))))</f>
        <v/>
      </c>
      <c r="H38" t="str">
        <f>IF(D38="","",IFERROR(_xlfn.XLOOKUP(D38,客户信息底表!B:B,客户信息底表!G:G,,0),IFERROR(_xlfn.XLOOKUP(D38,客户信息底表!BB:BB,客户信息底表!G:G,,0),IFERROR(_xlfn.XLOOKUP(D38,客户信息底表!BC:BC,客户信息底表!G:G,,0),IFERROR(_xlfn.XLOOKUP(D38,客户信息底表!BD:BD,客户信息底表!G:G,,0),"底表未登记")))))</f>
        <v/>
      </c>
      <c r="I38" t="str">
        <f>IF(D38="","","整："&amp;数据输入表!J41&amp;"，散："&amp;数据输入表!K41&amp;"；重量kg："&amp;数据输入表!L41&amp;"，体积："&amp;数据输入表!M41)</f>
        <v/>
      </c>
    </row>
    <row r="39" spans="1:9" x14ac:dyDescent="0.25">
      <c r="A39" t="str">
        <f t="shared" si="1"/>
        <v/>
      </c>
      <c r="C39" t="str">
        <f t="shared" si="0"/>
        <v/>
      </c>
      <c r="E39" t="str">
        <f>IF(D39="","",IFERROR(_xlfn.XLOOKUP(D39,客户信息底表!B:B,客户信息底表!Q:Q,,0),IFERROR(_xlfn.XLOOKUP(D39,客户信息底表!BB:BB,客户信息底表!Q:Q,,0),IFERROR(_xlfn.XLOOKUP(D39,客户信息底表!BC:BC,客户信息底表!Q:Q,,0),IFERROR(_xlfn.XLOOKUP(D39,客户信息底表!BD:BD,客户信息底表!Q:Q,,0),"底表未登记")))))</f>
        <v/>
      </c>
      <c r="F39" t="str">
        <f>IF(D39="","",IFERROR(_xlfn.XLOOKUP(D39,客户信息底表!B:B,客户信息底表!R:R,,0),IFERROR(_xlfn.XLOOKUP(D39,客户信息底表!BB:BB,客户信息底表!R:R,,0),IFERROR(_xlfn.XLOOKUP(D39,客户信息底表!BC:BC,客户信息底表!R:R,,0),IFERROR(_xlfn.XLOOKUP(D39,客户信息底表!BD:BD,客户信息底表!R:R,,0),"底表未登记")))))</f>
        <v/>
      </c>
      <c r="G39" s="2" t="str">
        <f>IF(D39="","",IFERROR(_xlfn.XLOOKUP(D39,客户信息底表!B:B,客户信息底表!L:L,,0),IFERROR(_xlfn.XLOOKUP(D39,客户信息底表!BB:BB,客户信息底表!L:L,,0),IFERROR(_xlfn.XLOOKUP(D39,客户信息底表!BC:BC,客户信息底表!L:L,,0),IFERROR(_xlfn.XLOOKUP(D39,客户信息底表!BD:BD,客户信息底表!L:L,,0),"底表未登记")))))</f>
        <v/>
      </c>
      <c r="H39" t="str">
        <f>IF(D39="","",IFERROR(_xlfn.XLOOKUP(D39,客户信息底表!B:B,客户信息底表!G:G,,0),IFERROR(_xlfn.XLOOKUP(D39,客户信息底表!BB:BB,客户信息底表!G:G,,0),IFERROR(_xlfn.XLOOKUP(D39,客户信息底表!BC:BC,客户信息底表!G:G,,0),IFERROR(_xlfn.XLOOKUP(D39,客户信息底表!BD:BD,客户信息底表!G:G,,0),"底表未登记")))))</f>
        <v/>
      </c>
      <c r="I39" t="str">
        <f>IF(D39="","","整："&amp;数据输入表!J42&amp;"，散："&amp;数据输入表!K42&amp;"；重量kg："&amp;数据输入表!L42&amp;"，体积："&amp;数据输入表!M42)</f>
        <v/>
      </c>
    </row>
    <row r="40" spans="1:9" x14ac:dyDescent="0.25">
      <c r="A40" t="str">
        <f t="shared" si="1"/>
        <v/>
      </c>
      <c r="C40" t="str">
        <f t="shared" si="0"/>
        <v/>
      </c>
      <c r="E40" t="str">
        <f>IF(D40="","",IFERROR(_xlfn.XLOOKUP(D40,客户信息底表!B:B,客户信息底表!Q:Q,,0),IFERROR(_xlfn.XLOOKUP(D40,客户信息底表!BB:BB,客户信息底表!Q:Q,,0),IFERROR(_xlfn.XLOOKUP(D40,客户信息底表!BC:BC,客户信息底表!Q:Q,,0),IFERROR(_xlfn.XLOOKUP(D40,客户信息底表!BD:BD,客户信息底表!Q:Q,,0),"底表未登记")))))</f>
        <v/>
      </c>
      <c r="F40" t="str">
        <f>IF(D40="","",IFERROR(_xlfn.XLOOKUP(D40,客户信息底表!B:B,客户信息底表!R:R,,0),IFERROR(_xlfn.XLOOKUP(D40,客户信息底表!BB:BB,客户信息底表!R:R,,0),IFERROR(_xlfn.XLOOKUP(D40,客户信息底表!BC:BC,客户信息底表!R:R,,0),IFERROR(_xlfn.XLOOKUP(D40,客户信息底表!BD:BD,客户信息底表!R:R,,0),"底表未登记")))))</f>
        <v/>
      </c>
      <c r="G40" s="2" t="str">
        <f>IF(D40="","",IFERROR(_xlfn.XLOOKUP(D40,客户信息底表!B:B,客户信息底表!L:L,,0),IFERROR(_xlfn.XLOOKUP(D40,客户信息底表!BB:BB,客户信息底表!L:L,,0),IFERROR(_xlfn.XLOOKUP(D40,客户信息底表!BC:BC,客户信息底表!L:L,,0),IFERROR(_xlfn.XLOOKUP(D40,客户信息底表!BD:BD,客户信息底表!L:L,,0),"底表未登记")))))</f>
        <v/>
      </c>
      <c r="H40" t="str">
        <f>IF(D40="","",IFERROR(_xlfn.XLOOKUP(D40,客户信息底表!B:B,客户信息底表!G:G,,0),IFERROR(_xlfn.XLOOKUP(D40,客户信息底表!BB:BB,客户信息底表!G:G,,0),IFERROR(_xlfn.XLOOKUP(D40,客户信息底表!BC:BC,客户信息底表!G:G,,0),IFERROR(_xlfn.XLOOKUP(D40,客户信息底表!BD:BD,客户信息底表!G:G,,0),"底表未登记")))))</f>
        <v/>
      </c>
      <c r="I40" t="str">
        <f>IF(D40="","","整："&amp;数据输入表!J43&amp;"，散："&amp;数据输入表!K43&amp;"；重量kg："&amp;数据输入表!L43&amp;"，体积："&amp;数据输入表!M43)</f>
        <v/>
      </c>
    </row>
    <row r="41" spans="1:9" x14ac:dyDescent="0.25">
      <c r="A41" t="str">
        <f t="shared" si="1"/>
        <v/>
      </c>
      <c r="C41" t="str">
        <f t="shared" si="0"/>
        <v/>
      </c>
      <c r="E41" t="str">
        <f>IF(D41="","",IFERROR(_xlfn.XLOOKUP(D41,客户信息底表!B:B,客户信息底表!Q:Q,,0),IFERROR(_xlfn.XLOOKUP(D41,客户信息底表!BB:BB,客户信息底表!Q:Q,,0),IFERROR(_xlfn.XLOOKUP(D41,客户信息底表!BC:BC,客户信息底表!Q:Q,,0),IFERROR(_xlfn.XLOOKUP(D41,客户信息底表!BD:BD,客户信息底表!Q:Q,,0),"底表未登记")))))</f>
        <v/>
      </c>
      <c r="F41" t="str">
        <f>IF(D41="","",IFERROR(_xlfn.XLOOKUP(D41,客户信息底表!B:B,客户信息底表!R:R,,0),IFERROR(_xlfn.XLOOKUP(D41,客户信息底表!BB:BB,客户信息底表!R:R,,0),IFERROR(_xlfn.XLOOKUP(D41,客户信息底表!BC:BC,客户信息底表!R:R,,0),IFERROR(_xlfn.XLOOKUP(D41,客户信息底表!BD:BD,客户信息底表!R:R,,0),"底表未登记")))))</f>
        <v/>
      </c>
      <c r="G41" s="2" t="str">
        <f>IF(D41="","",IFERROR(_xlfn.XLOOKUP(D41,客户信息底表!B:B,客户信息底表!L:L,,0),IFERROR(_xlfn.XLOOKUP(D41,客户信息底表!BB:BB,客户信息底表!L:L,,0),IFERROR(_xlfn.XLOOKUP(D41,客户信息底表!BC:BC,客户信息底表!L:L,,0),IFERROR(_xlfn.XLOOKUP(D41,客户信息底表!BD:BD,客户信息底表!L:L,,0),"底表未登记")))))</f>
        <v/>
      </c>
      <c r="H41" t="str">
        <f>IF(D41="","",IFERROR(_xlfn.XLOOKUP(D41,客户信息底表!B:B,客户信息底表!G:G,,0),IFERROR(_xlfn.XLOOKUP(D41,客户信息底表!BB:BB,客户信息底表!G:G,,0),IFERROR(_xlfn.XLOOKUP(D41,客户信息底表!BC:BC,客户信息底表!G:G,,0),IFERROR(_xlfn.XLOOKUP(D41,客户信息底表!BD:BD,客户信息底表!G:G,,0),"底表未登记")))))</f>
        <v/>
      </c>
      <c r="I41" t="str">
        <f>IF(D41="","","整："&amp;数据输入表!J44&amp;"，散："&amp;数据输入表!K44&amp;"；重量kg："&amp;数据输入表!L44&amp;"，体积："&amp;数据输入表!M44)</f>
        <v/>
      </c>
    </row>
    <row r="42" spans="1:9" x14ac:dyDescent="0.25">
      <c r="A42" t="str">
        <f t="shared" si="1"/>
        <v/>
      </c>
      <c r="C42" t="str">
        <f t="shared" si="0"/>
        <v/>
      </c>
      <c r="E42" t="str">
        <f>IF(D42="","",IFERROR(_xlfn.XLOOKUP(D42,客户信息底表!B:B,客户信息底表!Q:Q,,0),IFERROR(_xlfn.XLOOKUP(D42,客户信息底表!BB:BB,客户信息底表!Q:Q,,0),IFERROR(_xlfn.XLOOKUP(D42,客户信息底表!BC:BC,客户信息底表!Q:Q,,0),IFERROR(_xlfn.XLOOKUP(D42,客户信息底表!BD:BD,客户信息底表!Q:Q,,0),"底表未登记")))))</f>
        <v/>
      </c>
      <c r="F42" t="str">
        <f>IF(D42="","",IFERROR(_xlfn.XLOOKUP(D42,客户信息底表!B:B,客户信息底表!R:R,,0),IFERROR(_xlfn.XLOOKUP(D42,客户信息底表!BB:BB,客户信息底表!R:R,,0),IFERROR(_xlfn.XLOOKUP(D42,客户信息底表!BC:BC,客户信息底表!R:R,,0),IFERROR(_xlfn.XLOOKUP(D42,客户信息底表!BD:BD,客户信息底表!R:R,,0),"底表未登记")))))</f>
        <v/>
      </c>
      <c r="G42" s="2" t="str">
        <f>IF(D42="","",IFERROR(_xlfn.XLOOKUP(D42,客户信息底表!B:B,客户信息底表!L:L,,0),IFERROR(_xlfn.XLOOKUP(D42,客户信息底表!BB:BB,客户信息底表!L:L,,0),IFERROR(_xlfn.XLOOKUP(D42,客户信息底表!BC:BC,客户信息底表!L:L,,0),IFERROR(_xlfn.XLOOKUP(D42,客户信息底表!BD:BD,客户信息底表!L:L,,0),"底表未登记")))))</f>
        <v/>
      </c>
      <c r="H42" t="str">
        <f>IF(D42="","",IFERROR(_xlfn.XLOOKUP(D42,客户信息底表!B:B,客户信息底表!G:G,,0),IFERROR(_xlfn.XLOOKUP(D42,客户信息底表!BB:BB,客户信息底表!G:G,,0),IFERROR(_xlfn.XLOOKUP(D42,客户信息底表!BC:BC,客户信息底表!G:G,,0),IFERROR(_xlfn.XLOOKUP(D42,客户信息底表!BD:BD,客户信息底表!G:G,,0),"底表未登记")))))</f>
        <v/>
      </c>
      <c r="I42" t="str">
        <f>IF(D42="","","整："&amp;数据输入表!J45&amp;"，散："&amp;数据输入表!K45&amp;"；重量kg："&amp;数据输入表!L45&amp;"，体积："&amp;数据输入表!M45)</f>
        <v/>
      </c>
    </row>
    <row r="43" spans="1:9" x14ac:dyDescent="0.25">
      <c r="A43" t="str">
        <f t="shared" si="1"/>
        <v/>
      </c>
      <c r="C43" t="str">
        <f t="shared" si="0"/>
        <v/>
      </c>
      <c r="E43" t="str">
        <f>IF(D43="","",IFERROR(_xlfn.XLOOKUP(D43,客户信息底表!B:B,客户信息底表!Q:Q,,0),IFERROR(_xlfn.XLOOKUP(D43,客户信息底表!BB:BB,客户信息底表!Q:Q,,0),IFERROR(_xlfn.XLOOKUP(D43,客户信息底表!BC:BC,客户信息底表!Q:Q,,0),IFERROR(_xlfn.XLOOKUP(D43,客户信息底表!BD:BD,客户信息底表!Q:Q,,0),"底表未登记")))))</f>
        <v/>
      </c>
      <c r="G43" s="2" t="str">
        <f>IF(D43="","",IFERROR(_xlfn.XLOOKUP(D43,客户信息底表!B:B,客户信息底表!L:L,,0),IFERROR(_xlfn.XLOOKUP(D43,客户信息底表!BB:BB,客户信息底表!L:L,,0),IFERROR(_xlfn.XLOOKUP(D43,客户信息底表!BC:BC,客户信息底表!L:L,,0),IFERROR(_xlfn.XLOOKUP(D43,客户信息底表!BD:BD,客户信息底表!L:L,,0),"底表未登记")))))</f>
        <v/>
      </c>
      <c r="H43" t="str">
        <f>IF(D43="","",IFERROR(_xlfn.XLOOKUP(D43,客户信息底表!B:B,客户信息底表!G:G,,0),IFERROR(_xlfn.XLOOKUP(D43,客户信息底表!BB:BB,客户信息底表!G:G,,0),IFERROR(_xlfn.XLOOKUP(D43,客户信息底表!BC:BC,客户信息底表!G:G,,0),IFERROR(_xlfn.XLOOKUP(D43,客户信息底表!BD:BD,客户信息底表!G:G,,0),"底表未登记")))))</f>
        <v/>
      </c>
      <c r="I43" t="str">
        <f>IF(D43="","","整："&amp;数据输入表!J46&amp;"，散："&amp;数据输入表!K46&amp;"；重量kg："&amp;数据输入表!L46&amp;"，体积："&amp;数据输入表!M46)</f>
        <v/>
      </c>
    </row>
    <row r="44" spans="1:9" x14ac:dyDescent="0.25">
      <c r="A44" t="str">
        <f t="shared" si="1"/>
        <v/>
      </c>
      <c r="C44" t="str">
        <f t="shared" si="0"/>
        <v/>
      </c>
      <c r="E44" t="str">
        <f>IF(D44="","",IFERROR(_xlfn.XLOOKUP(D44,客户信息底表!B:B,客户信息底表!Q:Q,,0),IFERROR(_xlfn.XLOOKUP(D44,客户信息底表!BB:BB,客户信息底表!Q:Q,,0),IFERROR(_xlfn.XLOOKUP(D44,客户信息底表!BC:BC,客户信息底表!Q:Q,,0),IFERROR(_xlfn.XLOOKUP(D44,客户信息底表!BD:BD,客户信息底表!Q:Q,,0),"底表未登记")))))</f>
        <v/>
      </c>
      <c r="G44" s="2" t="str">
        <f>IF(D44="","",IFERROR(_xlfn.XLOOKUP(D44,客户信息底表!B:B,客户信息底表!L:L,,0),IFERROR(_xlfn.XLOOKUP(D44,客户信息底表!BB:BB,客户信息底表!L:L,,0),IFERROR(_xlfn.XLOOKUP(D44,客户信息底表!BC:BC,客户信息底表!L:L,,0),IFERROR(_xlfn.XLOOKUP(D44,客户信息底表!BD:BD,客户信息底表!L:L,,0),"底表未登记")))))</f>
        <v/>
      </c>
      <c r="H44" t="str">
        <f>IF(D44="","",IFERROR(_xlfn.XLOOKUP(D44,客户信息底表!B:B,客户信息底表!G:G,,0),IFERROR(_xlfn.XLOOKUP(D44,客户信息底表!BB:BB,客户信息底表!G:G,,0),IFERROR(_xlfn.XLOOKUP(D44,客户信息底表!BC:BC,客户信息底表!G:G,,0),IFERROR(_xlfn.XLOOKUP(D44,客户信息底表!BD:BD,客户信息底表!G:G,,0),"底表未登记")))))</f>
        <v/>
      </c>
      <c r="I44" t="str">
        <f>IF(D44="","","整："&amp;数据输入表!J47&amp;"，散："&amp;数据输入表!K47&amp;"；重量kg："&amp;数据输入表!L47&amp;"，体积："&amp;数据输入表!M47)</f>
        <v/>
      </c>
    </row>
    <row r="45" spans="1:9" x14ac:dyDescent="0.25">
      <c r="A45" t="str">
        <f t="shared" si="1"/>
        <v/>
      </c>
      <c r="C45" t="str">
        <f t="shared" si="0"/>
        <v/>
      </c>
      <c r="E45" t="str">
        <f>IF(D45="","",IFERROR(_xlfn.XLOOKUP(D45,客户信息底表!B:B,客户信息底表!Q:Q,,0),IFERROR(_xlfn.XLOOKUP(D45,客户信息底表!BB:BB,客户信息底表!Q:Q,,0),IFERROR(_xlfn.XLOOKUP(D45,客户信息底表!BC:BC,客户信息底表!Q:Q,,0),IFERROR(_xlfn.XLOOKUP(D45,客户信息底表!BD:BD,客户信息底表!Q:Q,,0),"底表未登记")))))</f>
        <v/>
      </c>
      <c r="G45" s="2" t="str">
        <f>IF(D45="","",IFERROR(_xlfn.XLOOKUP(D45,客户信息底表!B:B,客户信息底表!L:L,,0),IFERROR(_xlfn.XLOOKUP(D45,客户信息底表!BB:BB,客户信息底表!L:L,,0),IFERROR(_xlfn.XLOOKUP(D45,客户信息底表!BC:BC,客户信息底表!L:L,,0),IFERROR(_xlfn.XLOOKUP(D45,客户信息底表!BD:BD,客户信息底表!L:L,,0),"底表未登记")))))</f>
        <v/>
      </c>
      <c r="H45" t="str">
        <f>IF(D45="","",IFERROR(_xlfn.XLOOKUP(D45,客户信息底表!B:B,客户信息底表!G:G,,0),IFERROR(_xlfn.XLOOKUP(D45,客户信息底表!BB:BB,客户信息底表!G:G,,0),IFERROR(_xlfn.XLOOKUP(D45,客户信息底表!BC:BC,客户信息底表!G:G,,0),IFERROR(_xlfn.XLOOKUP(D45,客户信息底表!BD:BD,客户信息底表!G:G,,0),"底表未登记")))))</f>
        <v/>
      </c>
      <c r="I45" t="str">
        <f>IF(D45="","","整："&amp;数据输入表!J48&amp;"，散："&amp;数据输入表!K48&amp;"；重量kg："&amp;数据输入表!L48&amp;"，体积："&amp;数据输入表!M48)</f>
        <v/>
      </c>
    </row>
    <row r="46" spans="1:9" x14ac:dyDescent="0.25">
      <c r="A46" t="str">
        <f t="shared" si="1"/>
        <v/>
      </c>
      <c r="C46" t="str">
        <f t="shared" si="0"/>
        <v/>
      </c>
      <c r="E46" t="str">
        <f>IF(D46="","",IFERROR(_xlfn.XLOOKUP(D46,客户信息底表!B:B,客户信息底表!Q:Q,,0),IFERROR(_xlfn.XLOOKUP(D46,客户信息底表!BB:BB,客户信息底表!Q:Q,,0),IFERROR(_xlfn.XLOOKUP(D46,客户信息底表!BC:BC,客户信息底表!Q:Q,,0),IFERROR(_xlfn.XLOOKUP(D46,客户信息底表!BD:BD,客户信息底表!Q:Q,,0),"底表未登记")))))</f>
        <v/>
      </c>
      <c r="G46" s="2" t="str">
        <f>IF(D46="","",IFERROR(_xlfn.XLOOKUP(D46,客户信息底表!B:B,客户信息底表!L:L,,0),IFERROR(_xlfn.XLOOKUP(D46,客户信息底表!BB:BB,客户信息底表!L:L,,0),IFERROR(_xlfn.XLOOKUP(D46,客户信息底表!BC:BC,客户信息底表!L:L,,0),IFERROR(_xlfn.XLOOKUP(D46,客户信息底表!BD:BD,客户信息底表!L:L,,0),"底表未登记")))))</f>
        <v/>
      </c>
      <c r="H46" t="str">
        <f>IF(D46="","",IFERROR(_xlfn.XLOOKUP(D46,客户信息底表!B:B,客户信息底表!G:G,,0),IFERROR(_xlfn.XLOOKUP(D46,客户信息底表!BB:BB,客户信息底表!G:G,,0),IFERROR(_xlfn.XLOOKUP(D46,客户信息底表!BC:BC,客户信息底表!G:G,,0),IFERROR(_xlfn.XLOOKUP(D46,客户信息底表!BD:BD,客户信息底表!G:G,,0),"底表未登记")))))</f>
        <v/>
      </c>
      <c r="I46" t="str">
        <f>IF(D46="","","整："&amp;数据输入表!J49&amp;"，散："&amp;数据输入表!K49&amp;"；重量kg："&amp;数据输入表!L49&amp;"，体积："&amp;数据输入表!M49)</f>
        <v/>
      </c>
    </row>
    <row r="47" spans="1:9" x14ac:dyDescent="0.25">
      <c r="A47" t="str">
        <f t="shared" si="1"/>
        <v/>
      </c>
      <c r="C47" t="str">
        <f t="shared" si="0"/>
        <v/>
      </c>
      <c r="E47" t="str">
        <f>IF(D47="","",IFERROR(_xlfn.XLOOKUP(D47,客户信息底表!B:B,客户信息底表!Q:Q,,0),IFERROR(_xlfn.XLOOKUP(D47,客户信息底表!BB:BB,客户信息底表!Q:Q,,0),IFERROR(_xlfn.XLOOKUP(D47,客户信息底表!BC:BC,客户信息底表!Q:Q,,0),IFERROR(_xlfn.XLOOKUP(D47,客户信息底表!BD:BD,客户信息底表!Q:Q,,0),"底表未登记")))))</f>
        <v/>
      </c>
      <c r="G47" s="2" t="str">
        <f>IF(D47="","",IFERROR(_xlfn.XLOOKUP(D47,客户信息底表!B:B,客户信息底表!L:L,,0),IFERROR(_xlfn.XLOOKUP(D47,客户信息底表!BB:BB,客户信息底表!L:L,,0),IFERROR(_xlfn.XLOOKUP(D47,客户信息底表!BC:BC,客户信息底表!L:L,,0),IFERROR(_xlfn.XLOOKUP(D47,客户信息底表!BD:BD,客户信息底表!L:L,,0),"底表未登记")))))</f>
        <v/>
      </c>
      <c r="H47" t="str">
        <f>IF(D47="","",IFERROR(_xlfn.XLOOKUP(D47,客户信息底表!B:B,客户信息底表!G:G,,0),IFERROR(_xlfn.XLOOKUP(D47,客户信息底表!BB:BB,客户信息底表!G:G,,0),IFERROR(_xlfn.XLOOKUP(D47,客户信息底表!BC:BC,客户信息底表!G:G,,0),IFERROR(_xlfn.XLOOKUP(D47,客户信息底表!BD:BD,客户信息底表!G:G,,0),"底表未登记")))))</f>
        <v/>
      </c>
      <c r="I47" t="str">
        <f>IF(D47="","","整："&amp;数据输入表!J50&amp;"，散："&amp;数据输入表!K50&amp;"；重量kg："&amp;数据输入表!L50&amp;"，体积："&amp;数据输入表!M50)</f>
        <v/>
      </c>
    </row>
    <row r="48" spans="1:9" x14ac:dyDescent="0.25">
      <c r="A48" t="str">
        <f t="shared" si="1"/>
        <v/>
      </c>
      <c r="C48" t="str">
        <f t="shared" si="0"/>
        <v/>
      </c>
      <c r="E48" t="str">
        <f>IF(D48="","",IFERROR(_xlfn.XLOOKUP(D48,客户信息底表!B:B,客户信息底表!Q:Q,,0),IFERROR(_xlfn.XLOOKUP(D48,客户信息底表!BB:BB,客户信息底表!Q:Q,,0),IFERROR(_xlfn.XLOOKUP(D48,客户信息底表!BC:BC,客户信息底表!Q:Q,,0),IFERROR(_xlfn.XLOOKUP(D48,客户信息底表!BD:BD,客户信息底表!Q:Q,,0),"底表未登记")))))</f>
        <v/>
      </c>
      <c r="G48" s="2" t="str">
        <f>IF(D48="","",IFERROR(_xlfn.XLOOKUP(D48,客户信息底表!B:B,客户信息底表!L:L,,0),IFERROR(_xlfn.XLOOKUP(D48,客户信息底表!BB:BB,客户信息底表!L:L,,0),IFERROR(_xlfn.XLOOKUP(D48,客户信息底表!BC:BC,客户信息底表!L:L,,0),IFERROR(_xlfn.XLOOKUP(D48,客户信息底表!BD:BD,客户信息底表!L:L,,0),"底表未登记")))))</f>
        <v/>
      </c>
      <c r="H48" t="str">
        <f>IF(D48="","",IFERROR(_xlfn.XLOOKUP(D48,客户信息底表!B:B,客户信息底表!G:G,,0),IFERROR(_xlfn.XLOOKUP(D48,客户信息底表!BB:BB,客户信息底表!G:G,,0),IFERROR(_xlfn.XLOOKUP(D48,客户信息底表!BC:BC,客户信息底表!G:G,,0),IFERROR(_xlfn.XLOOKUP(D48,客户信息底表!BD:BD,客户信息底表!G:G,,0),"底表未登记")))))</f>
        <v/>
      </c>
      <c r="I48" t="str">
        <f>IF(D48="","","整："&amp;数据输入表!J51&amp;"，散："&amp;数据输入表!K51&amp;"；重量kg："&amp;数据输入表!L51&amp;"，体积："&amp;数据输入表!M51)</f>
        <v/>
      </c>
    </row>
    <row r="49" spans="1:9" x14ac:dyDescent="0.25">
      <c r="A49" t="str">
        <f t="shared" si="1"/>
        <v/>
      </c>
      <c r="C49" t="str">
        <f t="shared" si="0"/>
        <v/>
      </c>
      <c r="E49" t="str">
        <f>IF(D49="","",IFERROR(_xlfn.XLOOKUP(D49,客户信息底表!B:B,客户信息底表!Q:Q,,0),IFERROR(_xlfn.XLOOKUP(D49,客户信息底表!BB:BB,客户信息底表!Q:Q,,0),IFERROR(_xlfn.XLOOKUP(D49,客户信息底表!BC:BC,客户信息底表!Q:Q,,0),IFERROR(_xlfn.XLOOKUP(D49,客户信息底表!BD:BD,客户信息底表!Q:Q,,0),"底表未登记")))))</f>
        <v/>
      </c>
      <c r="G49" s="2" t="str">
        <f>IF(D49="","",IFERROR(_xlfn.XLOOKUP(D49,客户信息底表!B:B,客户信息底表!L:L,,0),IFERROR(_xlfn.XLOOKUP(D49,客户信息底表!BB:BB,客户信息底表!L:L,,0),IFERROR(_xlfn.XLOOKUP(D49,客户信息底表!BC:BC,客户信息底表!L:L,,0),IFERROR(_xlfn.XLOOKUP(D49,客户信息底表!BD:BD,客户信息底表!L:L,,0),"底表未登记")))))</f>
        <v/>
      </c>
      <c r="H49" t="str">
        <f>IF(D49="","",IFERROR(_xlfn.XLOOKUP(D49,客户信息底表!B:B,客户信息底表!G:G,,0),IFERROR(_xlfn.XLOOKUP(D49,客户信息底表!BB:BB,客户信息底表!G:G,,0),IFERROR(_xlfn.XLOOKUP(D49,客户信息底表!BC:BC,客户信息底表!G:G,,0),IFERROR(_xlfn.XLOOKUP(D49,客户信息底表!BD:BD,客户信息底表!G:G,,0),"底表未登记")))))</f>
        <v/>
      </c>
      <c r="I49" t="str">
        <f>IF(D49="","","整："&amp;数据输入表!J52&amp;"，散："&amp;数据输入表!K52&amp;"；重量kg："&amp;数据输入表!L52&amp;"，体积："&amp;数据输入表!M52)</f>
        <v/>
      </c>
    </row>
    <row r="50" spans="1:9" x14ac:dyDescent="0.25">
      <c r="A50" t="str">
        <f t="shared" si="1"/>
        <v/>
      </c>
      <c r="C50" t="str">
        <f t="shared" si="0"/>
        <v/>
      </c>
      <c r="E50" t="str">
        <f>IF(D50="","",IFERROR(_xlfn.XLOOKUP(D50,客户信息底表!B:B,客户信息底表!Q:Q,,0),IFERROR(_xlfn.XLOOKUP(D50,客户信息底表!BB:BB,客户信息底表!Q:Q,,0),IFERROR(_xlfn.XLOOKUP(D50,客户信息底表!BC:BC,客户信息底表!Q:Q,,0),IFERROR(_xlfn.XLOOKUP(D50,客户信息底表!BD:BD,客户信息底表!Q:Q,,0),"底表未登记")))))</f>
        <v/>
      </c>
      <c r="G50" s="2" t="str">
        <f>IF(D50="","",IFERROR(_xlfn.XLOOKUP(D50,客户信息底表!B:B,客户信息底表!L:L,,0),IFERROR(_xlfn.XLOOKUP(D50,客户信息底表!BB:BB,客户信息底表!L:L,,0),IFERROR(_xlfn.XLOOKUP(D50,客户信息底表!BC:BC,客户信息底表!L:L,,0),IFERROR(_xlfn.XLOOKUP(D50,客户信息底表!BD:BD,客户信息底表!L:L,,0),"底表未登记")))))</f>
        <v/>
      </c>
      <c r="H50" t="str">
        <f>IF(D50="","",IFERROR(_xlfn.XLOOKUP(D50,客户信息底表!B:B,客户信息底表!G:G,,0),IFERROR(_xlfn.XLOOKUP(D50,客户信息底表!BB:BB,客户信息底表!G:G,,0),IFERROR(_xlfn.XLOOKUP(D50,客户信息底表!BC:BC,客户信息底表!G:G,,0),IFERROR(_xlfn.XLOOKUP(D50,客户信息底表!BD:BD,客户信息底表!G:G,,0),"底表未登记")))))</f>
        <v/>
      </c>
      <c r="I50" t="str">
        <f>IF(D50="","","整："&amp;数据输入表!J53&amp;"，散："&amp;数据输入表!K53&amp;"；重量kg："&amp;数据输入表!L53&amp;"，体积："&amp;数据输入表!M53)</f>
        <v/>
      </c>
    </row>
    <row r="51" spans="1:9" x14ac:dyDescent="0.25">
      <c r="A51" t="str">
        <f t="shared" si="1"/>
        <v/>
      </c>
      <c r="C51" t="str">
        <f t="shared" si="0"/>
        <v/>
      </c>
      <c r="E51" t="str">
        <f>IF(D51="","",IFERROR(_xlfn.XLOOKUP(D51,客户信息底表!B:B,客户信息底表!Q:Q,,0),IFERROR(_xlfn.XLOOKUP(D51,客户信息底表!BB:BB,客户信息底表!Q:Q,,0),IFERROR(_xlfn.XLOOKUP(D51,客户信息底表!BC:BC,客户信息底表!Q:Q,,0),IFERROR(_xlfn.XLOOKUP(D51,客户信息底表!BD:BD,客户信息底表!Q:Q,,0),"底表未登记")))))</f>
        <v/>
      </c>
      <c r="G51" s="2" t="str">
        <f>IF(D51="","",IFERROR(_xlfn.XLOOKUP(D51,客户信息底表!B:B,客户信息底表!L:L,,0),IFERROR(_xlfn.XLOOKUP(D51,客户信息底表!BB:BB,客户信息底表!L:L,,0),IFERROR(_xlfn.XLOOKUP(D51,客户信息底表!BC:BC,客户信息底表!L:L,,0),IFERROR(_xlfn.XLOOKUP(D51,客户信息底表!BD:BD,客户信息底表!L:L,,0),"底表未登记")))))</f>
        <v/>
      </c>
      <c r="H51" t="str">
        <f>IF(D51="","",IFERROR(_xlfn.XLOOKUP(D51,客户信息底表!B:B,客户信息底表!G:G,,0),IFERROR(_xlfn.XLOOKUP(D51,客户信息底表!BB:BB,客户信息底表!G:G,,0),IFERROR(_xlfn.XLOOKUP(D51,客户信息底表!BC:BC,客户信息底表!G:G,,0),IFERROR(_xlfn.XLOOKUP(D51,客户信息底表!BD:BD,客户信息底表!G:G,,0),"底表未登记")))))</f>
        <v/>
      </c>
      <c r="I51" t="str">
        <f>IF(D51="","","整："&amp;数据输入表!J54&amp;"，散："&amp;数据输入表!K54&amp;"；重量kg："&amp;数据输入表!L54&amp;"，体积："&amp;数据输入表!M54)</f>
        <v/>
      </c>
    </row>
    <row r="52" spans="1:9" x14ac:dyDescent="0.25">
      <c r="A52" t="str">
        <f t="shared" si="1"/>
        <v/>
      </c>
      <c r="C52" t="str">
        <f t="shared" si="0"/>
        <v/>
      </c>
      <c r="E52" t="str">
        <f>IF(D52="","",IFERROR(_xlfn.XLOOKUP(D52,客户信息底表!B:B,客户信息底表!Q:Q,,0),IFERROR(_xlfn.XLOOKUP(D52,客户信息底表!BB:BB,客户信息底表!Q:Q,,0),IFERROR(_xlfn.XLOOKUP(D52,客户信息底表!BC:BC,客户信息底表!Q:Q,,0),IFERROR(_xlfn.XLOOKUP(D52,客户信息底表!BD:BD,客户信息底表!Q:Q,,0),"底表未登记")))))</f>
        <v/>
      </c>
      <c r="G52" s="2" t="str">
        <f>IF(D52="","",IFERROR(_xlfn.XLOOKUP(D52,客户信息底表!B:B,客户信息底表!L:L,,0),IFERROR(_xlfn.XLOOKUP(D52,客户信息底表!BB:BB,客户信息底表!L:L,,0),IFERROR(_xlfn.XLOOKUP(D52,客户信息底表!BC:BC,客户信息底表!L:L,,0),IFERROR(_xlfn.XLOOKUP(D52,客户信息底表!BD:BD,客户信息底表!L:L,,0),"底表未登记")))))</f>
        <v/>
      </c>
      <c r="H52" t="str">
        <f>IF(D52="","",IFERROR(_xlfn.XLOOKUP(D52,客户信息底表!B:B,客户信息底表!G:G,,0),IFERROR(_xlfn.XLOOKUP(D52,客户信息底表!BB:BB,客户信息底表!G:G,,0),IFERROR(_xlfn.XLOOKUP(D52,客户信息底表!BC:BC,客户信息底表!G:G,,0),IFERROR(_xlfn.XLOOKUP(D52,客户信息底表!BD:BD,客户信息底表!G:G,,0),"底表未登记")))))</f>
        <v/>
      </c>
      <c r="I52" t="str">
        <f>IF(D52="","","整："&amp;数据输入表!J55&amp;"，散："&amp;数据输入表!K55&amp;"；重量kg："&amp;数据输入表!L55&amp;"，体积："&amp;数据输入表!M55)</f>
        <v/>
      </c>
    </row>
    <row r="53" spans="1:9" x14ac:dyDescent="0.25">
      <c r="A53" t="str">
        <f t="shared" si="1"/>
        <v/>
      </c>
      <c r="C53" t="str">
        <f t="shared" si="0"/>
        <v/>
      </c>
      <c r="E53" t="str">
        <f>IF(D53="","",IFERROR(_xlfn.XLOOKUP(D53,客户信息底表!B:B,客户信息底表!Q:Q,,0),IFERROR(_xlfn.XLOOKUP(D53,客户信息底表!BB:BB,客户信息底表!Q:Q,,0),IFERROR(_xlfn.XLOOKUP(D53,客户信息底表!BC:BC,客户信息底表!Q:Q,,0),IFERROR(_xlfn.XLOOKUP(D53,客户信息底表!BD:BD,客户信息底表!Q:Q,,0),"底表未登记")))))</f>
        <v/>
      </c>
      <c r="G53" s="2" t="str">
        <f>IF(D53="","",IFERROR(_xlfn.XLOOKUP(D53,客户信息底表!B:B,客户信息底表!L:L,,0),IFERROR(_xlfn.XLOOKUP(D53,客户信息底表!BB:BB,客户信息底表!L:L,,0),IFERROR(_xlfn.XLOOKUP(D53,客户信息底表!BC:BC,客户信息底表!L:L,,0),IFERROR(_xlfn.XLOOKUP(D53,客户信息底表!BD:BD,客户信息底表!L:L,,0),"底表未登记")))))</f>
        <v/>
      </c>
      <c r="H53" t="str">
        <f>IF(D53="","",IFERROR(_xlfn.XLOOKUP(D53,客户信息底表!B:B,客户信息底表!G:G,,0),IFERROR(_xlfn.XLOOKUP(D53,客户信息底表!BB:BB,客户信息底表!G:G,,0),IFERROR(_xlfn.XLOOKUP(D53,客户信息底表!BC:BC,客户信息底表!G:G,,0),IFERROR(_xlfn.XLOOKUP(D53,客户信息底表!BD:BD,客户信息底表!G:G,,0),"底表未登记")))))</f>
        <v/>
      </c>
      <c r="I53" t="str">
        <f>IF(D53="","","整："&amp;数据输入表!J56&amp;"，散："&amp;数据输入表!K56&amp;"；重量kg："&amp;数据输入表!L56&amp;"，体积："&amp;数据输入表!M56)</f>
        <v/>
      </c>
    </row>
    <row r="54" spans="1:9" x14ac:dyDescent="0.25">
      <c r="A54" t="str">
        <f t="shared" si="1"/>
        <v/>
      </c>
      <c r="C54" t="str">
        <f t="shared" si="0"/>
        <v/>
      </c>
      <c r="E54" t="str">
        <f>IF(D54="","",IFERROR(_xlfn.XLOOKUP(D54,客户信息底表!B:B,客户信息底表!Q:Q,,0),IFERROR(_xlfn.XLOOKUP(D54,客户信息底表!BB:BB,客户信息底表!Q:Q,,0),IFERROR(_xlfn.XLOOKUP(D54,客户信息底表!BC:BC,客户信息底表!Q:Q,,0),IFERROR(_xlfn.XLOOKUP(D54,客户信息底表!BD:BD,客户信息底表!Q:Q,,0),"底表未登记")))))</f>
        <v/>
      </c>
      <c r="G54" s="2" t="str">
        <f>IF(D54="","",IFERROR(_xlfn.XLOOKUP(D54,客户信息底表!B:B,客户信息底表!L:L,,0),IFERROR(_xlfn.XLOOKUP(D54,客户信息底表!BB:BB,客户信息底表!L:L,,0),IFERROR(_xlfn.XLOOKUP(D54,客户信息底表!BC:BC,客户信息底表!L:L,,0),IFERROR(_xlfn.XLOOKUP(D54,客户信息底表!BD:BD,客户信息底表!L:L,,0),"底表未登记")))))</f>
        <v/>
      </c>
      <c r="H54" t="str">
        <f>IF(D54="","",IFERROR(_xlfn.XLOOKUP(D54,客户信息底表!B:B,客户信息底表!G:G,,0),IFERROR(_xlfn.XLOOKUP(D54,客户信息底表!BB:BB,客户信息底表!G:G,,0),IFERROR(_xlfn.XLOOKUP(D54,客户信息底表!BC:BC,客户信息底表!G:G,,0),IFERROR(_xlfn.XLOOKUP(D54,客户信息底表!BD:BD,客户信息底表!G:G,,0),"底表未登记")))))</f>
        <v/>
      </c>
      <c r="I54" t="str">
        <f>IF(D54="","","整："&amp;数据输入表!J57&amp;"，散："&amp;数据输入表!K57&amp;"；重量kg："&amp;数据输入表!L57&amp;"，体积："&amp;数据输入表!M57)</f>
        <v/>
      </c>
    </row>
    <row r="55" spans="1:9" x14ac:dyDescent="0.25">
      <c r="A55" t="str">
        <f t="shared" si="1"/>
        <v/>
      </c>
      <c r="C55" t="str">
        <f t="shared" si="0"/>
        <v/>
      </c>
      <c r="E55" t="str">
        <f>IF(D55="","",IFERROR(_xlfn.XLOOKUP(D55,客户信息底表!B:B,客户信息底表!Q:Q,,0),IFERROR(_xlfn.XLOOKUP(D55,客户信息底表!BB:BB,客户信息底表!Q:Q,,0),IFERROR(_xlfn.XLOOKUP(D55,客户信息底表!BC:BC,客户信息底表!Q:Q,,0),IFERROR(_xlfn.XLOOKUP(D55,客户信息底表!BD:BD,客户信息底表!Q:Q,,0),"底表未登记")))))</f>
        <v/>
      </c>
      <c r="G55" s="2" t="str">
        <f>IF(D55="","",IFERROR(_xlfn.XLOOKUP(D55,客户信息底表!B:B,客户信息底表!L:L,,0),IFERROR(_xlfn.XLOOKUP(D55,客户信息底表!BB:BB,客户信息底表!L:L,,0),IFERROR(_xlfn.XLOOKUP(D55,客户信息底表!BC:BC,客户信息底表!L:L,,0),IFERROR(_xlfn.XLOOKUP(D55,客户信息底表!BD:BD,客户信息底表!L:L,,0),"底表未登记")))))</f>
        <v/>
      </c>
      <c r="H55" t="str">
        <f>IF(D55="","",IFERROR(_xlfn.XLOOKUP(D55,客户信息底表!B:B,客户信息底表!G:G,,0),IFERROR(_xlfn.XLOOKUP(D55,客户信息底表!BB:BB,客户信息底表!G:G,,0),IFERROR(_xlfn.XLOOKUP(D55,客户信息底表!BC:BC,客户信息底表!G:G,,0),IFERROR(_xlfn.XLOOKUP(D55,客户信息底表!BD:BD,客户信息底表!G:G,,0),"底表未登记")))))</f>
        <v/>
      </c>
      <c r="I55" t="str">
        <f>IF(D55="","","整："&amp;数据输入表!J58&amp;"，散："&amp;数据输入表!K58&amp;"；重量kg："&amp;数据输入表!L58&amp;"，体积："&amp;数据输入表!M58)</f>
        <v/>
      </c>
    </row>
    <row r="56" spans="1:9" x14ac:dyDescent="0.25">
      <c r="A56" t="str">
        <f t="shared" si="1"/>
        <v/>
      </c>
      <c r="C56" t="str">
        <f t="shared" si="0"/>
        <v/>
      </c>
      <c r="E56" t="str">
        <f>IF(D56="","",IFERROR(_xlfn.XLOOKUP(D56,客户信息底表!B:B,客户信息底表!Q:Q,,0),IFERROR(_xlfn.XLOOKUP(D56,客户信息底表!BB:BB,客户信息底表!Q:Q,,0),IFERROR(_xlfn.XLOOKUP(D56,客户信息底表!BC:BC,客户信息底表!Q:Q,,0),IFERROR(_xlfn.XLOOKUP(D56,客户信息底表!BD:BD,客户信息底表!Q:Q,,0),"底表未登记")))))</f>
        <v/>
      </c>
      <c r="G56" s="2" t="str">
        <f>IF(D56="","",IFERROR(_xlfn.XLOOKUP(D56,客户信息底表!B:B,客户信息底表!L:L,,0),IFERROR(_xlfn.XLOOKUP(D56,客户信息底表!BB:BB,客户信息底表!L:L,,0),IFERROR(_xlfn.XLOOKUP(D56,客户信息底表!BC:BC,客户信息底表!L:L,,0),IFERROR(_xlfn.XLOOKUP(D56,客户信息底表!BD:BD,客户信息底表!L:L,,0),"底表未登记")))))</f>
        <v/>
      </c>
      <c r="H56" t="str">
        <f>IF(D56="","",IFERROR(_xlfn.XLOOKUP(D56,客户信息底表!B:B,客户信息底表!G:G,,0),IFERROR(_xlfn.XLOOKUP(D56,客户信息底表!BB:BB,客户信息底表!G:G,,0),IFERROR(_xlfn.XLOOKUP(D56,客户信息底表!BC:BC,客户信息底表!G:G,,0),IFERROR(_xlfn.XLOOKUP(D56,客户信息底表!BD:BD,客户信息底表!G:G,,0),"底表未登记")))))</f>
        <v/>
      </c>
      <c r="I56" t="str">
        <f>IF(D56="","","整："&amp;数据输入表!J59&amp;"，散："&amp;数据输入表!K59&amp;"；重量kg："&amp;数据输入表!L59&amp;"，体积："&amp;数据输入表!M59)</f>
        <v/>
      </c>
    </row>
    <row r="57" spans="1:9" x14ac:dyDescent="0.25">
      <c r="A57" t="str">
        <f t="shared" si="1"/>
        <v/>
      </c>
      <c r="C57" t="str">
        <f t="shared" si="0"/>
        <v/>
      </c>
      <c r="E57" t="str">
        <f>IF(D57="","",IFERROR(_xlfn.XLOOKUP(D57,客户信息底表!B:B,客户信息底表!Q:Q,,0),IFERROR(_xlfn.XLOOKUP(D57,客户信息底表!BB:BB,客户信息底表!Q:Q,,0),IFERROR(_xlfn.XLOOKUP(D57,客户信息底表!BC:BC,客户信息底表!Q:Q,,0),IFERROR(_xlfn.XLOOKUP(D57,客户信息底表!BD:BD,客户信息底表!Q:Q,,0),"底表未登记")))))</f>
        <v/>
      </c>
      <c r="G57" s="2" t="str">
        <f>IF(D57="","",IFERROR(_xlfn.XLOOKUP(D57,客户信息底表!B:B,客户信息底表!L:L,,0),IFERROR(_xlfn.XLOOKUP(D57,客户信息底表!BB:BB,客户信息底表!L:L,,0),IFERROR(_xlfn.XLOOKUP(D57,客户信息底表!BC:BC,客户信息底表!L:L,,0),IFERROR(_xlfn.XLOOKUP(D57,客户信息底表!BD:BD,客户信息底表!L:L,,0),"底表未登记")))))</f>
        <v/>
      </c>
      <c r="H57" t="str">
        <f>IF(D57="","",IFERROR(_xlfn.XLOOKUP(D57,客户信息底表!B:B,客户信息底表!G:G,,0),IFERROR(_xlfn.XLOOKUP(D57,客户信息底表!BB:BB,客户信息底表!G:G,,0),IFERROR(_xlfn.XLOOKUP(D57,客户信息底表!BC:BC,客户信息底表!G:G,,0),IFERROR(_xlfn.XLOOKUP(D57,客户信息底表!BD:BD,客户信息底表!G:G,,0),"底表未登记")))))</f>
        <v/>
      </c>
      <c r="I57" t="str">
        <f>IF(D57="","","整："&amp;数据输入表!J60&amp;"，散："&amp;数据输入表!K60&amp;"；重量kg："&amp;数据输入表!L60&amp;"，体积："&amp;数据输入表!M60)</f>
        <v/>
      </c>
    </row>
    <row r="58" spans="1:9" x14ac:dyDescent="0.25">
      <c r="A58" t="str">
        <f t="shared" si="1"/>
        <v/>
      </c>
      <c r="C58" t="str">
        <f t="shared" si="0"/>
        <v/>
      </c>
      <c r="E58" t="str">
        <f>IF(D58="","",IFERROR(_xlfn.XLOOKUP(D58,客户信息底表!B:B,客户信息底表!Q:Q,,0),IFERROR(_xlfn.XLOOKUP(D58,客户信息底表!BB:BB,客户信息底表!Q:Q,,0),IFERROR(_xlfn.XLOOKUP(D58,客户信息底表!BC:BC,客户信息底表!Q:Q,,0),IFERROR(_xlfn.XLOOKUP(D58,客户信息底表!BD:BD,客户信息底表!Q:Q,,0),"底表未登记")))))</f>
        <v/>
      </c>
      <c r="G58" s="2" t="str">
        <f>IF(D58="","",IFERROR(_xlfn.XLOOKUP(D58,客户信息底表!B:B,客户信息底表!L:L,,0),IFERROR(_xlfn.XLOOKUP(D58,客户信息底表!BB:BB,客户信息底表!L:L,,0),IFERROR(_xlfn.XLOOKUP(D58,客户信息底表!BC:BC,客户信息底表!L:L,,0),IFERROR(_xlfn.XLOOKUP(D58,客户信息底表!BD:BD,客户信息底表!L:L,,0),"底表未登记")))))</f>
        <v/>
      </c>
      <c r="H58" t="str">
        <f>IF(D58="","",IFERROR(_xlfn.XLOOKUP(D58,客户信息底表!B:B,客户信息底表!G:G,,0),IFERROR(_xlfn.XLOOKUP(D58,客户信息底表!BB:BB,客户信息底表!G:G,,0),IFERROR(_xlfn.XLOOKUP(D58,客户信息底表!BC:BC,客户信息底表!G:G,,0),IFERROR(_xlfn.XLOOKUP(D58,客户信息底表!BD:BD,客户信息底表!G:G,,0),"底表未登记")))))</f>
        <v/>
      </c>
      <c r="I58" t="str">
        <f>IF(D58="","","整："&amp;数据输入表!J61&amp;"，散："&amp;数据输入表!K61&amp;"；重量kg："&amp;数据输入表!L61&amp;"，体积："&amp;数据输入表!M61)</f>
        <v/>
      </c>
    </row>
    <row r="59" spans="1:9" x14ac:dyDescent="0.25">
      <c r="A59" t="str">
        <f t="shared" si="1"/>
        <v/>
      </c>
      <c r="C59" t="str">
        <f t="shared" si="0"/>
        <v/>
      </c>
      <c r="E59" t="str">
        <f>IF(D59="","",IFERROR(_xlfn.XLOOKUP(D59,客户信息底表!B:B,客户信息底表!Q:Q,,0),IFERROR(_xlfn.XLOOKUP(D59,客户信息底表!BB:BB,客户信息底表!Q:Q,,0),IFERROR(_xlfn.XLOOKUP(D59,客户信息底表!BC:BC,客户信息底表!Q:Q,,0),IFERROR(_xlfn.XLOOKUP(D59,客户信息底表!BD:BD,客户信息底表!Q:Q,,0),"底表未登记")))))</f>
        <v/>
      </c>
      <c r="G59" s="2" t="str">
        <f>IF(D59="","",IFERROR(_xlfn.XLOOKUP(D59,客户信息底表!B:B,客户信息底表!L:L,,0),IFERROR(_xlfn.XLOOKUP(D59,客户信息底表!BB:BB,客户信息底表!L:L,,0),IFERROR(_xlfn.XLOOKUP(D59,客户信息底表!BC:BC,客户信息底表!L:L,,0),IFERROR(_xlfn.XLOOKUP(D59,客户信息底表!BD:BD,客户信息底表!L:L,,0),"底表未登记")))))</f>
        <v/>
      </c>
      <c r="H59" t="str">
        <f>IF(D59="","",IFERROR(_xlfn.XLOOKUP(D59,客户信息底表!B:B,客户信息底表!G:G,,0),IFERROR(_xlfn.XLOOKUP(D59,客户信息底表!BB:BB,客户信息底表!G:G,,0),IFERROR(_xlfn.XLOOKUP(D59,客户信息底表!BC:BC,客户信息底表!G:G,,0),IFERROR(_xlfn.XLOOKUP(D59,客户信息底表!BD:BD,客户信息底表!G:G,,0),"底表未登记")))))</f>
        <v/>
      </c>
      <c r="I59" t="str">
        <f>IF(D59="","","整："&amp;数据输入表!J62&amp;"，散："&amp;数据输入表!K62&amp;"；重量kg："&amp;数据输入表!L62&amp;"，体积："&amp;数据输入表!M62)</f>
        <v/>
      </c>
    </row>
    <row r="60" spans="1:9" x14ac:dyDescent="0.25">
      <c r="A60" t="str">
        <f t="shared" si="1"/>
        <v/>
      </c>
      <c r="C60" t="str">
        <f t="shared" si="0"/>
        <v/>
      </c>
      <c r="E60" t="str">
        <f>IF(D60="","",IFERROR(_xlfn.XLOOKUP(D60,客户信息底表!B:B,客户信息底表!Q:Q,,0),IFERROR(_xlfn.XLOOKUP(D60,客户信息底表!BB:BB,客户信息底表!Q:Q,,0),IFERROR(_xlfn.XLOOKUP(D60,客户信息底表!BC:BC,客户信息底表!Q:Q,,0),IFERROR(_xlfn.XLOOKUP(D60,客户信息底表!BD:BD,客户信息底表!Q:Q,,0),"底表未登记")))))</f>
        <v/>
      </c>
      <c r="G60" s="2" t="str">
        <f>IF(D60="","",IFERROR(_xlfn.XLOOKUP(D60,客户信息底表!B:B,客户信息底表!L:L,,0),IFERROR(_xlfn.XLOOKUP(D60,客户信息底表!BB:BB,客户信息底表!L:L,,0),IFERROR(_xlfn.XLOOKUP(D60,客户信息底表!BC:BC,客户信息底表!L:L,,0),IFERROR(_xlfn.XLOOKUP(D60,客户信息底表!BD:BD,客户信息底表!L:L,,0),"底表未登记")))))</f>
        <v/>
      </c>
      <c r="H60" t="str">
        <f>IF(D60="","",IFERROR(_xlfn.XLOOKUP(D60,客户信息底表!B:B,客户信息底表!G:G,,0),IFERROR(_xlfn.XLOOKUP(D60,客户信息底表!BB:BB,客户信息底表!G:G,,0),IFERROR(_xlfn.XLOOKUP(D60,客户信息底表!BC:BC,客户信息底表!G:G,,0),IFERROR(_xlfn.XLOOKUP(D60,客户信息底表!BD:BD,客户信息底表!G:G,,0),"底表未登记")))))</f>
        <v/>
      </c>
      <c r="I60" t="str">
        <f>IF(D60="","","整："&amp;数据输入表!J63&amp;"，散："&amp;数据输入表!K63&amp;"；重量kg："&amp;数据输入表!L63&amp;"，体积："&amp;数据输入表!M63)</f>
        <v/>
      </c>
    </row>
    <row r="61" spans="1:9" x14ac:dyDescent="0.25">
      <c r="A61" t="str">
        <f t="shared" si="1"/>
        <v/>
      </c>
      <c r="C61" t="str">
        <f t="shared" si="0"/>
        <v/>
      </c>
      <c r="E61" t="str">
        <f>IF(D61="","",IFERROR(_xlfn.XLOOKUP(D61,客户信息底表!B:B,客户信息底表!Q:Q,,0),IFERROR(_xlfn.XLOOKUP(D61,客户信息底表!BB:BB,客户信息底表!Q:Q,,0),IFERROR(_xlfn.XLOOKUP(D61,客户信息底表!BC:BC,客户信息底表!Q:Q,,0),IFERROR(_xlfn.XLOOKUP(D61,客户信息底表!BD:BD,客户信息底表!Q:Q,,0),"底表未登记")))))</f>
        <v/>
      </c>
      <c r="G61" s="2" t="str">
        <f>IF(D61="","",IFERROR(_xlfn.XLOOKUP(D61,客户信息底表!B:B,客户信息底表!L:L,,0),IFERROR(_xlfn.XLOOKUP(D61,客户信息底表!BB:BB,客户信息底表!L:L,,0),IFERROR(_xlfn.XLOOKUP(D61,客户信息底表!BC:BC,客户信息底表!L:L,,0),IFERROR(_xlfn.XLOOKUP(D61,客户信息底表!BD:BD,客户信息底表!L:L,,0),"底表未登记")))))</f>
        <v/>
      </c>
      <c r="H61" t="str">
        <f>IF(D61="","",IFERROR(_xlfn.XLOOKUP(D61,客户信息底表!B:B,客户信息底表!G:G,,0),IFERROR(_xlfn.XLOOKUP(D61,客户信息底表!BB:BB,客户信息底表!G:G,,0),IFERROR(_xlfn.XLOOKUP(D61,客户信息底表!BC:BC,客户信息底表!G:G,,0),IFERROR(_xlfn.XLOOKUP(D61,客户信息底表!BD:BD,客户信息底表!G:G,,0),"底表未登记")))))</f>
        <v/>
      </c>
      <c r="I61" t="str">
        <f>IF(D61="","","整："&amp;数据输入表!J64&amp;"，散："&amp;数据输入表!K64&amp;"；重量kg："&amp;数据输入表!L64&amp;"，体积："&amp;数据输入表!M64)</f>
        <v/>
      </c>
    </row>
    <row r="62" spans="1:9" x14ac:dyDescent="0.25">
      <c r="A62" t="str">
        <f t="shared" si="1"/>
        <v/>
      </c>
      <c r="C62" t="str">
        <f t="shared" si="0"/>
        <v/>
      </c>
      <c r="E62" t="str">
        <f>IF(D62="","",IFERROR(_xlfn.XLOOKUP(D62,客户信息底表!B:B,客户信息底表!Q:Q,,0),IFERROR(_xlfn.XLOOKUP(D62,客户信息底表!BB:BB,客户信息底表!Q:Q,,0),IFERROR(_xlfn.XLOOKUP(D62,客户信息底表!BC:BC,客户信息底表!Q:Q,,0),IFERROR(_xlfn.XLOOKUP(D62,客户信息底表!BD:BD,客户信息底表!Q:Q,,0),"底表未登记")))))</f>
        <v/>
      </c>
      <c r="G62" s="2" t="str">
        <f>IF(D62="","",IFERROR(_xlfn.XLOOKUP(D62,客户信息底表!B:B,客户信息底表!L:L,,0),IFERROR(_xlfn.XLOOKUP(D62,客户信息底表!BB:BB,客户信息底表!L:L,,0),IFERROR(_xlfn.XLOOKUP(D62,客户信息底表!BC:BC,客户信息底表!L:L,,0),IFERROR(_xlfn.XLOOKUP(D62,客户信息底表!BD:BD,客户信息底表!L:L,,0),"底表未登记")))))</f>
        <v/>
      </c>
      <c r="H62" t="str">
        <f>IF(D62="","",IFERROR(_xlfn.XLOOKUP(D62,客户信息底表!B:B,客户信息底表!G:G,,0),IFERROR(_xlfn.XLOOKUP(D62,客户信息底表!BB:BB,客户信息底表!G:G,,0),IFERROR(_xlfn.XLOOKUP(D62,客户信息底表!BC:BC,客户信息底表!G:G,,0),IFERROR(_xlfn.XLOOKUP(D62,客户信息底表!BD:BD,客户信息底表!G:G,,0),"底表未登记")))))</f>
        <v/>
      </c>
      <c r="I62" t="str">
        <f>IF(D62="","","整："&amp;数据输入表!J65&amp;"，散："&amp;数据输入表!K65&amp;"；重量kg："&amp;数据输入表!L65&amp;"，体积："&amp;数据输入表!M65)</f>
        <v/>
      </c>
    </row>
    <row r="63" spans="1:9" x14ac:dyDescent="0.25">
      <c r="A63" t="str">
        <f t="shared" si="1"/>
        <v/>
      </c>
      <c r="C63" t="str">
        <f t="shared" si="0"/>
        <v/>
      </c>
      <c r="E63" t="str">
        <f>IF(D63="","",IFERROR(_xlfn.XLOOKUP(D63,客户信息底表!B:B,客户信息底表!Q:Q,,0),IFERROR(_xlfn.XLOOKUP(D63,客户信息底表!BB:BB,客户信息底表!Q:Q,,0),IFERROR(_xlfn.XLOOKUP(D63,客户信息底表!BC:BC,客户信息底表!Q:Q,,0),IFERROR(_xlfn.XLOOKUP(D63,客户信息底表!BD:BD,客户信息底表!Q:Q,,0),"底表未登记")))))</f>
        <v/>
      </c>
      <c r="G63" s="2" t="str">
        <f>IF(D63="","",IFERROR(_xlfn.XLOOKUP(D63,客户信息底表!B:B,客户信息底表!L:L,,0),IFERROR(_xlfn.XLOOKUP(D63,客户信息底表!BB:BB,客户信息底表!L:L,,0),IFERROR(_xlfn.XLOOKUP(D63,客户信息底表!BC:BC,客户信息底表!L:L,,0),IFERROR(_xlfn.XLOOKUP(D63,客户信息底表!BD:BD,客户信息底表!L:L,,0),"底表未登记")))))</f>
        <v/>
      </c>
      <c r="H63" t="str">
        <f>IF(D63="","",IFERROR(_xlfn.XLOOKUP(D63,客户信息底表!B:B,客户信息底表!G:G,,0),IFERROR(_xlfn.XLOOKUP(D63,客户信息底表!BB:BB,客户信息底表!G:G,,0),IFERROR(_xlfn.XLOOKUP(D63,客户信息底表!BC:BC,客户信息底表!G:G,,0),IFERROR(_xlfn.XLOOKUP(D63,客户信息底表!BD:BD,客户信息底表!G:G,,0),"底表未登记")))))</f>
        <v/>
      </c>
      <c r="I63" t="str">
        <f>IF(D63="","","整："&amp;数据输入表!J66&amp;"，散："&amp;数据输入表!K66&amp;"；重量kg："&amp;数据输入表!L66&amp;"，体积："&amp;数据输入表!M66)</f>
        <v/>
      </c>
    </row>
    <row r="64" spans="1:9" x14ac:dyDescent="0.25">
      <c r="A64" t="str">
        <f t="shared" si="1"/>
        <v/>
      </c>
      <c r="C64" t="str">
        <f t="shared" si="0"/>
        <v/>
      </c>
      <c r="E64" t="str">
        <f>IF(D64="","",IFERROR(_xlfn.XLOOKUP(D64,客户信息底表!B:B,客户信息底表!Q:Q,,0),IFERROR(_xlfn.XLOOKUP(D64,客户信息底表!BB:BB,客户信息底表!Q:Q,,0),IFERROR(_xlfn.XLOOKUP(D64,客户信息底表!BC:BC,客户信息底表!Q:Q,,0),IFERROR(_xlfn.XLOOKUP(D64,客户信息底表!BD:BD,客户信息底表!Q:Q,,0),"底表未登记")))))</f>
        <v/>
      </c>
      <c r="G64" s="2" t="str">
        <f>IF(D64="","",IFERROR(_xlfn.XLOOKUP(D64,客户信息底表!B:B,客户信息底表!L:L,,0),IFERROR(_xlfn.XLOOKUP(D64,客户信息底表!BB:BB,客户信息底表!L:L,,0),IFERROR(_xlfn.XLOOKUP(D64,客户信息底表!BC:BC,客户信息底表!L:L,,0),IFERROR(_xlfn.XLOOKUP(D64,客户信息底表!BD:BD,客户信息底表!L:L,,0),"底表未登记")))))</f>
        <v/>
      </c>
      <c r="H64" t="str">
        <f>IF(D64="","",IFERROR(_xlfn.XLOOKUP(D64,客户信息底表!B:B,客户信息底表!G:G,,0),IFERROR(_xlfn.XLOOKUP(D64,客户信息底表!BB:BB,客户信息底表!G:G,,0),IFERROR(_xlfn.XLOOKUP(D64,客户信息底表!BC:BC,客户信息底表!G:G,,0),IFERROR(_xlfn.XLOOKUP(D64,客户信息底表!BD:BD,客户信息底表!G:G,,0),"底表未登记")))))</f>
        <v/>
      </c>
      <c r="I64" t="str">
        <f>IF(D64="","","整："&amp;数据输入表!J67&amp;"，散："&amp;数据输入表!K67&amp;"；重量kg："&amp;数据输入表!L67&amp;"，体积："&amp;数据输入表!M67)</f>
        <v/>
      </c>
    </row>
    <row r="65" spans="1:9" x14ac:dyDescent="0.25">
      <c r="A65" t="str">
        <f t="shared" si="1"/>
        <v/>
      </c>
      <c r="C65" t="str">
        <f t="shared" si="0"/>
        <v/>
      </c>
      <c r="E65" t="str">
        <f>IF(D65="","",IFERROR(_xlfn.XLOOKUP(D65,客户信息底表!B:B,客户信息底表!Q:Q,,0),IFERROR(_xlfn.XLOOKUP(D65,客户信息底表!BB:BB,客户信息底表!Q:Q,,0),IFERROR(_xlfn.XLOOKUP(D65,客户信息底表!BC:BC,客户信息底表!Q:Q,,0),IFERROR(_xlfn.XLOOKUP(D65,客户信息底表!BD:BD,客户信息底表!Q:Q,,0),"底表未登记")))))</f>
        <v/>
      </c>
      <c r="G65" s="2" t="str">
        <f>IF(D65="","",IFERROR(_xlfn.XLOOKUP(D65,客户信息底表!B:B,客户信息底表!L:L,,0),IFERROR(_xlfn.XLOOKUP(D65,客户信息底表!BB:BB,客户信息底表!L:L,,0),IFERROR(_xlfn.XLOOKUP(D65,客户信息底表!BC:BC,客户信息底表!L:L,,0),IFERROR(_xlfn.XLOOKUP(D65,客户信息底表!BD:BD,客户信息底表!L:L,,0),"底表未登记")))))</f>
        <v/>
      </c>
      <c r="H65" t="str">
        <f>IF(D65="","",IFERROR(_xlfn.XLOOKUP(D65,客户信息底表!B:B,客户信息底表!G:G,,0),IFERROR(_xlfn.XLOOKUP(D65,客户信息底表!BB:BB,客户信息底表!G:G,,0),IFERROR(_xlfn.XLOOKUP(D65,客户信息底表!BC:BC,客户信息底表!G:G,,0),IFERROR(_xlfn.XLOOKUP(D65,客户信息底表!BD:BD,客户信息底表!G:G,,0),"底表未登记")))))</f>
        <v/>
      </c>
      <c r="I65" t="str">
        <f>IF(D65="","","整："&amp;数据输入表!J68&amp;"，散："&amp;数据输入表!K68&amp;"；重量kg："&amp;数据输入表!L68&amp;"，体积："&amp;数据输入表!M68)</f>
        <v/>
      </c>
    </row>
    <row r="66" spans="1:9" x14ac:dyDescent="0.25">
      <c r="A66" t="str">
        <f t="shared" si="1"/>
        <v/>
      </c>
      <c r="C66" t="str">
        <f t="shared" si="0"/>
        <v/>
      </c>
      <c r="E66" t="str">
        <f>IF(D66="","",IFERROR(_xlfn.XLOOKUP(D66,客户信息底表!B:B,客户信息底表!Q:Q,,0),IFERROR(_xlfn.XLOOKUP(D66,客户信息底表!BB:BB,客户信息底表!Q:Q,,0),IFERROR(_xlfn.XLOOKUP(D66,客户信息底表!BC:BC,客户信息底表!Q:Q,,0),IFERROR(_xlfn.XLOOKUP(D66,客户信息底表!BD:BD,客户信息底表!Q:Q,,0),"底表未登记")))))</f>
        <v/>
      </c>
      <c r="G66" s="2" t="str">
        <f>IF(D66="","",IFERROR(_xlfn.XLOOKUP(D66,客户信息底表!B:B,客户信息底表!L:L,,0),IFERROR(_xlfn.XLOOKUP(D66,客户信息底表!BB:BB,客户信息底表!L:L,,0),IFERROR(_xlfn.XLOOKUP(D66,客户信息底表!BC:BC,客户信息底表!L:L,,0),IFERROR(_xlfn.XLOOKUP(D66,客户信息底表!BD:BD,客户信息底表!L:L,,0),"底表未登记")))))</f>
        <v/>
      </c>
      <c r="H66" t="str">
        <f>IF(D66="","",IFERROR(_xlfn.XLOOKUP(D66,客户信息底表!B:B,客户信息底表!G:G,,0),IFERROR(_xlfn.XLOOKUP(D66,客户信息底表!BB:BB,客户信息底表!G:G,,0),IFERROR(_xlfn.XLOOKUP(D66,客户信息底表!BC:BC,客户信息底表!G:G,,0),IFERROR(_xlfn.XLOOKUP(D66,客户信息底表!BD:BD,客户信息底表!G:G,,0),"底表未登记")))))</f>
        <v/>
      </c>
      <c r="I66" t="str">
        <f>IF(D66="","","整："&amp;数据输入表!J69&amp;"，散："&amp;数据输入表!K69&amp;"；重量kg："&amp;数据输入表!L69&amp;"，体积："&amp;数据输入表!M69)</f>
        <v/>
      </c>
    </row>
    <row r="67" spans="1:9" x14ac:dyDescent="0.25">
      <c r="A67" t="str">
        <f t="shared" si="1"/>
        <v/>
      </c>
      <c r="C67" t="str">
        <f t="shared" ref="C67:C130" si="2">IF(D67&lt;&gt;"",ROW()-1,"")</f>
        <v/>
      </c>
      <c r="E67" t="str">
        <f>IF(D67="","",IFERROR(_xlfn.XLOOKUP(D67,客户信息底表!B:B,客户信息底表!Q:Q,,0),IFERROR(_xlfn.XLOOKUP(D67,客户信息底表!BB:BB,客户信息底表!Q:Q,,0),IFERROR(_xlfn.XLOOKUP(D67,客户信息底表!BC:BC,客户信息底表!Q:Q,,0),IFERROR(_xlfn.XLOOKUP(D67,客户信息底表!BD:BD,客户信息底表!Q:Q,,0),"底表未登记")))))</f>
        <v/>
      </c>
      <c r="G67" s="2" t="str">
        <f>IF(D67="","",IFERROR(_xlfn.XLOOKUP(D67,客户信息底表!B:B,客户信息底表!L:L,,0),IFERROR(_xlfn.XLOOKUP(D67,客户信息底表!BB:BB,客户信息底表!L:L,,0),IFERROR(_xlfn.XLOOKUP(D67,客户信息底表!BC:BC,客户信息底表!L:L,,0),IFERROR(_xlfn.XLOOKUP(D67,客户信息底表!BD:BD,客户信息底表!L:L,,0),"底表未登记")))))</f>
        <v/>
      </c>
      <c r="H67" t="str">
        <f>IF(D67="","",IFERROR(_xlfn.XLOOKUP(D67,客户信息底表!B:B,客户信息底表!G:G,,0),IFERROR(_xlfn.XLOOKUP(D67,客户信息底表!BB:BB,客户信息底表!G:G,,0),IFERROR(_xlfn.XLOOKUP(D67,客户信息底表!BC:BC,客户信息底表!G:G,,0),IFERROR(_xlfn.XLOOKUP(D67,客户信息底表!BD:BD,客户信息底表!G:G,,0),"底表未登记")))))</f>
        <v/>
      </c>
      <c r="I67" t="str">
        <f>IF(D67="","","整："&amp;数据输入表!J70&amp;"，散："&amp;数据输入表!K70&amp;"；重量kg："&amp;数据输入表!L70&amp;"，体积："&amp;数据输入表!M70)</f>
        <v/>
      </c>
    </row>
    <row r="68" spans="1:9" x14ac:dyDescent="0.25">
      <c r="A68" t="str">
        <f t="shared" ref="A68:A131" si="3">IF(D68&lt;&gt;"",$A$2,"")</f>
        <v/>
      </c>
      <c r="C68" t="str">
        <f t="shared" si="2"/>
        <v/>
      </c>
      <c r="E68" t="str">
        <f>IF(D68="","",IFERROR(_xlfn.XLOOKUP(D68,客户信息底表!B:B,客户信息底表!Q:Q,,0),IFERROR(_xlfn.XLOOKUP(D68,客户信息底表!BB:BB,客户信息底表!Q:Q,,0),IFERROR(_xlfn.XLOOKUP(D68,客户信息底表!BC:BC,客户信息底表!Q:Q,,0),IFERROR(_xlfn.XLOOKUP(D68,客户信息底表!BD:BD,客户信息底表!Q:Q,,0),"底表未登记")))))</f>
        <v/>
      </c>
      <c r="G68" s="2" t="str">
        <f>IF(D68="","",IFERROR(_xlfn.XLOOKUP(D68,客户信息底表!B:B,客户信息底表!L:L,,0),IFERROR(_xlfn.XLOOKUP(D68,客户信息底表!BB:BB,客户信息底表!L:L,,0),IFERROR(_xlfn.XLOOKUP(D68,客户信息底表!BC:BC,客户信息底表!L:L,,0),IFERROR(_xlfn.XLOOKUP(D68,客户信息底表!BD:BD,客户信息底表!L:L,,0),"底表未登记")))))</f>
        <v/>
      </c>
      <c r="H68" t="str">
        <f>IF(D68="","",IFERROR(_xlfn.XLOOKUP(D68,客户信息底表!B:B,客户信息底表!G:G,,0),IFERROR(_xlfn.XLOOKUP(D68,客户信息底表!BB:BB,客户信息底表!G:G,,0),IFERROR(_xlfn.XLOOKUP(D68,客户信息底表!BC:BC,客户信息底表!G:G,,0),IFERROR(_xlfn.XLOOKUP(D68,客户信息底表!BD:BD,客户信息底表!G:G,,0),"底表未登记")))))</f>
        <v/>
      </c>
      <c r="I68" t="str">
        <f>IF(D68="","","整："&amp;数据输入表!J71&amp;"，散："&amp;数据输入表!K71&amp;"；重量kg："&amp;数据输入表!L71&amp;"，体积："&amp;数据输入表!M71)</f>
        <v/>
      </c>
    </row>
    <row r="69" spans="1:9" x14ac:dyDescent="0.25">
      <c r="A69" t="str">
        <f t="shared" si="3"/>
        <v/>
      </c>
      <c r="C69" t="str">
        <f t="shared" si="2"/>
        <v/>
      </c>
      <c r="E69" t="str">
        <f>IF(D69="","",IFERROR(_xlfn.XLOOKUP(D69,客户信息底表!B:B,客户信息底表!Q:Q,,0),IFERROR(_xlfn.XLOOKUP(D69,客户信息底表!BB:BB,客户信息底表!Q:Q,,0),IFERROR(_xlfn.XLOOKUP(D69,客户信息底表!BC:BC,客户信息底表!Q:Q,,0),IFERROR(_xlfn.XLOOKUP(D69,客户信息底表!BD:BD,客户信息底表!Q:Q,,0),"底表未登记")))))</f>
        <v/>
      </c>
      <c r="G69" s="2" t="str">
        <f>IF(D69="","",IFERROR(_xlfn.XLOOKUP(D69,客户信息底表!B:B,客户信息底表!L:L,,0),IFERROR(_xlfn.XLOOKUP(D69,客户信息底表!BB:BB,客户信息底表!L:L,,0),IFERROR(_xlfn.XLOOKUP(D69,客户信息底表!BC:BC,客户信息底表!L:L,,0),IFERROR(_xlfn.XLOOKUP(D69,客户信息底表!BD:BD,客户信息底表!L:L,,0),"底表未登记")))))</f>
        <v/>
      </c>
      <c r="H69" t="str">
        <f>IF(D69="","",IFERROR(_xlfn.XLOOKUP(D69,客户信息底表!B:B,客户信息底表!G:G,,0),IFERROR(_xlfn.XLOOKUP(D69,客户信息底表!BB:BB,客户信息底表!G:G,,0),IFERROR(_xlfn.XLOOKUP(D69,客户信息底表!BC:BC,客户信息底表!G:G,,0),IFERROR(_xlfn.XLOOKUP(D69,客户信息底表!BD:BD,客户信息底表!G:G,,0),"底表未登记")))))</f>
        <v/>
      </c>
      <c r="I69" t="str">
        <f>IF(D69="","","整："&amp;数据输入表!J72&amp;"，散："&amp;数据输入表!K72&amp;"；重量kg："&amp;数据输入表!L72&amp;"，体积："&amp;数据输入表!M72)</f>
        <v/>
      </c>
    </row>
    <row r="70" spans="1:9" x14ac:dyDescent="0.25">
      <c r="A70" t="str">
        <f t="shared" si="3"/>
        <v/>
      </c>
      <c r="C70" t="str">
        <f t="shared" si="2"/>
        <v/>
      </c>
      <c r="E70" t="str">
        <f>IF(D70="","",IFERROR(_xlfn.XLOOKUP(D70,客户信息底表!B:B,客户信息底表!Q:Q,,0),IFERROR(_xlfn.XLOOKUP(D70,客户信息底表!BB:BB,客户信息底表!Q:Q,,0),IFERROR(_xlfn.XLOOKUP(D70,客户信息底表!BC:BC,客户信息底表!Q:Q,,0),IFERROR(_xlfn.XLOOKUP(D70,客户信息底表!BD:BD,客户信息底表!Q:Q,,0),"底表未登记")))))</f>
        <v/>
      </c>
      <c r="G70" s="2" t="str">
        <f>IF(D70="","",IFERROR(_xlfn.XLOOKUP(D70,客户信息底表!B:B,客户信息底表!L:L,,0),IFERROR(_xlfn.XLOOKUP(D70,客户信息底表!BB:BB,客户信息底表!L:L,,0),IFERROR(_xlfn.XLOOKUP(D70,客户信息底表!BC:BC,客户信息底表!L:L,,0),IFERROR(_xlfn.XLOOKUP(D70,客户信息底表!BD:BD,客户信息底表!L:L,,0),"底表未登记")))))</f>
        <v/>
      </c>
      <c r="H70" t="str">
        <f>IF(D70="","",IFERROR(_xlfn.XLOOKUP(D70,客户信息底表!B:B,客户信息底表!G:G,,0),IFERROR(_xlfn.XLOOKUP(D70,客户信息底表!BB:BB,客户信息底表!G:G,,0),IFERROR(_xlfn.XLOOKUP(D70,客户信息底表!BC:BC,客户信息底表!G:G,,0),IFERROR(_xlfn.XLOOKUP(D70,客户信息底表!BD:BD,客户信息底表!G:G,,0),"底表未登记")))))</f>
        <v/>
      </c>
      <c r="I70" t="str">
        <f>IF(D70="","","整："&amp;数据输入表!J73&amp;"，散："&amp;数据输入表!K73&amp;"；重量kg："&amp;数据输入表!L73&amp;"，体积："&amp;数据输入表!M73)</f>
        <v/>
      </c>
    </row>
    <row r="71" spans="1:9" x14ac:dyDescent="0.25">
      <c r="A71" t="str">
        <f t="shared" si="3"/>
        <v/>
      </c>
      <c r="C71" t="str">
        <f t="shared" si="2"/>
        <v/>
      </c>
      <c r="E71" t="str">
        <f>IF(D71="","",IFERROR(_xlfn.XLOOKUP(D71,客户信息底表!B:B,客户信息底表!Q:Q,,0),IFERROR(_xlfn.XLOOKUP(D71,客户信息底表!BB:BB,客户信息底表!Q:Q,,0),IFERROR(_xlfn.XLOOKUP(D71,客户信息底表!BC:BC,客户信息底表!Q:Q,,0),IFERROR(_xlfn.XLOOKUP(D71,客户信息底表!BD:BD,客户信息底表!Q:Q,,0),"底表未登记")))))</f>
        <v/>
      </c>
      <c r="G71" s="2" t="str">
        <f>IF(D71="","",IFERROR(_xlfn.XLOOKUP(D71,客户信息底表!B:B,客户信息底表!L:L,,0),IFERROR(_xlfn.XLOOKUP(D71,客户信息底表!BB:BB,客户信息底表!L:L,,0),IFERROR(_xlfn.XLOOKUP(D71,客户信息底表!BC:BC,客户信息底表!L:L,,0),IFERROR(_xlfn.XLOOKUP(D71,客户信息底表!BD:BD,客户信息底表!L:L,,0),"底表未登记")))))</f>
        <v/>
      </c>
      <c r="H71" t="str">
        <f>IF(D71="","",IFERROR(_xlfn.XLOOKUP(D71,客户信息底表!B:B,客户信息底表!G:G,,0),IFERROR(_xlfn.XLOOKUP(D71,客户信息底表!BB:BB,客户信息底表!G:G,,0),IFERROR(_xlfn.XLOOKUP(D71,客户信息底表!BC:BC,客户信息底表!G:G,,0),IFERROR(_xlfn.XLOOKUP(D71,客户信息底表!BD:BD,客户信息底表!G:G,,0),"底表未登记")))))</f>
        <v/>
      </c>
      <c r="I71" t="str">
        <f>IF(D71="","","整："&amp;数据输入表!J74&amp;"，散："&amp;数据输入表!K74&amp;"；重量kg："&amp;数据输入表!L74&amp;"，体积："&amp;数据输入表!M74)</f>
        <v/>
      </c>
    </row>
    <row r="72" spans="1:9" x14ac:dyDescent="0.25">
      <c r="A72" t="str">
        <f t="shared" si="3"/>
        <v/>
      </c>
      <c r="C72" t="str">
        <f t="shared" si="2"/>
        <v/>
      </c>
      <c r="E72" t="str">
        <f>IF(D72="","",IFERROR(_xlfn.XLOOKUP(D72,客户信息底表!B:B,客户信息底表!Q:Q,,0),IFERROR(_xlfn.XLOOKUP(D72,客户信息底表!BB:BB,客户信息底表!Q:Q,,0),IFERROR(_xlfn.XLOOKUP(D72,客户信息底表!BC:BC,客户信息底表!Q:Q,,0),IFERROR(_xlfn.XLOOKUP(D72,客户信息底表!BD:BD,客户信息底表!Q:Q,,0),"底表未登记")))))</f>
        <v/>
      </c>
      <c r="G72" s="2" t="str">
        <f>IF(D72="","",IFERROR(_xlfn.XLOOKUP(D72,客户信息底表!B:B,客户信息底表!L:L,,0),IFERROR(_xlfn.XLOOKUP(D72,客户信息底表!BB:BB,客户信息底表!L:L,,0),IFERROR(_xlfn.XLOOKUP(D72,客户信息底表!BC:BC,客户信息底表!L:L,,0),IFERROR(_xlfn.XLOOKUP(D72,客户信息底表!BD:BD,客户信息底表!L:L,,0),"底表未登记")))))</f>
        <v/>
      </c>
      <c r="H72" t="str">
        <f>IF(D72="","",IFERROR(_xlfn.XLOOKUP(D72,客户信息底表!B:B,客户信息底表!G:G,,0),IFERROR(_xlfn.XLOOKUP(D72,客户信息底表!BB:BB,客户信息底表!G:G,,0),IFERROR(_xlfn.XLOOKUP(D72,客户信息底表!BC:BC,客户信息底表!G:G,,0),IFERROR(_xlfn.XLOOKUP(D72,客户信息底表!BD:BD,客户信息底表!G:G,,0),"底表未登记")))))</f>
        <v/>
      </c>
      <c r="I72" t="str">
        <f>IF(D72="","","整："&amp;数据输入表!J75&amp;"，散："&amp;数据输入表!K75&amp;"；重量kg："&amp;数据输入表!L75&amp;"，体积："&amp;数据输入表!M75)</f>
        <v/>
      </c>
    </row>
    <row r="73" spans="1:9" x14ac:dyDescent="0.25">
      <c r="A73" t="str">
        <f t="shared" si="3"/>
        <v/>
      </c>
      <c r="C73" t="str">
        <f t="shared" si="2"/>
        <v/>
      </c>
      <c r="E73" t="str">
        <f>IF(D73="","",IFERROR(_xlfn.XLOOKUP(D73,客户信息底表!B:B,客户信息底表!Q:Q,,0),IFERROR(_xlfn.XLOOKUP(D73,客户信息底表!BB:BB,客户信息底表!Q:Q,,0),IFERROR(_xlfn.XLOOKUP(D73,客户信息底表!BC:BC,客户信息底表!Q:Q,,0),IFERROR(_xlfn.XLOOKUP(D73,客户信息底表!BD:BD,客户信息底表!Q:Q,,0),"底表未登记")))))</f>
        <v/>
      </c>
      <c r="G73" s="2" t="str">
        <f>IF(D73="","",IFERROR(_xlfn.XLOOKUP(D73,客户信息底表!B:B,客户信息底表!L:L,,0),IFERROR(_xlfn.XLOOKUP(D73,客户信息底表!BB:BB,客户信息底表!L:L,,0),IFERROR(_xlfn.XLOOKUP(D73,客户信息底表!BC:BC,客户信息底表!L:L,,0),IFERROR(_xlfn.XLOOKUP(D73,客户信息底表!BD:BD,客户信息底表!L:L,,0),"底表未登记")))))</f>
        <v/>
      </c>
      <c r="H73" t="str">
        <f>IF(D73="","",IFERROR(_xlfn.XLOOKUP(D73,客户信息底表!B:B,客户信息底表!G:G,,0),IFERROR(_xlfn.XLOOKUP(D73,客户信息底表!BB:BB,客户信息底表!G:G,,0),IFERROR(_xlfn.XLOOKUP(D73,客户信息底表!BC:BC,客户信息底表!G:G,,0),IFERROR(_xlfn.XLOOKUP(D73,客户信息底表!BD:BD,客户信息底表!G:G,,0),"底表未登记")))))</f>
        <v/>
      </c>
      <c r="I73" t="str">
        <f>IF(D73="","","整："&amp;数据输入表!J76&amp;"，散："&amp;数据输入表!K76&amp;"；重量kg："&amp;数据输入表!L76&amp;"，体积："&amp;数据输入表!M76)</f>
        <v/>
      </c>
    </row>
    <row r="74" spans="1:9" x14ac:dyDescent="0.25">
      <c r="A74" t="str">
        <f t="shared" si="3"/>
        <v/>
      </c>
      <c r="C74" t="str">
        <f t="shared" si="2"/>
        <v/>
      </c>
      <c r="E74" t="str">
        <f>IF(D74="","",IFERROR(_xlfn.XLOOKUP(D74,客户信息底表!B:B,客户信息底表!Q:Q,,0),IFERROR(_xlfn.XLOOKUP(D74,客户信息底表!BB:BB,客户信息底表!Q:Q,,0),IFERROR(_xlfn.XLOOKUP(D74,客户信息底表!BC:BC,客户信息底表!Q:Q,,0),IFERROR(_xlfn.XLOOKUP(D74,客户信息底表!BD:BD,客户信息底表!Q:Q,,0),"底表未登记")))))</f>
        <v/>
      </c>
      <c r="G74" s="2" t="str">
        <f>IF(D74="","",IFERROR(_xlfn.XLOOKUP(D74,客户信息底表!B:B,客户信息底表!L:L,,0),IFERROR(_xlfn.XLOOKUP(D74,客户信息底表!BB:BB,客户信息底表!L:L,,0),IFERROR(_xlfn.XLOOKUP(D74,客户信息底表!BC:BC,客户信息底表!L:L,,0),IFERROR(_xlfn.XLOOKUP(D74,客户信息底表!BD:BD,客户信息底表!L:L,,0),"底表未登记")))))</f>
        <v/>
      </c>
      <c r="H74" t="str">
        <f>IF(D74="","",IFERROR(_xlfn.XLOOKUP(D74,客户信息底表!B:B,客户信息底表!G:G,,0),IFERROR(_xlfn.XLOOKUP(D74,客户信息底表!BB:BB,客户信息底表!G:G,,0),IFERROR(_xlfn.XLOOKUP(D74,客户信息底表!BC:BC,客户信息底表!G:G,,0),IFERROR(_xlfn.XLOOKUP(D74,客户信息底表!BD:BD,客户信息底表!G:G,,0),"底表未登记")))))</f>
        <v/>
      </c>
      <c r="I74" t="str">
        <f>IF(D74="","","整："&amp;数据输入表!J77&amp;"，散："&amp;数据输入表!K77&amp;"；重量kg："&amp;数据输入表!L77&amp;"，体积："&amp;数据输入表!M77)</f>
        <v/>
      </c>
    </row>
    <row r="75" spans="1:9" x14ac:dyDescent="0.25">
      <c r="A75" t="str">
        <f t="shared" si="3"/>
        <v/>
      </c>
      <c r="C75" t="str">
        <f t="shared" si="2"/>
        <v/>
      </c>
      <c r="E75" t="str">
        <f>IF(D75="","",IFERROR(_xlfn.XLOOKUP(D75,客户信息底表!B:B,客户信息底表!Q:Q,,0),IFERROR(_xlfn.XLOOKUP(D75,客户信息底表!BB:BB,客户信息底表!Q:Q,,0),IFERROR(_xlfn.XLOOKUP(D75,客户信息底表!BC:BC,客户信息底表!Q:Q,,0),IFERROR(_xlfn.XLOOKUP(D75,客户信息底表!BD:BD,客户信息底表!Q:Q,,0),"底表未登记")))))</f>
        <v/>
      </c>
      <c r="G75" s="2" t="str">
        <f>IF(D75="","",IFERROR(_xlfn.XLOOKUP(D75,客户信息底表!B:B,客户信息底表!L:L,,0),IFERROR(_xlfn.XLOOKUP(D75,客户信息底表!BB:BB,客户信息底表!L:L,,0),IFERROR(_xlfn.XLOOKUP(D75,客户信息底表!BC:BC,客户信息底表!L:L,,0),IFERROR(_xlfn.XLOOKUP(D75,客户信息底表!BD:BD,客户信息底表!L:L,,0),"底表未登记")))))</f>
        <v/>
      </c>
      <c r="H75" t="str">
        <f>IF(D75="","",IFERROR(_xlfn.XLOOKUP(D75,客户信息底表!B:B,客户信息底表!G:G,,0),IFERROR(_xlfn.XLOOKUP(D75,客户信息底表!BB:BB,客户信息底表!G:G,,0),IFERROR(_xlfn.XLOOKUP(D75,客户信息底表!BC:BC,客户信息底表!G:G,,0),IFERROR(_xlfn.XLOOKUP(D75,客户信息底表!BD:BD,客户信息底表!G:G,,0),"底表未登记")))))</f>
        <v/>
      </c>
      <c r="I75" t="str">
        <f>IF(D75="","","整："&amp;数据输入表!J78&amp;"，散："&amp;数据输入表!K78&amp;"；重量kg："&amp;数据输入表!L78&amp;"，体积："&amp;数据输入表!M78)</f>
        <v/>
      </c>
    </row>
    <row r="76" spans="1:9" x14ac:dyDescent="0.25">
      <c r="A76" t="str">
        <f t="shared" si="3"/>
        <v/>
      </c>
      <c r="C76" t="str">
        <f t="shared" si="2"/>
        <v/>
      </c>
      <c r="E76" t="str">
        <f>IF(D76="","",IFERROR(_xlfn.XLOOKUP(D76,客户信息底表!B:B,客户信息底表!Q:Q,,0),IFERROR(_xlfn.XLOOKUP(D76,客户信息底表!BB:BB,客户信息底表!Q:Q,,0),IFERROR(_xlfn.XLOOKUP(D76,客户信息底表!BC:BC,客户信息底表!Q:Q,,0),IFERROR(_xlfn.XLOOKUP(D76,客户信息底表!BD:BD,客户信息底表!Q:Q,,0),"底表未登记")))))</f>
        <v/>
      </c>
      <c r="G76" s="2" t="str">
        <f>IF(D76="","",IFERROR(_xlfn.XLOOKUP(D76,客户信息底表!B:B,客户信息底表!L:L,,0),IFERROR(_xlfn.XLOOKUP(D76,客户信息底表!BB:BB,客户信息底表!L:L,,0),IFERROR(_xlfn.XLOOKUP(D76,客户信息底表!BC:BC,客户信息底表!L:L,,0),IFERROR(_xlfn.XLOOKUP(D76,客户信息底表!BD:BD,客户信息底表!L:L,,0),"底表未登记")))))</f>
        <v/>
      </c>
      <c r="H76" t="str">
        <f>IF(D76="","",IFERROR(_xlfn.XLOOKUP(D76,客户信息底表!B:B,客户信息底表!G:G,,0),IFERROR(_xlfn.XLOOKUP(D76,客户信息底表!BB:BB,客户信息底表!G:G,,0),IFERROR(_xlfn.XLOOKUP(D76,客户信息底表!BC:BC,客户信息底表!G:G,,0),IFERROR(_xlfn.XLOOKUP(D76,客户信息底表!BD:BD,客户信息底表!G:G,,0),"底表未登记")))))</f>
        <v/>
      </c>
      <c r="I76" t="str">
        <f>IF(D76="","","整："&amp;数据输入表!J79&amp;"，散："&amp;数据输入表!K79&amp;"；重量kg："&amp;数据输入表!L79&amp;"，体积："&amp;数据输入表!M79)</f>
        <v/>
      </c>
    </row>
    <row r="77" spans="1:9" x14ac:dyDescent="0.25">
      <c r="A77" t="str">
        <f t="shared" si="3"/>
        <v/>
      </c>
      <c r="C77" t="str">
        <f t="shared" si="2"/>
        <v/>
      </c>
      <c r="E77" t="str">
        <f>IF(D77="","",IFERROR(_xlfn.XLOOKUP(D77,客户信息底表!B:B,客户信息底表!Q:Q,,0),IFERROR(_xlfn.XLOOKUP(D77,客户信息底表!BB:BB,客户信息底表!Q:Q,,0),IFERROR(_xlfn.XLOOKUP(D77,客户信息底表!BC:BC,客户信息底表!Q:Q,,0),IFERROR(_xlfn.XLOOKUP(D77,客户信息底表!BD:BD,客户信息底表!Q:Q,,0),"底表未登记")))))</f>
        <v/>
      </c>
      <c r="G77" s="2" t="str">
        <f>IF(D77="","",IFERROR(_xlfn.XLOOKUP(D77,客户信息底表!B:B,客户信息底表!L:L,,0),IFERROR(_xlfn.XLOOKUP(D77,客户信息底表!BB:BB,客户信息底表!L:L,,0),IFERROR(_xlfn.XLOOKUP(D77,客户信息底表!BC:BC,客户信息底表!L:L,,0),IFERROR(_xlfn.XLOOKUP(D77,客户信息底表!BD:BD,客户信息底表!L:L,,0),"底表未登记")))))</f>
        <v/>
      </c>
      <c r="H77" t="str">
        <f>IF(D77="","",IFERROR(_xlfn.XLOOKUP(D77,客户信息底表!B:B,客户信息底表!G:G,,0),IFERROR(_xlfn.XLOOKUP(D77,客户信息底表!BB:BB,客户信息底表!G:G,,0),IFERROR(_xlfn.XLOOKUP(D77,客户信息底表!BC:BC,客户信息底表!G:G,,0),IFERROR(_xlfn.XLOOKUP(D77,客户信息底表!BD:BD,客户信息底表!G:G,,0),"底表未登记")))))</f>
        <v/>
      </c>
      <c r="I77" t="str">
        <f>IF(D77="","","整："&amp;数据输入表!J80&amp;"，散："&amp;数据输入表!K80&amp;"；重量kg："&amp;数据输入表!L80&amp;"，体积："&amp;数据输入表!M80)</f>
        <v/>
      </c>
    </row>
    <row r="78" spans="1:9" x14ac:dyDescent="0.25">
      <c r="A78" t="str">
        <f t="shared" si="3"/>
        <v/>
      </c>
      <c r="C78" t="str">
        <f t="shared" si="2"/>
        <v/>
      </c>
      <c r="E78" t="str">
        <f>IF(D78="","",IFERROR(_xlfn.XLOOKUP(D78,客户信息底表!B:B,客户信息底表!Q:Q,,0),IFERROR(_xlfn.XLOOKUP(D78,客户信息底表!BB:BB,客户信息底表!Q:Q,,0),IFERROR(_xlfn.XLOOKUP(D78,客户信息底表!BC:BC,客户信息底表!Q:Q,,0),IFERROR(_xlfn.XLOOKUP(D78,客户信息底表!BD:BD,客户信息底表!Q:Q,,0),"底表未登记")))))</f>
        <v/>
      </c>
      <c r="G78" s="2" t="str">
        <f>IF(D78="","",IFERROR(_xlfn.XLOOKUP(D78,客户信息底表!B:B,客户信息底表!L:L,,0),IFERROR(_xlfn.XLOOKUP(D78,客户信息底表!BB:BB,客户信息底表!L:L,,0),IFERROR(_xlfn.XLOOKUP(D78,客户信息底表!BC:BC,客户信息底表!L:L,,0),IFERROR(_xlfn.XLOOKUP(D78,客户信息底表!BD:BD,客户信息底表!L:L,,0),"底表未登记")))))</f>
        <v/>
      </c>
      <c r="H78" t="str">
        <f>IF(D78="","",IFERROR(_xlfn.XLOOKUP(D78,客户信息底表!B:B,客户信息底表!G:G,,0),IFERROR(_xlfn.XLOOKUP(D78,客户信息底表!BB:BB,客户信息底表!G:G,,0),IFERROR(_xlfn.XLOOKUP(D78,客户信息底表!BC:BC,客户信息底表!G:G,,0),IFERROR(_xlfn.XLOOKUP(D78,客户信息底表!BD:BD,客户信息底表!G:G,,0),"底表未登记")))))</f>
        <v/>
      </c>
      <c r="I78" t="str">
        <f>IF(D78="","","整："&amp;数据输入表!J81&amp;"，散："&amp;数据输入表!K81&amp;"；重量kg："&amp;数据输入表!L81&amp;"，体积："&amp;数据输入表!M81)</f>
        <v/>
      </c>
    </row>
    <row r="79" spans="1:9" x14ac:dyDescent="0.25">
      <c r="A79" t="str">
        <f t="shared" si="3"/>
        <v/>
      </c>
      <c r="C79" t="str">
        <f t="shared" si="2"/>
        <v/>
      </c>
      <c r="E79" t="str">
        <f>IF(D79="","",IFERROR(_xlfn.XLOOKUP(D79,客户信息底表!B:B,客户信息底表!Q:Q,,0),IFERROR(_xlfn.XLOOKUP(D79,客户信息底表!BB:BB,客户信息底表!Q:Q,,0),IFERROR(_xlfn.XLOOKUP(D79,客户信息底表!BC:BC,客户信息底表!Q:Q,,0),IFERROR(_xlfn.XLOOKUP(D79,客户信息底表!BD:BD,客户信息底表!Q:Q,,0),"底表未登记")))))</f>
        <v/>
      </c>
      <c r="G79" s="2" t="str">
        <f>IF(D79="","",IFERROR(_xlfn.XLOOKUP(D79,客户信息底表!B:B,客户信息底表!L:L,,0),IFERROR(_xlfn.XLOOKUP(D79,客户信息底表!BB:BB,客户信息底表!L:L,,0),IFERROR(_xlfn.XLOOKUP(D79,客户信息底表!BC:BC,客户信息底表!L:L,,0),IFERROR(_xlfn.XLOOKUP(D79,客户信息底表!BD:BD,客户信息底表!L:L,,0),"底表未登记")))))</f>
        <v/>
      </c>
      <c r="H79" t="str">
        <f>IF(D79="","",IFERROR(_xlfn.XLOOKUP(D79,客户信息底表!B:B,客户信息底表!G:G,,0),IFERROR(_xlfn.XLOOKUP(D79,客户信息底表!BB:BB,客户信息底表!G:G,,0),IFERROR(_xlfn.XLOOKUP(D79,客户信息底表!BC:BC,客户信息底表!G:G,,0),IFERROR(_xlfn.XLOOKUP(D79,客户信息底表!BD:BD,客户信息底表!G:G,,0),"底表未登记")))))</f>
        <v/>
      </c>
      <c r="I79" t="str">
        <f>IF(D79="","","整："&amp;数据输入表!J82&amp;"，散："&amp;数据输入表!K82&amp;"；重量kg："&amp;数据输入表!L82&amp;"，体积："&amp;数据输入表!M82)</f>
        <v/>
      </c>
    </row>
    <row r="80" spans="1:9" x14ac:dyDescent="0.25">
      <c r="A80" t="str">
        <f t="shared" si="3"/>
        <v/>
      </c>
      <c r="C80" t="str">
        <f t="shared" si="2"/>
        <v/>
      </c>
      <c r="E80" t="str">
        <f>IF(D80="","",IFERROR(_xlfn.XLOOKUP(D80,客户信息底表!B:B,客户信息底表!Q:Q,,0),IFERROR(_xlfn.XLOOKUP(D80,客户信息底表!BB:BB,客户信息底表!Q:Q,,0),IFERROR(_xlfn.XLOOKUP(D80,客户信息底表!BC:BC,客户信息底表!Q:Q,,0),IFERROR(_xlfn.XLOOKUP(D80,客户信息底表!BD:BD,客户信息底表!Q:Q,,0),"底表未登记")))))</f>
        <v/>
      </c>
      <c r="G80" s="2" t="str">
        <f>IF(D80="","",IFERROR(_xlfn.XLOOKUP(D80,客户信息底表!B:B,客户信息底表!L:L,,0),IFERROR(_xlfn.XLOOKUP(D80,客户信息底表!BB:BB,客户信息底表!L:L,,0),IFERROR(_xlfn.XLOOKUP(D80,客户信息底表!BC:BC,客户信息底表!L:L,,0),IFERROR(_xlfn.XLOOKUP(D80,客户信息底表!BD:BD,客户信息底表!L:L,,0),"底表未登记")))))</f>
        <v/>
      </c>
      <c r="H80" t="str">
        <f>IF(D80="","",IFERROR(_xlfn.XLOOKUP(D80,客户信息底表!B:B,客户信息底表!G:G,,0),IFERROR(_xlfn.XLOOKUP(D80,客户信息底表!BB:BB,客户信息底表!G:G,,0),IFERROR(_xlfn.XLOOKUP(D80,客户信息底表!BC:BC,客户信息底表!G:G,,0),IFERROR(_xlfn.XLOOKUP(D80,客户信息底表!BD:BD,客户信息底表!G:G,,0),"底表未登记")))))</f>
        <v/>
      </c>
      <c r="I80" t="str">
        <f>IF(D80="","","整："&amp;数据输入表!J83&amp;"，散："&amp;数据输入表!K83&amp;"；重量kg："&amp;数据输入表!L83&amp;"，体积："&amp;数据输入表!M83)</f>
        <v/>
      </c>
    </row>
    <row r="81" spans="1:9" x14ac:dyDescent="0.25">
      <c r="A81" t="str">
        <f t="shared" si="3"/>
        <v/>
      </c>
      <c r="C81" t="str">
        <f t="shared" si="2"/>
        <v/>
      </c>
      <c r="E81" t="str">
        <f>IF(D81="","",IFERROR(_xlfn.XLOOKUP(D81,客户信息底表!B:B,客户信息底表!Q:Q,,0),IFERROR(_xlfn.XLOOKUP(D81,客户信息底表!BB:BB,客户信息底表!Q:Q,,0),IFERROR(_xlfn.XLOOKUP(D81,客户信息底表!BC:BC,客户信息底表!Q:Q,,0),IFERROR(_xlfn.XLOOKUP(D81,客户信息底表!BD:BD,客户信息底表!Q:Q,,0),"底表未登记")))))</f>
        <v/>
      </c>
      <c r="G81" s="2" t="str">
        <f>IF(D81="","",IFERROR(_xlfn.XLOOKUP(D81,客户信息底表!B:B,客户信息底表!L:L,,0),IFERROR(_xlfn.XLOOKUP(D81,客户信息底表!BB:BB,客户信息底表!L:L,,0),IFERROR(_xlfn.XLOOKUP(D81,客户信息底表!BC:BC,客户信息底表!L:L,,0),IFERROR(_xlfn.XLOOKUP(D81,客户信息底表!BD:BD,客户信息底表!L:L,,0),"底表未登记")))))</f>
        <v/>
      </c>
      <c r="H81" t="str">
        <f>IF(D81="","",IFERROR(_xlfn.XLOOKUP(D81,客户信息底表!B:B,客户信息底表!G:G,,0),IFERROR(_xlfn.XLOOKUP(D81,客户信息底表!BB:BB,客户信息底表!G:G,,0),IFERROR(_xlfn.XLOOKUP(D81,客户信息底表!BC:BC,客户信息底表!G:G,,0),IFERROR(_xlfn.XLOOKUP(D81,客户信息底表!BD:BD,客户信息底表!G:G,,0),"底表未登记")))))</f>
        <v/>
      </c>
      <c r="I81" t="str">
        <f>IF(D81="","","整："&amp;数据输入表!J84&amp;"，散："&amp;数据输入表!K84&amp;"；重量kg："&amp;数据输入表!L84&amp;"，体积："&amp;数据输入表!M84)</f>
        <v/>
      </c>
    </row>
    <row r="82" spans="1:9" x14ac:dyDescent="0.25">
      <c r="A82" t="str">
        <f t="shared" si="3"/>
        <v/>
      </c>
      <c r="C82" t="str">
        <f t="shared" si="2"/>
        <v/>
      </c>
      <c r="E82" t="str">
        <f>IF(D82="","",IFERROR(_xlfn.XLOOKUP(D82,客户信息底表!B:B,客户信息底表!Q:Q,,0),IFERROR(_xlfn.XLOOKUP(D82,客户信息底表!BB:BB,客户信息底表!Q:Q,,0),IFERROR(_xlfn.XLOOKUP(D82,客户信息底表!BC:BC,客户信息底表!Q:Q,,0),IFERROR(_xlfn.XLOOKUP(D82,客户信息底表!BD:BD,客户信息底表!Q:Q,,0),"底表未登记")))))</f>
        <v/>
      </c>
      <c r="G82" s="2" t="str">
        <f>IF(D82="","",IFERROR(_xlfn.XLOOKUP(D82,客户信息底表!B:B,客户信息底表!L:L,,0),IFERROR(_xlfn.XLOOKUP(D82,客户信息底表!BB:BB,客户信息底表!L:L,,0),IFERROR(_xlfn.XLOOKUP(D82,客户信息底表!BC:BC,客户信息底表!L:L,,0),IFERROR(_xlfn.XLOOKUP(D82,客户信息底表!BD:BD,客户信息底表!L:L,,0),"底表未登记")))))</f>
        <v/>
      </c>
      <c r="H82" t="str">
        <f>IF(D82="","",IFERROR(_xlfn.XLOOKUP(D82,客户信息底表!B:B,客户信息底表!G:G,,0),IFERROR(_xlfn.XLOOKUP(D82,客户信息底表!BB:BB,客户信息底表!G:G,,0),IFERROR(_xlfn.XLOOKUP(D82,客户信息底表!BC:BC,客户信息底表!G:G,,0),IFERROR(_xlfn.XLOOKUP(D82,客户信息底表!BD:BD,客户信息底表!G:G,,0),"底表未登记")))))</f>
        <v/>
      </c>
      <c r="I82" t="str">
        <f>IF(D82="","","整："&amp;数据输入表!J85&amp;"，散："&amp;数据输入表!K85&amp;"；重量kg："&amp;数据输入表!L85&amp;"，体积："&amp;数据输入表!M85)</f>
        <v/>
      </c>
    </row>
    <row r="83" spans="1:9" x14ac:dyDescent="0.25">
      <c r="A83" t="str">
        <f t="shared" si="3"/>
        <v/>
      </c>
      <c r="C83" t="str">
        <f t="shared" si="2"/>
        <v/>
      </c>
      <c r="E83" t="str">
        <f>IF(D83="","",IFERROR(_xlfn.XLOOKUP(D83,客户信息底表!B:B,客户信息底表!Q:Q,,0),IFERROR(_xlfn.XLOOKUP(D83,客户信息底表!BB:BB,客户信息底表!Q:Q,,0),IFERROR(_xlfn.XLOOKUP(D83,客户信息底表!BC:BC,客户信息底表!Q:Q,,0),IFERROR(_xlfn.XLOOKUP(D83,客户信息底表!BD:BD,客户信息底表!Q:Q,,0),"底表未登记")))))</f>
        <v/>
      </c>
      <c r="G83" s="2" t="str">
        <f>IF(D83="","",IFERROR(_xlfn.XLOOKUP(D83,客户信息底表!B:B,客户信息底表!L:L,,0),IFERROR(_xlfn.XLOOKUP(D83,客户信息底表!BB:BB,客户信息底表!L:L,,0),IFERROR(_xlfn.XLOOKUP(D83,客户信息底表!BC:BC,客户信息底表!L:L,,0),IFERROR(_xlfn.XLOOKUP(D83,客户信息底表!BD:BD,客户信息底表!L:L,,0),"底表未登记")))))</f>
        <v/>
      </c>
      <c r="H83" t="str">
        <f>IF(D83="","",IFERROR(_xlfn.XLOOKUP(D83,客户信息底表!B:B,客户信息底表!G:G,,0),IFERROR(_xlfn.XLOOKUP(D83,客户信息底表!BB:BB,客户信息底表!G:G,,0),IFERROR(_xlfn.XLOOKUP(D83,客户信息底表!BC:BC,客户信息底表!G:G,,0),IFERROR(_xlfn.XLOOKUP(D83,客户信息底表!BD:BD,客户信息底表!G:G,,0),"底表未登记")))))</f>
        <v/>
      </c>
      <c r="I83" t="str">
        <f>IF(D83="","","整："&amp;数据输入表!J86&amp;"，散："&amp;数据输入表!K86&amp;"；重量kg："&amp;数据输入表!L86&amp;"，体积："&amp;数据输入表!M86)</f>
        <v/>
      </c>
    </row>
    <row r="84" spans="1:9" x14ac:dyDescent="0.25">
      <c r="A84" t="str">
        <f t="shared" si="3"/>
        <v/>
      </c>
      <c r="C84" t="str">
        <f t="shared" si="2"/>
        <v/>
      </c>
      <c r="E84" t="str">
        <f>IF(D84="","",IFERROR(_xlfn.XLOOKUP(D84,客户信息底表!B:B,客户信息底表!Q:Q,,0),IFERROR(_xlfn.XLOOKUP(D84,客户信息底表!BB:BB,客户信息底表!Q:Q,,0),IFERROR(_xlfn.XLOOKUP(D84,客户信息底表!BC:BC,客户信息底表!Q:Q,,0),IFERROR(_xlfn.XLOOKUP(D84,客户信息底表!BD:BD,客户信息底表!Q:Q,,0),"底表未登记")))))</f>
        <v/>
      </c>
      <c r="G84" s="2" t="str">
        <f>IF(D84="","",IFERROR(_xlfn.XLOOKUP(D84,客户信息底表!B:B,客户信息底表!L:L,,0),IFERROR(_xlfn.XLOOKUP(D84,客户信息底表!BB:BB,客户信息底表!L:L,,0),IFERROR(_xlfn.XLOOKUP(D84,客户信息底表!BC:BC,客户信息底表!L:L,,0),IFERROR(_xlfn.XLOOKUP(D84,客户信息底表!BD:BD,客户信息底表!L:L,,0),"底表未登记")))))</f>
        <v/>
      </c>
      <c r="H84" t="str">
        <f>IF(D84="","",IFERROR(_xlfn.XLOOKUP(D84,客户信息底表!B:B,客户信息底表!G:G,,0),IFERROR(_xlfn.XLOOKUP(D84,客户信息底表!BB:BB,客户信息底表!G:G,,0),IFERROR(_xlfn.XLOOKUP(D84,客户信息底表!BC:BC,客户信息底表!G:G,,0),IFERROR(_xlfn.XLOOKUP(D84,客户信息底表!BD:BD,客户信息底表!G:G,,0),"底表未登记")))))</f>
        <v/>
      </c>
      <c r="I84" t="str">
        <f>IF(D84="","","整："&amp;数据输入表!J87&amp;"，散："&amp;数据输入表!K87&amp;"；重量kg："&amp;数据输入表!L87&amp;"，体积："&amp;数据输入表!M87)</f>
        <v/>
      </c>
    </row>
    <row r="85" spans="1:9" x14ac:dyDescent="0.25">
      <c r="A85" t="str">
        <f t="shared" si="3"/>
        <v/>
      </c>
      <c r="C85" t="str">
        <f t="shared" si="2"/>
        <v/>
      </c>
      <c r="E85" t="str">
        <f>IF(D85="","",IFERROR(_xlfn.XLOOKUP(D85,客户信息底表!B:B,客户信息底表!Q:Q,,0),IFERROR(_xlfn.XLOOKUP(D85,客户信息底表!BB:BB,客户信息底表!Q:Q,,0),IFERROR(_xlfn.XLOOKUP(D85,客户信息底表!BC:BC,客户信息底表!Q:Q,,0),IFERROR(_xlfn.XLOOKUP(D85,客户信息底表!BD:BD,客户信息底表!Q:Q,,0),"底表未登记")))))</f>
        <v/>
      </c>
      <c r="G85" s="2" t="str">
        <f>IF(D85="","",IFERROR(_xlfn.XLOOKUP(D85,客户信息底表!B:B,客户信息底表!L:L,,0),IFERROR(_xlfn.XLOOKUP(D85,客户信息底表!BB:BB,客户信息底表!L:L,,0),IFERROR(_xlfn.XLOOKUP(D85,客户信息底表!BC:BC,客户信息底表!L:L,,0),IFERROR(_xlfn.XLOOKUP(D85,客户信息底表!BD:BD,客户信息底表!L:L,,0),"底表未登记")))))</f>
        <v/>
      </c>
      <c r="H85" t="str">
        <f>IF(D85="","",IFERROR(_xlfn.XLOOKUP(D85,客户信息底表!B:B,客户信息底表!G:G,,0),IFERROR(_xlfn.XLOOKUP(D85,客户信息底表!BB:BB,客户信息底表!G:G,,0),IFERROR(_xlfn.XLOOKUP(D85,客户信息底表!BC:BC,客户信息底表!G:G,,0),IFERROR(_xlfn.XLOOKUP(D85,客户信息底表!BD:BD,客户信息底表!G:G,,0),"底表未登记")))))</f>
        <v/>
      </c>
      <c r="I85" t="str">
        <f>IF(D85="","","整："&amp;数据输入表!J88&amp;"，散："&amp;数据输入表!K88&amp;"；重量kg："&amp;数据输入表!L88&amp;"，体积："&amp;数据输入表!M88)</f>
        <v/>
      </c>
    </row>
    <row r="86" spans="1:9" x14ac:dyDescent="0.25">
      <c r="A86" t="str">
        <f t="shared" si="3"/>
        <v/>
      </c>
      <c r="C86" t="str">
        <f t="shared" si="2"/>
        <v/>
      </c>
      <c r="E86" t="str">
        <f>IF(D86="","",IFERROR(_xlfn.XLOOKUP(D86,客户信息底表!B:B,客户信息底表!Q:Q,,0),IFERROR(_xlfn.XLOOKUP(D86,客户信息底表!BB:BB,客户信息底表!Q:Q,,0),IFERROR(_xlfn.XLOOKUP(D86,客户信息底表!BC:BC,客户信息底表!Q:Q,,0),IFERROR(_xlfn.XLOOKUP(D86,客户信息底表!BD:BD,客户信息底表!Q:Q,,0),"底表未登记")))))</f>
        <v/>
      </c>
      <c r="G86" s="2" t="str">
        <f>IF(D86="","",IFERROR(_xlfn.XLOOKUP(D86,客户信息底表!B:B,客户信息底表!L:L,,0),IFERROR(_xlfn.XLOOKUP(D86,客户信息底表!BB:BB,客户信息底表!L:L,,0),IFERROR(_xlfn.XLOOKUP(D86,客户信息底表!BC:BC,客户信息底表!L:L,,0),IFERROR(_xlfn.XLOOKUP(D86,客户信息底表!BD:BD,客户信息底表!L:L,,0),"底表未登记")))))</f>
        <v/>
      </c>
      <c r="H86" t="str">
        <f>IF(D86="","",IFERROR(_xlfn.XLOOKUP(D86,客户信息底表!B:B,客户信息底表!G:G,,0),IFERROR(_xlfn.XLOOKUP(D86,客户信息底表!BB:BB,客户信息底表!G:G,,0),IFERROR(_xlfn.XLOOKUP(D86,客户信息底表!BC:BC,客户信息底表!G:G,,0),IFERROR(_xlfn.XLOOKUP(D86,客户信息底表!BD:BD,客户信息底表!G:G,,0),"底表未登记")))))</f>
        <v/>
      </c>
      <c r="I86" t="str">
        <f>IF(D86="","","整："&amp;数据输入表!J89&amp;"，散："&amp;数据输入表!K89&amp;"；重量kg："&amp;数据输入表!L89&amp;"，体积："&amp;数据输入表!M89)</f>
        <v/>
      </c>
    </row>
    <row r="87" spans="1:9" x14ac:dyDescent="0.25">
      <c r="A87" t="str">
        <f t="shared" si="3"/>
        <v/>
      </c>
      <c r="C87" t="str">
        <f t="shared" si="2"/>
        <v/>
      </c>
      <c r="E87" t="str">
        <f>IF(D87="","",IFERROR(_xlfn.XLOOKUP(D87,客户信息底表!B:B,客户信息底表!Q:Q,,0),IFERROR(_xlfn.XLOOKUP(D87,客户信息底表!BB:BB,客户信息底表!Q:Q,,0),IFERROR(_xlfn.XLOOKUP(D87,客户信息底表!BC:BC,客户信息底表!Q:Q,,0),IFERROR(_xlfn.XLOOKUP(D87,客户信息底表!BD:BD,客户信息底表!Q:Q,,0),"底表未登记")))))</f>
        <v/>
      </c>
      <c r="G87" s="2" t="str">
        <f>IF(D87="","",IFERROR(_xlfn.XLOOKUP(D87,客户信息底表!B:B,客户信息底表!L:L,,0),IFERROR(_xlfn.XLOOKUP(D87,客户信息底表!BB:BB,客户信息底表!L:L,,0),IFERROR(_xlfn.XLOOKUP(D87,客户信息底表!BC:BC,客户信息底表!L:L,,0),IFERROR(_xlfn.XLOOKUP(D87,客户信息底表!BD:BD,客户信息底表!L:L,,0),"底表未登记")))))</f>
        <v/>
      </c>
      <c r="H87" t="str">
        <f>IF(D87="","",IFERROR(_xlfn.XLOOKUP(D87,客户信息底表!B:B,客户信息底表!G:G,,0),IFERROR(_xlfn.XLOOKUP(D87,客户信息底表!BB:BB,客户信息底表!G:G,,0),IFERROR(_xlfn.XLOOKUP(D87,客户信息底表!BC:BC,客户信息底表!G:G,,0),IFERROR(_xlfn.XLOOKUP(D87,客户信息底表!BD:BD,客户信息底表!G:G,,0),"底表未登记")))))</f>
        <v/>
      </c>
      <c r="I87" t="str">
        <f>IF(D87="","","整："&amp;数据输入表!J90&amp;"，散："&amp;数据输入表!K90&amp;"；重量kg："&amp;数据输入表!L90&amp;"，体积："&amp;数据输入表!M90)</f>
        <v/>
      </c>
    </row>
    <row r="88" spans="1:9" x14ac:dyDescent="0.25">
      <c r="A88" t="str">
        <f t="shared" si="3"/>
        <v/>
      </c>
      <c r="C88" t="str">
        <f t="shared" si="2"/>
        <v/>
      </c>
      <c r="E88" t="str">
        <f>IF(D88="","",IFERROR(_xlfn.XLOOKUP(D88,客户信息底表!B:B,客户信息底表!Q:Q,,0),IFERROR(_xlfn.XLOOKUP(D88,客户信息底表!BB:BB,客户信息底表!Q:Q,,0),IFERROR(_xlfn.XLOOKUP(D88,客户信息底表!BC:BC,客户信息底表!Q:Q,,0),IFERROR(_xlfn.XLOOKUP(D88,客户信息底表!BD:BD,客户信息底表!Q:Q,,0),"底表未登记")))))</f>
        <v/>
      </c>
      <c r="G88" s="2" t="str">
        <f>IF(D88="","",IFERROR(_xlfn.XLOOKUP(D88,客户信息底表!B:B,客户信息底表!L:L,,0),IFERROR(_xlfn.XLOOKUP(D88,客户信息底表!BB:BB,客户信息底表!L:L,,0),IFERROR(_xlfn.XLOOKUP(D88,客户信息底表!BC:BC,客户信息底表!L:L,,0),IFERROR(_xlfn.XLOOKUP(D88,客户信息底表!BD:BD,客户信息底表!L:L,,0),"底表未登记")))))</f>
        <v/>
      </c>
      <c r="H88" t="str">
        <f>IF(D88="","",IFERROR(_xlfn.XLOOKUP(D88,客户信息底表!B:B,客户信息底表!G:G,,0),IFERROR(_xlfn.XLOOKUP(D88,客户信息底表!BB:BB,客户信息底表!G:G,,0),IFERROR(_xlfn.XLOOKUP(D88,客户信息底表!BC:BC,客户信息底表!G:G,,0),IFERROR(_xlfn.XLOOKUP(D88,客户信息底表!BD:BD,客户信息底表!G:G,,0),"底表未登记")))))</f>
        <v/>
      </c>
      <c r="I88" t="str">
        <f>IF(D88="","","整："&amp;数据输入表!J91&amp;"，散："&amp;数据输入表!K91&amp;"；重量kg："&amp;数据输入表!L91&amp;"，体积："&amp;数据输入表!M91)</f>
        <v/>
      </c>
    </row>
    <row r="89" spans="1:9" x14ac:dyDescent="0.25">
      <c r="A89" t="str">
        <f t="shared" si="3"/>
        <v/>
      </c>
      <c r="C89" t="str">
        <f t="shared" si="2"/>
        <v/>
      </c>
      <c r="E89" t="str">
        <f>IF(D89="","",IFERROR(_xlfn.XLOOKUP(D89,客户信息底表!B:B,客户信息底表!Q:Q,,0),IFERROR(_xlfn.XLOOKUP(D89,客户信息底表!BB:BB,客户信息底表!Q:Q,,0),IFERROR(_xlfn.XLOOKUP(D89,客户信息底表!BC:BC,客户信息底表!Q:Q,,0),IFERROR(_xlfn.XLOOKUP(D89,客户信息底表!BD:BD,客户信息底表!Q:Q,,0),"底表未登记")))))</f>
        <v/>
      </c>
      <c r="G89" s="2" t="str">
        <f>IF(D89="","",IFERROR(_xlfn.XLOOKUP(D89,客户信息底表!B:B,客户信息底表!L:L,,0),IFERROR(_xlfn.XLOOKUP(D89,客户信息底表!BB:BB,客户信息底表!L:L,,0),IFERROR(_xlfn.XLOOKUP(D89,客户信息底表!BC:BC,客户信息底表!L:L,,0),IFERROR(_xlfn.XLOOKUP(D89,客户信息底表!BD:BD,客户信息底表!L:L,,0),"底表未登记")))))</f>
        <v/>
      </c>
      <c r="H89" t="str">
        <f>IF(D89="","",IFERROR(_xlfn.XLOOKUP(D89,客户信息底表!B:B,客户信息底表!G:G,,0),IFERROR(_xlfn.XLOOKUP(D89,客户信息底表!BB:BB,客户信息底表!G:G,,0),IFERROR(_xlfn.XLOOKUP(D89,客户信息底表!BC:BC,客户信息底表!G:G,,0),IFERROR(_xlfn.XLOOKUP(D89,客户信息底表!BD:BD,客户信息底表!G:G,,0),"底表未登记")))))</f>
        <v/>
      </c>
      <c r="I89" t="str">
        <f>IF(D89="","","整："&amp;数据输入表!J92&amp;"，散："&amp;数据输入表!K92&amp;"；重量kg："&amp;数据输入表!L92&amp;"，体积："&amp;数据输入表!M92)</f>
        <v/>
      </c>
    </row>
    <row r="90" spans="1:9" x14ac:dyDescent="0.25">
      <c r="A90" t="str">
        <f t="shared" si="3"/>
        <v/>
      </c>
      <c r="C90" t="str">
        <f t="shared" si="2"/>
        <v/>
      </c>
      <c r="E90" t="str">
        <f>IF(D90="","",IFERROR(_xlfn.XLOOKUP(D90,客户信息底表!B:B,客户信息底表!Q:Q,,0),IFERROR(_xlfn.XLOOKUP(D90,客户信息底表!BB:BB,客户信息底表!Q:Q,,0),IFERROR(_xlfn.XLOOKUP(D90,客户信息底表!BC:BC,客户信息底表!Q:Q,,0),IFERROR(_xlfn.XLOOKUP(D90,客户信息底表!BD:BD,客户信息底表!Q:Q,,0),"底表未登记")))))</f>
        <v/>
      </c>
      <c r="G90" s="2" t="str">
        <f>IF(D90="","",IFERROR(_xlfn.XLOOKUP(D90,客户信息底表!B:B,客户信息底表!L:L,,0),IFERROR(_xlfn.XLOOKUP(D90,客户信息底表!BB:BB,客户信息底表!L:L,,0),IFERROR(_xlfn.XLOOKUP(D90,客户信息底表!BC:BC,客户信息底表!L:L,,0),IFERROR(_xlfn.XLOOKUP(D90,客户信息底表!BD:BD,客户信息底表!L:L,,0),"底表未登记")))))</f>
        <v/>
      </c>
      <c r="H90" t="str">
        <f>IF(D90="","",IFERROR(_xlfn.XLOOKUP(D90,客户信息底表!B:B,客户信息底表!G:G,,0),IFERROR(_xlfn.XLOOKUP(D90,客户信息底表!BB:BB,客户信息底表!G:G,,0),IFERROR(_xlfn.XLOOKUP(D90,客户信息底表!BC:BC,客户信息底表!G:G,,0),IFERROR(_xlfn.XLOOKUP(D90,客户信息底表!BD:BD,客户信息底表!G:G,,0),"底表未登记")))))</f>
        <v/>
      </c>
      <c r="I90" t="str">
        <f>IF(D90="","","整："&amp;数据输入表!J93&amp;"，散："&amp;数据输入表!K93&amp;"；重量kg："&amp;数据输入表!L93&amp;"，体积："&amp;数据输入表!M93)</f>
        <v/>
      </c>
    </row>
    <row r="91" spans="1:9" x14ac:dyDescent="0.25">
      <c r="A91" t="str">
        <f t="shared" si="3"/>
        <v/>
      </c>
      <c r="C91" t="str">
        <f t="shared" si="2"/>
        <v/>
      </c>
      <c r="E91" t="str">
        <f>IF(D91="","",IFERROR(_xlfn.XLOOKUP(D91,客户信息底表!B:B,客户信息底表!Q:Q,,0),IFERROR(_xlfn.XLOOKUP(D91,客户信息底表!BB:BB,客户信息底表!Q:Q,,0),IFERROR(_xlfn.XLOOKUP(D91,客户信息底表!BC:BC,客户信息底表!Q:Q,,0),IFERROR(_xlfn.XLOOKUP(D91,客户信息底表!BD:BD,客户信息底表!Q:Q,,0),"底表未登记")))))</f>
        <v/>
      </c>
      <c r="G91" s="2" t="str">
        <f>IF(D91="","",IFERROR(_xlfn.XLOOKUP(D91,客户信息底表!B:B,客户信息底表!L:L,,0),IFERROR(_xlfn.XLOOKUP(D91,客户信息底表!BB:BB,客户信息底表!L:L,,0),IFERROR(_xlfn.XLOOKUP(D91,客户信息底表!BC:BC,客户信息底表!L:L,,0),IFERROR(_xlfn.XLOOKUP(D91,客户信息底表!BD:BD,客户信息底表!L:L,,0),"底表未登记")))))</f>
        <v/>
      </c>
      <c r="H91" t="str">
        <f>IF(D91="","",IFERROR(_xlfn.XLOOKUP(D91,客户信息底表!B:B,客户信息底表!G:G,,0),IFERROR(_xlfn.XLOOKUP(D91,客户信息底表!BB:BB,客户信息底表!G:G,,0),IFERROR(_xlfn.XLOOKUP(D91,客户信息底表!BC:BC,客户信息底表!G:G,,0),IFERROR(_xlfn.XLOOKUP(D91,客户信息底表!BD:BD,客户信息底表!G:G,,0),"底表未登记")))))</f>
        <v/>
      </c>
      <c r="I91" t="str">
        <f>IF(D91="","","整："&amp;数据输入表!J94&amp;"，散："&amp;数据输入表!K94&amp;"；重量kg："&amp;数据输入表!L94&amp;"，体积："&amp;数据输入表!M94)</f>
        <v/>
      </c>
    </row>
    <row r="92" spans="1:9" x14ac:dyDescent="0.25">
      <c r="A92" t="str">
        <f t="shared" si="3"/>
        <v/>
      </c>
      <c r="C92" t="str">
        <f t="shared" si="2"/>
        <v/>
      </c>
      <c r="E92" t="str">
        <f>IF(D92="","",IFERROR(_xlfn.XLOOKUP(D92,客户信息底表!B:B,客户信息底表!Q:Q,,0),IFERROR(_xlfn.XLOOKUP(D92,客户信息底表!BB:BB,客户信息底表!Q:Q,,0),IFERROR(_xlfn.XLOOKUP(D92,客户信息底表!BC:BC,客户信息底表!Q:Q,,0),IFERROR(_xlfn.XLOOKUP(D92,客户信息底表!BD:BD,客户信息底表!Q:Q,,0),"底表未登记")))))</f>
        <v/>
      </c>
      <c r="G92" s="2" t="str">
        <f>IF(D92="","",IFERROR(_xlfn.XLOOKUP(D92,客户信息底表!B:B,客户信息底表!L:L,,0),IFERROR(_xlfn.XLOOKUP(D92,客户信息底表!BB:BB,客户信息底表!L:L,,0),IFERROR(_xlfn.XLOOKUP(D92,客户信息底表!BC:BC,客户信息底表!L:L,,0),IFERROR(_xlfn.XLOOKUP(D92,客户信息底表!BD:BD,客户信息底表!L:L,,0),"底表未登记")))))</f>
        <v/>
      </c>
      <c r="H92" t="str">
        <f>IF(D92="","",IFERROR(_xlfn.XLOOKUP(D92,客户信息底表!B:B,客户信息底表!G:G,,0),IFERROR(_xlfn.XLOOKUP(D92,客户信息底表!BB:BB,客户信息底表!G:G,,0),IFERROR(_xlfn.XLOOKUP(D92,客户信息底表!BC:BC,客户信息底表!G:G,,0),IFERROR(_xlfn.XLOOKUP(D92,客户信息底表!BD:BD,客户信息底表!G:G,,0),"底表未登记")))))</f>
        <v/>
      </c>
      <c r="I92" t="str">
        <f>IF(D92="","","整："&amp;数据输入表!J95&amp;"，散："&amp;数据输入表!K95&amp;"；重量kg："&amp;数据输入表!L95&amp;"，体积："&amp;数据输入表!M95)</f>
        <v/>
      </c>
    </row>
    <row r="93" spans="1:9" x14ac:dyDescent="0.25">
      <c r="A93" t="str">
        <f t="shared" si="3"/>
        <v/>
      </c>
      <c r="C93" t="str">
        <f t="shared" si="2"/>
        <v/>
      </c>
      <c r="E93" t="str">
        <f>IF(D93="","",IFERROR(_xlfn.XLOOKUP(D93,客户信息底表!B:B,客户信息底表!Q:Q,,0),IFERROR(_xlfn.XLOOKUP(D93,客户信息底表!BB:BB,客户信息底表!Q:Q,,0),IFERROR(_xlfn.XLOOKUP(D93,客户信息底表!BC:BC,客户信息底表!Q:Q,,0),IFERROR(_xlfn.XLOOKUP(D93,客户信息底表!BD:BD,客户信息底表!Q:Q,,0),"底表未登记")))))</f>
        <v/>
      </c>
      <c r="G93" s="2" t="str">
        <f>IF(D93="","",IFERROR(_xlfn.XLOOKUP(D93,客户信息底表!B:B,客户信息底表!L:L,,0),IFERROR(_xlfn.XLOOKUP(D93,客户信息底表!BB:BB,客户信息底表!L:L,,0),IFERROR(_xlfn.XLOOKUP(D93,客户信息底表!BC:BC,客户信息底表!L:L,,0),IFERROR(_xlfn.XLOOKUP(D93,客户信息底表!BD:BD,客户信息底表!L:L,,0),"底表未登记")))))</f>
        <v/>
      </c>
      <c r="H93" t="str">
        <f>IF(D93="","",IFERROR(_xlfn.XLOOKUP(D93,客户信息底表!B:B,客户信息底表!G:G,,0),IFERROR(_xlfn.XLOOKUP(D93,客户信息底表!BB:BB,客户信息底表!G:G,,0),IFERROR(_xlfn.XLOOKUP(D93,客户信息底表!BC:BC,客户信息底表!G:G,,0),IFERROR(_xlfn.XLOOKUP(D93,客户信息底表!BD:BD,客户信息底表!G:G,,0),"底表未登记")))))</f>
        <v/>
      </c>
      <c r="I93" t="str">
        <f>IF(D93="","","整："&amp;数据输入表!J96&amp;"，散："&amp;数据输入表!K96&amp;"；重量kg："&amp;数据输入表!L96&amp;"，体积："&amp;数据输入表!M96)</f>
        <v/>
      </c>
    </row>
    <row r="94" spans="1:9" x14ac:dyDescent="0.25">
      <c r="A94" t="str">
        <f t="shared" si="3"/>
        <v/>
      </c>
      <c r="C94" t="str">
        <f t="shared" si="2"/>
        <v/>
      </c>
      <c r="E94" t="str">
        <f>IF(D94="","",IFERROR(_xlfn.XLOOKUP(D94,客户信息底表!B:B,客户信息底表!Q:Q,,0),IFERROR(_xlfn.XLOOKUP(D94,客户信息底表!BB:BB,客户信息底表!Q:Q,,0),IFERROR(_xlfn.XLOOKUP(D94,客户信息底表!BC:BC,客户信息底表!Q:Q,,0),IFERROR(_xlfn.XLOOKUP(D94,客户信息底表!BD:BD,客户信息底表!Q:Q,,0),"底表未登记")))))</f>
        <v/>
      </c>
      <c r="G94" s="2" t="str">
        <f>IF(D94="","",IFERROR(_xlfn.XLOOKUP(D94,客户信息底表!B:B,客户信息底表!L:L,,0),IFERROR(_xlfn.XLOOKUP(D94,客户信息底表!BB:BB,客户信息底表!L:L,,0),IFERROR(_xlfn.XLOOKUP(D94,客户信息底表!BC:BC,客户信息底表!L:L,,0),IFERROR(_xlfn.XLOOKUP(D94,客户信息底表!BD:BD,客户信息底表!L:L,,0),"底表未登记")))))</f>
        <v/>
      </c>
      <c r="H94" t="str">
        <f>IF(D94="","",IFERROR(_xlfn.XLOOKUP(D94,客户信息底表!B:B,客户信息底表!G:G,,0),IFERROR(_xlfn.XLOOKUP(D94,客户信息底表!BB:BB,客户信息底表!G:G,,0),IFERROR(_xlfn.XLOOKUP(D94,客户信息底表!BC:BC,客户信息底表!G:G,,0),IFERROR(_xlfn.XLOOKUP(D94,客户信息底表!BD:BD,客户信息底表!G:G,,0),"底表未登记")))))</f>
        <v/>
      </c>
      <c r="I94" t="str">
        <f>IF(D94="","","整："&amp;数据输入表!J97&amp;"，散："&amp;数据输入表!K97&amp;"；重量kg："&amp;数据输入表!L97&amp;"，体积："&amp;数据输入表!M97)</f>
        <v/>
      </c>
    </row>
    <row r="95" spans="1:9" x14ac:dyDescent="0.25">
      <c r="A95" t="str">
        <f t="shared" si="3"/>
        <v/>
      </c>
      <c r="C95" t="str">
        <f t="shared" si="2"/>
        <v/>
      </c>
      <c r="E95" t="str">
        <f>IF(D95="","",IFERROR(_xlfn.XLOOKUP(D95,客户信息底表!B:B,客户信息底表!Q:Q,,0),IFERROR(_xlfn.XLOOKUP(D95,客户信息底表!BB:BB,客户信息底表!Q:Q,,0),IFERROR(_xlfn.XLOOKUP(D95,客户信息底表!BC:BC,客户信息底表!Q:Q,,0),IFERROR(_xlfn.XLOOKUP(D95,客户信息底表!BD:BD,客户信息底表!Q:Q,,0),"底表未登记")))))</f>
        <v/>
      </c>
      <c r="G95" s="2" t="str">
        <f>IF(D95="","",IFERROR(_xlfn.XLOOKUP(D95,客户信息底表!B:B,客户信息底表!L:L,,0),IFERROR(_xlfn.XLOOKUP(D95,客户信息底表!BB:BB,客户信息底表!L:L,,0),IFERROR(_xlfn.XLOOKUP(D95,客户信息底表!BC:BC,客户信息底表!L:L,,0),IFERROR(_xlfn.XLOOKUP(D95,客户信息底表!BD:BD,客户信息底表!L:L,,0),"底表未登记")))))</f>
        <v/>
      </c>
      <c r="H95" t="str">
        <f>IF(D95="","",IFERROR(_xlfn.XLOOKUP(D95,客户信息底表!B:B,客户信息底表!G:G,,0),IFERROR(_xlfn.XLOOKUP(D95,客户信息底表!BB:BB,客户信息底表!G:G,,0),IFERROR(_xlfn.XLOOKUP(D95,客户信息底表!BC:BC,客户信息底表!G:G,,0),IFERROR(_xlfn.XLOOKUP(D95,客户信息底表!BD:BD,客户信息底表!G:G,,0),"底表未登记")))))</f>
        <v/>
      </c>
      <c r="I95" t="str">
        <f>IF(D95="","","整："&amp;数据输入表!J98&amp;"，散："&amp;数据输入表!K98&amp;"；重量kg："&amp;数据输入表!L98&amp;"，体积："&amp;数据输入表!M98)</f>
        <v/>
      </c>
    </row>
    <row r="96" spans="1:9" x14ac:dyDescent="0.25">
      <c r="A96" t="str">
        <f t="shared" si="3"/>
        <v/>
      </c>
      <c r="C96" t="str">
        <f t="shared" si="2"/>
        <v/>
      </c>
      <c r="E96" t="str">
        <f>IF(D96="","",IFERROR(_xlfn.XLOOKUP(D96,客户信息底表!B:B,客户信息底表!Q:Q,,0),IFERROR(_xlfn.XLOOKUP(D96,客户信息底表!BB:BB,客户信息底表!Q:Q,,0),IFERROR(_xlfn.XLOOKUP(D96,客户信息底表!BC:BC,客户信息底表!Q:Q,,0),IFERROR(_xlfn.XLOOKUP(D96,客户信息底表!BD:BD,客户信息底表!Q:Q,,0),"底表未登记")))))</f>
        <v/>
      </c>
      <c r="G96" s="2" t="str">
        <f>IF(D96="","",IFERROR(_xlfn.XLOOKUP(D96,客户信息底表!B:B,客户信息底表!L:L,,0),IFERROR(_xlfn.XLOOKUP(D96,客户信息底表!BB:BB,客户信息底表!L:L,,0),IFERROR(_xlfn.XLOOKUP(D96,客户信息底表!BC:BC,客户信息底表!L:L,,0),IFERROR(_xlfn.XLOOKUP(D96,客户信息底表!BD:BD,客户信息底表!L:L,,0),"底表未登记")))))</f>
        <v/>
      </c>
      <c r="H96" t="str">
        <f>IF(D96="","",IFERROR(_xlfn.XLOOKUP(D96,客户信息底表!B:B,客户信息底表!G:G,,0),IFERROR(_xlfn.XLOOKUP(D96,客户信息底表!BB:BB,客户信息底表!G:G,,0),IFERROR(_xlfn.XLOOKUP(D96,客户信息底表!BC:BC,客户信息底表!G:G,,0),IFERROR(_xlfn.XLOOKUP(D96,客户信息底表!BD:BD,客户信息底表!G:G,,0),"底表未登记")))))</f>
        <v/>
      </c>
      <c r="I96" t="str">
        <f>IF(D96="","","整："&amp;数据输入表!J99&amp;"，散："&amp;数据输入表!K99&amp;"；重量kg："&amp;数据输入表!L99&amp;"，体积："&amp;数据输入表!M99)</f>
        <v/>
      </c>
    </row>
    <row r="97" spans="1:9" x14ac:dyDescent="0.25">
      <c r="A97" t="str">
        <f t="shared" si="3"/>
        <v/>
      </c>
      <c r="C97" t="str">
        <f t="shared" si="2"/>
        <v/>
      </c>
      <c r="E97" t="str">
        <f>IF(D97="","",IFERROR(_xlfn.XLOOKUP(D97,客户信息底表!B:B,客户信息底表!Q:Q,,0),IFERROR(_xlfn.XLOOKUP(D97,客户信息底表!BB:BB,客户信息底表!Q:Q,,0),IFERROR(_xlfn.XLOOKUP(D97,客户信息底表!BC:BC,客户信息底表!Q:Q,,0),IFERROR(_xlfn.XLOOKUP(D97,客户信息底表!BD:BD,客户信息底表!Q:Q,,0),"底表未登记")))))</f>
        <v/>
      </c>
      <c r="G97" s="2" t="str">
        <f>IF(D97="","",IFERROR(_xlfn.XLOOKUP(D97,客户信息底表!B:B,客户信息底表!L:L,,0),IFERROR(_xlfn.XLOOKUP(D97,客户信息底表!BB:BB,客户信息底表!L:L,,0),IFERROR(_xlfn.XLOOKUP(D97,客户信息底表!BC:BC,客户信息底表!L:L,,0),IFERROR(_xlfn.XLOOKUP(D97,客户信息底表!BD:BD,客户信息底表!L:L,,0),"底表未登记")))))</f>
        <v/>
      </c>
      <c r="H97" t="str">
        <f>IF(D97="","",IFERROR(_xlfn.XLOOKUP(D97,客户信息底表!B:B,客户信息底表!G:G,,0),IFERROR(_xlfn.XLOOKUP(D97,客户信息底表!BB:BB,客户信息底表!G:G,,0),IFERROR(_xlfn.XLOOKUP(D97,客户信息底表!BC:BC,客户信息底表!G:G,,0),IFERROR(_xlfn.XLOOKUP(D97,客户信息底表!BD:BD,客户信息底表!G:G,,0),"底表未登记")))))</f>
        <v/>
      </c>
      <c r="I97" t="str">
        <f>IF(D97="","","整："&amp;数据输入表!J100&amp;"，散："&amp;数据输入表!K100&amp;"；重量kg："&amp;数据输入表!L100&amp;"，体积："&amp;数据输入表!M100)</f>
        <v/>
      </c>
    </row>
    <row r="98" spans="1:9" x14ac:dyDescent="0.25">
      <c r="A98" t="str">
        <f t="shared" si="3"/>
        <v/>
      </c>
      <c r="C98" t="str">
        <f t="shared" si="2"/>
        <v/>
      </c>
      <c r="E98" t="str">
        <f>IF(D98="","",IFERROR(_xlfn.XLOOKUP(D98,客户信息底表!B:B,客户信息底表!Q:Q,,0),IFERROR(_xlfn.XLOOKUP(D98,客户信息底表!BB:BB,客户信息底表!Q:Q,,0),IFERROR(_xlfn.XLOOKUP(D98,客户信息底表!BC:BC,客户信息底表!Q:Q,,0),IFERROR(_xlfn.XLOOKUP(D98,客户信息底表!BD:BD,客户信息底表!Q:Q,,0),"底表未登记")))))</f>
        <v/>
      </c>
      <c r="G98" s="2" t="str">
        <f>IF(D98="","",IFERROR(_xlfn.XLOOKUP(D98,客户信息底表!B:B,客户信息底表!L:L,,0),IFERROR(_xlfn.XLOOKUP(D98,客户信息底表!BB:BB,客户信息底表!L:L,,0),IFERROR(_xlfn.XLOOKUP(D98,客户信息底表!BC:BC,客户信息底表!L:L,,0),IFERROR(_xlfn.XLOOKUP(D98,客户信息底表!BD:BD,客户信息底表!L:L,,0),"底表未登记")))))</f>
        <v/>
      </c>
      <c r="H98" t="str">
        <f>IF(D98="","",IFERROR(_xlfn.XLOOKUP(D98,客户信息底表!B:B,客户信息底表!G:G,,0),IFERROR(_xlfn.XLOOKUP(D98,客户信息底表!BB:BB,客户信息底表!G:G,,0),IFERROR(_xlfn.XLOOKUP(D98,客户信息底表!BC:BC,客户信息底表!G:G,,0),IFERROR(_xlfn.XLOOKUP(D98,客户信息底表!BD:BD,客户信息底表!G:G,,0),"底表未登记")))))</f>
        <v/>
      </c>
      <c r="I98" t="str">
        <f>IF(D98="","","整："&amp;数据输入表!J101&amp;"，散："&amp;数据输入表!K101&amp;"；重量kg："&amp;数据输入表!L101&amp;"，体积："&amp;数据输入表!M101)</f>
        <v/>
      </c>
    </row>
    <row r="99" spans="1:9" x14ac:dyDescent="0.25">
      <c r="A99" t="str">
        <f t="shared" si="3"/>
        <v/>
      </c>
      <c r="C99" t="str">
        <f t="shared" si="2"/>
        <v/>
      </c>
      <c r="E99" t="str">
        <f>IF(D99="","",IFERROR(_xlfn.XLOOKUP(D99,客户信息底表!B:B,客户信息底表!Q:Q,,0),IFERROR(_xlfn.XLOOKUP(D99,客户信息底表!BB:BB,客户信息底表!Q:Q,,0),IFERROR(_xlfn.XLOOKUP(D99,客户信息底表!BC:BC,客户信息底表!Q:Q,,0),IFERROR(_xlfn.XLOOKUP(D99,客户信息底表!BD:BD,客户信息底表!Q:Q,,0),"底表未登记")))))</f>
        <v/>
      </c>
      <c r="G99" s="2" t="str">
        <f>IF(D99="","",IFERROR(_xlfn.XLOOKUP(D99,客户信息底表!B:B,客户信息底表!L:L,,0),IFERROR(_xlfn.XLOOKUP(D99,客户信息底表!BB:BB,客户信息底表!L:L,,0),IFERROR(_xlfn.XLOOKUP(D99,客户信息底表!BC:BC,客户信息底表!L:L,,0),IFERROR(_xlfn.XLOOKUP(D99,客户信息底表!BD:BD,客户信息底表!L:L,,0),"底表未登记")))))</f>
        <v/>
      </c>
      <c r="H99" t="str">
        <f>IF(D99="","",IFERROR(_xlfn.XLOOKUP(D99,客户信息底表!B:B,客户信息底表!G:G,,0),IFERROR(_xlfn.XLOOKUP(D99,客户信息底表!BB:BB,客户信息底表!G:G,,0),IFERROR(_xlfn.XLOOKUP(D99,客户信息底表!BC:BC,客户信息底表!G:G,,0),IFERROR(_xlfn.XLOOKUP(D99,客户信息底表!BD:BD,客户信息底表!G:G,,0),"底表未登记")))))</f>
        <v/>
      </c>
      <c r="I99" t="str">
        <f>IF(D99="","","整："&amp;数据输入表!J102&amp;"，散："&amp;数据输入表!K102&amp;"；重量kg："&amp;数据输入表!L102&amp;"，体积："&amp;数据输入表!M102)</f>
        <v/>
      </c>
    </row>
    <row r="100" spans="1:9" x14ac:dyDescent="0.25">
      <c r="A100" t="str">
        <f t="shared" si="3"/>
        <v/>
      </c>
      <c r="C100" t="str">
        <f t="shared" si="2"/>
        <v/>
      </c>
      <c r="E100" t="str">
        <f>IF(D100="","",IFERROR(_xlfn.XLOOKUP(D100,客户信息底表!B:B,客户信息底表!Q:Q,,0),IFERROR(_xlfn.XLOOKUP(D100,客户信息底表!BB:BB,客户信息底表!Q:Q,,0),IFERROR(_xlfn.XLOOKUP(D100,客户信息底表!BC:BC,客户信息底表!Q:Q,,0),IFERROR(_xlfn.XLOOKUP(D100,客户信息底表!BD:BD,客户信息底表!Q:Q,,0),"底表未登记")))))</f>
        <v/>
      </c>
      <c r="G100" s="2" t="str">
        <f>IF(D100="","",IFERROR(_xlfn.XLOOKUP(D100,客户信息底表!B:B,客户信息底表!L:L,,0),IFERROR(_xlfn.XLOOKUP(D100,客户信息底表!BB:BB,客户信息底表!L:L,,0),IFERROR(_xlfn.XLOOKUP(D100,客户信息底表!BC:BC,客户信息底表!L:L,,0),IFERROR(_xlfn.XLOOKUP(D100,客户信息底表!BD:BD,客户信息底表!L:L,,0),"底表未登记")))))</f>
        <v/>
      </c>
      <c r="H100" t="str">
        <f>IF(D100="","",IFERROR(_xlfn.XLOOKUP(D100,客户信息底表!B:B,客户信息底表!G:G,,0),IFERROR(_xlfn.XLOOKUP(D100,客户信息底表!BB:BB,客户信息底表!G:G,,0),IFERROR(_xlfn.XLOOKUP(D100,客户信息底表!BC:BC,客户信息底表!G:G,,0),IFERROR(_xlfn.XLOOKUP(D100,客户信息底表!BD:BD,客户信息底表!G:G,,0),"底表未登记")))))</f>
        <v/>
      </c>
      <c r="I100" t="str">
        <f>IF(D100="","","整："&amp;数据输入表!J103&amp;"，散："&amp;数据输入表!K103&amp;"；重量kg："&amp;数据输入表!L103&amp;"，体积："&amp;数据输入表!M103)</f>
        <v/>
      </c>
    </row>
    <row r="101" spans="1:9" x14ac:dyDescent="0.25">
      <c r="A101" t="str">
        <f t="shared" si="3"/>
        <v/>
      </c>
      <c r="C101" t="str">
        <f t="shared" si="2"/>
        <v/>
      </c>
      <c r="E101" t="str">
        <f>IF(D101="","",IFERROR(_xlfn.XLOOKUP(D101,客户信息底表!B:B,客户信息底表!Q:Q,,0),IFERROR(_xlfn.XLOOKUP(D101,客户信息底表!BB:BB,客户信息底表!Q:Q,,0),IFERROR(_xlfn.XLOOKUP(D101,客户信息底表!BC:BC,客户信息底表!Q:Q,,0),IFERROR(_xlfn.XLOOKUP(D101,客户信息底表!BD:BD,客户信息底表!Q:Q,,0),"底表未登记")))))</f>
        <v/>
      </c>
      <c r="G101" s="2" t="str">
        <f>IF(D101="","",IFERROR(_xlfn.XLOOKUP(D101,客户信息底表!B:B,客户信息底表!L:L,,0),IFERROR(_xlfn.XLOOKUP(D101,客户信息底表!BB:BB,客户信息底表!L:L,,0),IFERROR(_xlfn.XLOOKUP(D101,客户信息底表!BC:BC,客户信息底表!L:L,,0),IFERROR(_xlfn.XLOOKUP(D101,客户信息底表!BD:BD,客户信息底表!L:L,,0),"底表未登记")))))</f>
        <v/>
      </c>
      <c r="H101" t="str">
        <f>IF(D101="","",IFERROR(_xlfn.XLOOKUP(D101,客户信息底表!B:B,客户信息底表!G:G,,0),IFERROR(_xlfn.XLOOKUP(D101,客户信息底表!BB:BB,客户信息底表!G:G,,0),IFERROR(_xlfn.XLOOKUP(D101,客户信息底表!BC:BC,客户信息底表!G:G,,0),IFERROR(_xlfn.XLOOKUP(D101,客户信息底表!BD:BD,客户信息底表!G:G,,0),"底表未登记")))))</f>
        <v/>
      </c>
      <c r="I101" t="str">
        <f>IF(D101="","","整："&amp;数据输入表!J104&amp;"，散："&amp;数据输入表!K104&amp;"；重量kg："&amp;数据输入表!L104&amp;"，体积："&amp;数据输入表!M104)</f>
        <v/>
      </c>
    </row>
    <row r="102" spans="1:9" x14ac:dyDescent="0.25">
      <c r="A102" t="str">
        <f t="shared" si="3"/>
        <v/>
      </c>
      <c r="C102" t="str">
        <f t="shared" si="2"/>
        <v/>
      </c>
      <c r="E102" t="str">
        <f>IF(D102="","",IFERROR(_xlfn.XLOOKUP(D102,客户信息底表!B:B,客户信息底表!Q:Q,,0),IFERROR(_xlfn.XLOOKUP(D102,客户信息底表!BB:BB,客户信息底表!Q:Q,,0),IFERROR(_xlfn.XLOOKUP(D102,客户信息底表!BC:BC,客户信息底表!Q:Q,,0),IFERROR(_xlfn.XLOOKUP(D102,客户信息底表!BD:BD,客户信息底表!Q:Q,,0),"底表未登记")))))</f>
        <v/>
      </c>
      <c r="G102" s="2" t="str">
        <f>IF(D102="","",IFERROR(_xlfn.XLOOKUP(D102,客户信息底表!B:B,客户信息底表!L:L,,0),IFERROR(_xlfn.XLOOKUP(D102,客户信息底表!BB:BB,客户信息底表!L:L,,0),IFERROR(_xlfn.XLOOKUP(D102,客户信息底表!BC:BC,客户信息底表!L:L,,0),IFERROR(_xlfn.XLOOKUP(D102,客户信息底表!BD:BD,客户信息底表!L:L,,0),"底表未登记")))))</f>
        <v/>
      </c>
      <c r="H102" t="str">
        <f>IF(D102="","",IFERROR(_xlfn.XLOOKUP(D102,客户信息底表!B:B,客户信息底表!G:G,,0),IFERROR(_xlfn.XLOOKUP(D102,客户信息底表!BB:BB,客户信息底表!G:G,,0),IFERROR(_xlfn.XLOOKUP(D102,客户信息底表!BC:BC,客户信息底表!G:G,,0),IFERROR(_xlfn.XLOOKUP(D102,客户信息底表!BD:BD,客户信息底表!G:G,,0),"底表未登记")))))</f>
        <v/>
      </c>
      <c r="I102" t="str">
        <f>IF(D102="","","整："&amp;数据输入表!J105&amp;"，散："&amp;数据输入表!K105&amp;"；重量kg："&amp;数据输入表!L105&amp;"，体积："&amp;数据输入表!M105)</f>
        <v/>
      </c>
    </row>
    <row r="103" spans="1:9" x14ac:dyDescent="0.25">
      <c r="A103" t="str">
        <f t="shared" si="3"/>
        <v/>
      </c>
      <c r="C103" t="str">
        <f t="shared" si="2"/>
        <v/>
      </c>
      <c r="E103" t="str">
        <f>IF(D103="","",IFERROR(_xlfn.XLOOKUP(D103,客户信息底表!B:B,客户信息底表!Q:Q,,0),IFERROR(_xlfn.XLOOKUP(D103,客户信息底表!BB:BB,客户信息底表!Q:Q,,0),IFERROR(_xlfn.XLOOKUP(D103,客户信息底表!BC:BC,客户信息底表!Q:Q,,0),IFERROR(_xlfn.XLOOKUP(D103,客户信息底表!BD:BD,客户信息底表!Q:Q,,0),"底表未登记")))))</f>
        <v/>
      </c>
      <c r="G103" s="2" t="str">
        <f>IF(D103="","",IFERROR(_xlfn.XLOOKUP(D103,客户信息底表!B:B,客户信息底表!L:L,,0),IFERROR(_xlfn.XLOOKUP(D103,客户信息底表!BB:BB,客户信息底表!L:L,,0),IFERROR(_xlfn.XLOOKUP(D103,客户信息底表!BC:BC,客户信息底表!L:L,,0),IFERROR(_xlfn.XLOOKUP(D103,客户信息底表!BD:BD,客户信息底表!L:L,,0),"底表未登记")))))</f>
        <v/>
      </c>
      <c r="H103" t="str">
        <f>IF(D103="","",IFERROR(_xlfn.XLOOKUP(D103,客户信息底表!B:B,客户信息底表!G:G,,0),IFERROR(_xlfn.XLOOKUP(D103,客户信息底表!BB:BB,客户信息底表!G:G,,0),IFERROR(_xlfn.XLOOKUP(D103,客户信息底表!BC:BC,客户信息底表!G:G,,0),IFERROR(_xlfn.XLOOKUP(D103,客户信息底表!BD:BD,客户信息底表!G:G,,0),"底表未登记")))))</f>
        <v/>
      </c>
      <c r="I103" t="str">
        <f>IF(D103="","","整："&amp;数据输入表!J106&amp;"，散："&amp;数据输入表!K106&amp;"；重量kg："&amp;数据输入表!L106&amp;"，体积："&amp;数据输入表!M106)</f>
        <v/>
      </c>
    </row>
    <row r="104" spans="1:9" x14ac:dyDescent="0.25">
      <c r="A104" t="str">
        <f t="shared" si="3"/>
        <v/>
      </c>
      <c r="C104" t="str">
        <f t="shared" si="2"/>
        <v/>
      </c>
      <c r="E104" t="str">
        <f>IF(D104="","",IFERROR(_xlfn.XLOOKUP(D104,客户信息底表!B:B,客户信息底表!Q:Q,,0),IFERROR(_xlfn.XLOOKUP(D104,客户信息底表!BB:BB,客户信息底表!Q:Q,,0),IFERROR(_xlfn.XLOOKUP(D104,客户信息底表!BC:BC,客户信息底表!Q:Q,,0),IFERROR(_xlfn.XLOOKUP(D104,客户信息底表!BD:BD,客户信息底表!Q:Q,,0),"底表未登记")))))</f>
        <v/>
      </c>
      <c r="G104" s="2" t="str">
        <f>IF(D104="","",IFERROR(_xlfn.XLOOKUP(D104,客户信息底表!B:B,客户信息底表!L:L,,0),IFERROR(_xlfn.XLOOKUP(D104,客户信息底表!BB:BB,客户信息底表!L:L,,0),IFERROR(_xlfn.XLOOKUP(D104,客户信息底表!BC:BC,客户信息底表!L:L,,0),IFERROR(_xlfn.XLOOKUP(D104,客户信息底表!BD:BD,客户信息底表!L:L,,0),"底表未登记")))))</f>
        <v/>
      </c>
      <c r="H104" t="str">
        <f>IF(D104="","",IFERROR(_xlfn.XLOOKUP(D104,客户信息底表!B:B,客户信息底表!G:G,,0),IFERROR(_xlfn.XLOOKUP(D104,客户信息底表!BB:BB,客户信息底表!G:G,,0),IFERROR(_xlfn.XLOOKUP(D104,客户信息底表!BC:BC,客户信息底表!G:G,,0),IFERROR(_xlfn.XLOOKUP(D104,客户信息底表!BD:BD,客户信息底表!G:G,,0),"底表未登记")))))</f>
        <v/>
      </c>
      <c r="I104" t="str">
        <f>IF(D104="","","整："&amp;数据输入表!J107&amp;"，散："&amp;数据输入表!K107&amp;"；重量kg："&amp;数据输入表!L107&amp;"，体积："&amp;数据输入表!M107)</f>
        <v/>
      </c>
    </row>
    <row r="105" spans="1:9" x14ac:dyDescent="0.25">
      <c r="A105" t="str">
        <f t="shared" si="3"/>
        <v/>
      </c>
      <c r="C105" t="str">
        <f t="shared" si="2"/>
        <v/>
      </c>
      <c r="E105" t="str">
        <f>IF(D105="","",IFERROR(_xlfn.XLOOKUP(D105,客户信息底表!B:B,客户信息底表!Q:Q,,0),IFERROR(_xlfn.XLOOKUP(D105,客户信息底表!BB:BB,客户信息底表!Q:Q,,0),IFERROR(_xlfn.XLOOKUP(D105,客户信息底表!BC:BC,客户信息底表!Q:Q,,0),IFERROR(_xlfn.XLOOKUP(D105,客户信息底表!BD:BD,客户信息底表!Q:Q,,0),"底表未登记")))))</f>
        <v/>
      </c>
      <c r="G105" s="2" t="str">
        <f>IF(D105="","",IFERROR(_xlfn.XLOOKUP(D105,客户信息底表!B:B,客户信息底表!L:L,,0),IFERROR(_xlfn.XLOOKUP(D105,客户信息底表!BB:BB,客户信息底表!L:L,,0),IFERROR(_xlfn.XLOOKUP(D105,客户信息底表!BC:BC,客户信息底表!L:L,,0),IFERROR(_xlfn.XLOOKUP(D105,客户信息底表!BD:BD,客户信息底表!L:L,,0),"底表未登记")))))</f>
        <v/>
      </c>
      <c r="H105" t="str">
        <f>IF(D105="","",IFERROR(_xlfn.XLOOKUP(D105,客户信息底表!B:B,客户信息底表!G:G,,0),IFERROR(_xlfn.XLOOKUP(D105,客户信息底表!BB:BB,客户信息底表!G:G,,0),IFERROR(_xlfn.XLOOKUP(D105,客户信息底表!BC:BC,客户信息底表!G:G,,0),IFERROR(_xlfn.XLOOKUP(D105,客户信息底表!BD:BD,客户信息底表!G:G,,0),"底表未登记")))))</f>
        <v/>
      </c>
      <c r="I105" t="str">
        <f>IF(D105="","","整："&amp;数据输入表!J108&amp;"，散："&amp;数据输入表!K108&amp;"；重量kg："&amp;数据输入表!L108&amp;"，体积："&amp;数据输入表!M108)</f>
        <v/>
      </c>
    </row>
    <row r="106" spans="1:9" x14ac:dyDescent="0.25">
      <c r="A106" t="str">
        <f t="shared" si="3"/>
        <v/>
      </c>
      <c r="C106" t="str">
        <f t="shared" si="2"/>
        <v/>
      </c>
      <c r="E106" t="str">
        <f>IF(D106="","",IFERROR(_xlfn.XLOOKUP(D106,客户信息底表!B:B,客户信息底表!Q:Q,,0),IFERROR(_xlfn.XLOOKUP(D106,客户信息底表!BB:BB,客户信息底表!Q:Q,,0),IFERROR(_xlfn.XLOOKUP(D106,客户信息底表!BC:BC,客户信息底表!Q:Q,,0),IFERROR(_xlfn.XLOOKUP(D106,客户信息底表!BD:BD,客户信息底表!Q:Q,,0),"底表未登记")))))</f>
        <v/>
      </c>
      <c r="G106" s="2" t="str">
        <f>IF(D106="","",IFERROR(_xlfn.XLOOKUP(D106,客户信息底表!B:B,客户信息底表!L:L,,0),IFERROR(_xlfn.XLOOKUP(D106,客户信息底表!BB:BB,客户信息底表!L:L,,0),IFERROR(_xlfn.XLOOKUP(D106,客户信息底表!BC:BC,客户信息底表!L:L,,0),IFERROR(_xlfn.XLOOKUP(D106,客户信息底表!BD:BD,客户信息底表!L:L,,0),"底表未登记")))))</f>
        <v/>
      </c>
      <c r="H106" t="str">
        <f>IF(D106="","",IFERROR(_xlfn.XLOOKUP(D106,客户信息底表!B:B,客户信息底表!G:G,,0),IFERROR(_xlfn.XLOOKUP(D106,客户信息底表!BB:BB,客户信息底表!G:G,,0),IFERROR(_xlfn.XLOOKUP(D106,客户信息底表!BC:BC,客户信息底表!G:G,,0),IFERROR(_xlfn.XLOOKUP(D106,客户信息底表!BD:BD,客户信息底表!G:G,,0),"底表未登记")))))</f>
        <v/>
      </c>
      <c r="I106" t="str">
        <f>IF(D106="","","整："&amp;数据输入表!J109&amp;"，散："&amp;数据输入表!K109&amp;"；重量kg："&amp;数据输入表!L109&amp;"，体积："&amp;数据输入表!M109)</f>
        <v/>
      </c>
    </row>
    <row r="107" spans="1:9" x14ac:dyDescent="0.25">
      <c r="A107" t="str">
        <f t="shared" si="3"/>
        <v/>
      </c>
      <c r="C107" t="str">
        <f t="shared" si="2"/>
        <v/>
      </c>
      <c r="E107" t="str">
        <f>IF(D107="","",IFERROR(_xlfn.XLOOKUP(D107,客户信息底表!B:B,客户信息底表!Q:Q,,0),IFERROR(_xlfn.XLOOKUP(D107,客户信息底表!BB:BB,客户信息底表!Q:Q,,0),IFERROR(_xlfn.XLOOKUP(D107,客户信息底表!BC:BC,客户信息底表!Q:Q,,0),IFERROR(_xlfn.XLOOKUP(D107,客户信息底表!BD:BD,客户信息底表!Q:Q,,0),"底表未登记")))))</f>
        <v/>
      </c>
      <c r="G107" s="2" t="str">
        <f>IF(D107="","",IFERROR(_xlfn.XLOOKUP(D107,客户信息底表!B:B,客户信息底表!L:L,,0),IFERROR(_xlfn.XLOOKUP(D107,客户信息底表!BB:BB,客户信息底表!L:L,,0),IFERROR(_xlfn.XLOOKUP(D107,客户信息底表!BC:BC,客户信息底表!L:L,,0),IFERROR(_xlfn.XLOOKUP(D107,客户信息底表!BD:BD,客户信息底表!L:L,,0),"底表未登记")))))</f>
        <v/>
      </c>
      <c r="H107" t="str">
        <f>IF(D107="","",IFERROR(_xlfn.XLOOKUP(D107,客户信息底表!B:B,客户信息底表!G:G,,0),IFERROR(_xlfn.XLOOKUP(D107,客户信息底表!BB:BB,客户信息底表!G:G,,0),IFERROR(_xlfn.XLOOKUP(D107,客户信息底表!BC:BC,客户信息底表!G:G,,0),IFERROR(_xlfn.XLOOKUP(D107,客户信息底表!BD:BD,客户信息底表!G:G,,0),"底表未登记")))))</f>
        <v/>
      </c>
      <c r="I107" t="str">
        <f>IF(D107="","","整："&amp;数据输入表!J110&amp;"，散："&amp;数据输入表!K110&amp;"；重量kg："&amp;数据输入表!L110&amp;"，体积："&amp;数据输入表!M110)</f>
        <v/>
      </c>
    </row>
    <row r="108" spans="1:9" x14ac:dyDescent="0.25">
      <c r="A108" t="str">
        <f t="shared" si="3"/>
        <v/>
      </c>
      <c r="C108" t="str">
        <f t="shared" si="2"/>
        <v/>
      </c>
      <c r="E108" t="str">
        <f>IF(D108="","",IFERROR(_xlfn.XLOOKUP(D108,客户信息底表!B:B,客户信息底表!Q:Q,,0),IFERROR(_xlfn.XLOOKUP(D108,客户信息底表!BB:BB,客户信息底表!Q:Q,,0),IFERROR(_xlfn.XLOOKUP(D108,客户信息底表!BC:BC,客户信息底表!Q:Q,,0),IFERROR(_xlfn.XLOOKUP(D108,客户信息底表!BD:BD,客户信息底表!Q:Q,,0),"底表未登记")))))</f>
        <v/>
      </c>
      <c r="G108" s="2" t="str">
        <f>IF(D108="","",IFERROR(_xlfn.XLOOKUP(D108,客户信息底表!B:B,客户信息底表!L:L,,0),IFERROR(_xlfn.XLOOKUP(D108,客户信息底表!BB:BB,客户信息底表!L:L,,0),IFERROR(_xlfn.XLOOKUP(D108,客户信息底表!BC:BC,客户信息底表!L:L,,0),IFERROR(_xlfn.XLOOKUP(D108,客户信息底表!BD:BD,客户信息底表!L:L,,0),"底表未登记")))))</f>
        <v/>
      </c>
      <c r="H108" t="str">
        <f>IF(D108="","",IFERROR(_xlfn.XLOOKUP(D108,客户信息底表!B:B,客户信息底表!G:G,,0),IFERROR(_xlfn.XLOOKUP(D108,客户信息底表!BB:BB,客户信息底表!G:G,,0),IFERROR(_xlfn.XLOOKUP(D108,客户信息底表!BC:BC,客户信息底表!G:G,,0),IFERROR(_xlfn.XLOOKUP(D108,客户信息底表!BD:BD,客户信息底表!G:G,,0),"底表未登记")))))</f>
        <v/>
      </c>
      <c r="I108" t="str">
        <f>IF(D108="","","整："&amp;数据输入表!J111&amp;"，散："&amp;数据输入表!K111&amp;"；重量kg："&amp;数据输入表!L111&amp;"，体积："&amp;数据输入表!M111)</f>
        <v/>
      </c>
    </row>
    <row r="109" spans="1:9" x14ac:dyDescent="0.25">
      <c r="A109" t="str">
        <f t="shared" si="3"/>
        <v/>
      </c>
      <c r="C109" t="str">
        <f t="shared" si="2"/>
        <v/>
      </c>
      <c r="E109" t="str">
        <f>IF(D109="","",IFERROR(_xlfn.XLOOKUP(D109,客户信息底表!B:B,客户信息底表!Q:Q,,0),IFERROR(_xlfn.XLOOKUP(D109,客户信息底表!BB:BB,客户信息底表!Q:Q,,0),IFERROR(_xlfn.XLOOKUP(D109,客户信息底表!BC:BC,客户信息底表!Q:Q,,0),IFERROR(_xlfn.XLOOKUP(D109,客户信息底表!BD:BD,客户信息底表!Q:Q,,0),"底表未登记")))))</f>
        <v/>
      </c>
      <c r="G109" s="2" t="str">
        <f>IF(D109="","",IFERROR(_xlfn.XLOOKUP(D109,客户信息底表!B:B,客户信息底表!L:L,,0),IFERROR(_xlfn.XLOOKUP(D109,客户信息底表!BB:BB,客户信息底表!L:L,,0),IFERROR(_xlfn.XLOOKUP(D109,客户信息底表!BC:BC,客户信息底表!L:L,,0),IFERROR(_xlfn.XLOOKUP(D109,客户信息底表!BD:BD,客户信息底表!L:L,,0),"底表未登记")))))</f>
        <v/>
      </c>
      <c r="H109" t="str">
        <f>IF(D109="","",IFERROR(_xlfn.XLOOKUP(D109,客户信息底表!B:B,客户信息底表!G:G,,0),IFERROR(_xlfn.XLOOKUP(D109,客户信息底表!BB:BB,客户信息底表!G:G,,0),IFERROR(_xlfn.XLOOKUP(D109,客户信息底表!BC:BC,客户信息底表!G:G,,0),IFERROR(_xlfn.XLOOKUP(D109,客户信息底表!BD:BD,客户信息底表!G:G,,0),"底表未登记")))))</f>
        <v/>
      </c>
      <c r="I109" t="str">
        <f>IF(D109="","","整："&amp;数据输入表!J112&amp;"，散："&amp;数据输入表!K112&amp;"；重量kg："&amp;数据输入表!L112&amp;"，体积："&amp;数据输入表!M112)</f>
        <v/>
      </c>
    </row>
    <row r="110" spans="1:9" x14ac:dyDescent="0.25">
      <c r="A110" t="str">
        <f t="shared" si="3"/>
        <v/>
      </c>
      <c r="C110" t="str">
        <f t="shared" si="2"/>
        <v/>
      </c>
      <c r="E110" t="str">
        <f>IF(D110="","",IFERROR(_xlfn.XLOOKUP(D110,客户信息底表!B:B,客户信息底表!Q:Q,,0),IFERROR(_xlfn.XLOOKUP(D110,客户信息底表!BB:BB,客户信息底表!Q:Q,,0),IFERROR(_xlfn.XLOOKUP(D110,客户信息底表!BC:BC,客户信息底表!Q:Q,,0),IFERROR(_xlfn.XLOOKUP(D110,客户信息底表!BD:BD,客户信息底表!Q:Q,,0),"底表未登记")))))</f>
        <v/>
      </c>
      <c r="G110" s="2" t="str">
        <f>IF(D110="","",IFERROR(_xlfn.XLOOKUP(D110,客户信息底表!B:B,客户信息底表!L:L,,0),IFERROR(_xlfn.XLOOKUP(D110,客户信息底表!BB:BB,客户信息底表!L:L,,0),IFERROR(_xlfn.XLOOKUP(D110,客户信息底表!BC:BC,客户信息底表!L:L,,0),IFERROR(_xlfn.XLOOKUP(D110,客户信息底表!BD:BD,客户信息底表!L:L,,0),"底表未登记")))))</f>
        <v/>
      </c>
      <c r="H110" t="str">
        <f>IF(D110="","",IFERROR(_xlfn.XLOOKUP(D110,客户信息底表!B:B,客户信息底表!G:G,,0),IFERROR(_xlfn.XLOOKUP(D110,客户信息底表!BB:BB,客户信息底表!G:G,,0),IFERROR(_xlfn.XLOOKUP(D110,客户信息底表!BC:BC,客户信息底表!G:G,,0),IFERROR(_xlfn.XLOOKUP(D110,客户信息底表!BD:BD,客户信息底表!G:G,,0),"底表未登记")))))</f>
        <v/>
      </c>
      <c r="I110" t="str">
        <f>IF(D110="","","整："&amp;数据输入表!J113&amp;"，散："&amp;数据输入表!K113&amp;"；重量kg："&amp;数据输入表!L113&amp;"，体积："&amp;数据输入表!M113)</f>
        <v/>
      </c>
    </row>
    <row r="111" spans="1:9" x14ac:dyDescent="0.25">
      <c r="A111" t="str">
        <f t="shared" si="3"/>
        <v/>
      </c>
      <c r="C111" t="str">
        <f t="shared" si="2"/>
        <v/>
      </c>
      <c r="E111" t="str">
        <f>IF(D111="","",IFERROR(_xlfn.XLOOKUP(D111,客户信息底表!B:B,客户信息底表!Q:Q,,0),IFERROR(_xlfn.XLOOKUP(D111,客户信息底表!BB:BB,客户信息底表!Q:Q,,0),IFERROR(_xlfn.XLOOKUP(D111,客户信息底表!BC:BC,客户信息底表!Q:Q,,0),IFERROR(_xlfn.XLOOKUP(D111,客户信息底表!BD:BD,客户信息底表!Q:Q,,0),"底表未登记")))))</f>
        <v/>
      </c>
      <c r="G111" s="2" t="str">
        <f>IF(D111="","",IFERROR(_xlfn.XLOOKUP(D111,客户信息底表!B:B,客户信息底表!L:L,,0),IFERROR(_xlfn.XLOOKUP(D111,客户信息底表!BB:BB,客户信息底表!L:L,,0),IFERROR(_xlfn.XLOOKUP(D111,客户信息底表!BC:BC,客户信息底表!L:L,,0),IFERROR(_xlfn.XLOOKUP(D111,客户信息底表!BD:BD,客户信息底表!L:L,,0),"底表未登记")))))</f>
        <v/>
      </c>
      <c r="H111" t="str">
        <f>IF(D111="","",IFERROR(_xlfn.XLOOKUP(D111,客户信息底表!B:B,客户信息底表!G:G,,0),IFERROR(_xlfn.XLOOKUP(D111,客户信息底表!BB:BB,客户信息底表!G:G,,0),IFERROR(_xlfn.XLOOKUP(D111,客户信息底表!BC:BC,客户信息底表!G:G,,0),IFERROR(_xlfn.XLOOKUP(D111,客户信息底表!BD:BD,客户信息底表!G:G,,0),"底表未登记")))))</f>
        <v/>
      </c>
      <c r="I111" t="str">
        <f>IF(D111="","","整："&amp;数据输入表!J114&amp;"，散："&amp;数据输入表!K114&amp;"；重量kg："&amp;数据输入表!L114&amp;"，体积："&amp;数据输入表!M114)</f>
        <v/>
      </c>
    </row>
    <row r="112" spans="1:9" x14ac:dyDescent="0.25">
      <c r="A112" t="str">
        <f t="shared" si="3"/>
        <v/>
      </c>
      <c r="C112" t="str">
        <f t="shared" si="2"/>
        <v/>
      </c>
      <c r="E112" t="str">
        <f>IF(D112="","",IFERROR(_xlfn.XLOOKUP(D112,客户信息底表!B:B,客户信息底表!Q:Q,,0),IFERROR(_xlfn.XLOOKUP(D112,客户信息底表!BB:BB,客户信息底表!Q:Q,,0),IFERROR(_xlfn.XLOOKUP(D112,客户信息底表!BC:BC,客户信息底表!Q:Q,,0),IFERROR(_xlfn.XLOOKUP(D112,客户信息底表!BD:BD,客户信息底表!Q:Q,,0),"底表未登记")))))</f>
        <v/>
      </c>
      <c r="G112" s="2" t="str">
        <f>IF(D112="","",IFERROR(_xlfn.XLOOKUP(D112,客户信息底表!B:B,客户信息底表!L:L,,0),IFERROR(_xlfn.XLOOKUP(D112,客户信息底表!BB:BB,客户信息底表!L:L,,0),IFERROR(_xlfn.XLOOKUP(D112,客户信息底表!BC:BC,客户信息底表!L:L,,0),IFERROR(_xlfn.XLOOKUP(D112,客户信息底表!BD:BD,客户信息底表!L:L,,0),"底表未登记")))))</f>
        <v/>
      </c>
      <c r="H112" t="str">
        <f>IF(D112="","",IFERROR(_xlfn.XLOOKUP(D112,客户信息底表!B:B,客户信息底表!G:G,,0),IFERROR(_xlfn.XLOOKUP(D112,客户信息底表!BB:BB,客户信息底表!G:G,,0),IFERROR(_xlfn.XLOOKUP(D112,客户信息底表!BC:BC,客户信息底表!G:G,,0),IFERROR(_xlfn.XLOOKUP(D112,客户信息底表!BD:BD,客户信息底表!G:G,,0),"底表未登记")))))</f>
        <v/>
      </c>
      <c r="I112" t="str">
        <f>IF(D112="","","整："&amp;数据输入表!J115&amp;"，散："&amp;数据输入表!K115&amp;"；重量kg："&amp;数据输入表!L115&amp;"，体积："&amp;数据输入表!M115)</f>
        <v/>
      </c>
    </row>
    <row r="113" spans="1:9" x14ac:dyDescent="0.25">
      <c r="A113" t="str">
        <f t="shared" si="3"/>
        <v/>
      </c>
      <c r="C113" t="str">
        <f t="shared" si="2"/>
        <v/>
      </c>
      <c r="E113" t="str">
        <f>IF(D113="","",IFERROR(_xlfn.XLOOKUP(D113,客户信息底表!B:B,客户信息底表!Q:Q,,0),IFERROR(_xlfn.XLOOKUP(D113,客户信息底表!BB:BB,客户信息底表!Q:Q,,0),IFERROR(_xlfn.XLOOKUP(D113,客户信息底表!BC:BC,客户信息底表!Q:Q,,0),IFERROR(_xlfn.XLOOKUP(D113,客户信息底表!BD:BD,客户信息底表!Q:Q,,0),"底表未登记")))))</f>
        <v/>
      </c>
      <c r="G113" s="2" t="str">
        <f>IF(D113="","",IFERROR(_xlfn.XLOOKUP(D113,客户信息底表!B:B,客户信息底表!L:L,,0),IFERROR(_xlfn.XLOOKUP(D113,客户信息底表!BB:BB,客户信息底表!L:L,,0),IFERROR(_xlfn.XLOOKUP(D113,客户信息底表!BC:BC,客户信息底表!L:L,,0),IFERROR(_xlfn.XLOOKUP(D113,客户信息底表!BD:BD,客户信息底表!L:L,,0),"底表未登记")))))</f>
        <v/>
      </c>
      <c r="H113" t="str">
        <f>IF(D113="","",IFERROR(_xlfn.XLOOKUP(D113,客户信息底表!B:B,客户信息底表!G:G,,0),IFERROR(_xlfn.XLOOKUP(D113,客户信息底表!BB:BB,客户信息底表!G:G,,0),IFERROR(_xlfn.XLOOKUP(D113,客户信息底表!BC:BC,客户信息底表!G:G,,0),IFERROR(_xlfn.XLOOKUP(D113,客户信息底表!BD:BD,客户信息底表!G:G,,0),"底表未登记")))))</f>
        <v/>
      </c>
      <c r="I113" t="str">
        <f>IF(D113="","","整："&amp;数据输入表!J116&amp;"，散："&amp;数据输入表!K116&amp;"；重量kg："&amp;数据输入表!L116&amp;"，体积："&amp;数据输入表!M116)</f>
        <v/>
      </c>
    </row>
    <row r="114" spans="1:9" x14ac:dyDescent="0.25">
      <c r="A114" t="str">
        <f t="shared" si="3"/>
        <v/>
      </c>
      <c r="C114" t="str">
        <f t="shared" si="2"/>
        <v/>
      </c>
      <c r="E114" t="str">
        <f>IF(D114="","",IFERROR(_xlfn.XLOOKUP(D114,客户信息底表!B:B,客户信息底表!Q:Q,,0),IFERROR(_xlfn.XLOOKUP(D114,客户信息底表!BB:BB,客户信息底表!Q:Q,,0),IFERROR(_xlfn.XLOOKUP(D114,客户信息底表!BC:BC,客户信息底表!Q:Q,,0),IFERROR(_xlfn.XLOOKUP(D114,客户信息底表!BD:BD,客户信息底表!Q:Q,,0),"底表未登记")))))</f>
        <v/>
      </c>
      <c r="G114" s="2" t="str">
        <f>IF(D114="","",IFERROR(_xlfn.XLOOKUP(D114,客户信息底表!B:B,客户信息底表!L:L,,0),IFERROR(_xlfn.XLOOKUP(D114,客户信息底表!BB:BB,客户信息底表!L:L,,0),IFERROR(_xlfn.XLOOKUP(D114,客户信息底表!BC:BC,客户信息底表!L:L,,0),IFERROR(_xlfn.XLOOKUP(D114,客户信息底表!BD:BD,客户信息底表!L:L,,0),"底表未登记")))))</f>
        <v/>
      </c>
      <c r="H114" t="str">
        <f>IF(D114="","",IFERROR(_xlfn.XLOOKUP(D114,客户信息底表!B:B,客户信息底表!G:G,,0),IFERROR(_xlfn.XLOOKUP(D114,客户信息底表!BB:BB,客户信息底表!G:G,,0),IFERROR(_xlfn.XLOOKUP(D114,客户信息底表!BC:BC,客户信息底表!G:G,,0),IFERROR(_xlfn.XLOOKUP(D114,客户信息底表!BD:BD,客户信息底表!G:G,,0),"底表未登记")))))</f>
        <v/>
      </c>
      <c r="I114" t="str">
        <f>IF(D114="","","整："&amp;数据输入表!J117&amp;"，散："&amp;数据输入表!K117&amp;"；重量kg："&amp;数据输入表!L117&amp;"，体积："&amp;数据输入表!M117)</f>
        <v/>
      </c>
    </row>
    <row r="115" spans="1:9" x14ac:dyDescent="0.25">
      <c r="A115" t="str">
        <f t="shared" si="3"/>
        <v/>
      </c>
      <c r="C115" t="str">
        <f t="shared" si="2"/>
        <v/>
      </c>
      <c r="E115" t="str">
        <f>IF(D115="","",IFERROR(_xlfn.XLOOKUP(D115,客户信息底表!B:B,客户信息底表!Q:Q,,0),IFERROR(_xlfn.XLOOKUP(D115,客户信息底表!BB:BB,客户信息底表!Q:Q,,0),IFERROR(_xlfn.XLOOKUP(D115,客户信息底表!BC:BC,客户信息底表!Q:Q,,0),IFERROR(_xlfn.XLOOKUP(D115,客户信息底表!BD:BD,客户信息底表!Q:Q,,0),"底表未登记")))))</f>
        <v/>
      </c>
      <c r="G115" s="2" t="str">
        <f>IF(D115="","",IFERROR(_xlfn.XLOOKUP(D115,客户信息底表!B:B,客户信息底表!L:L,,0),IFERROR(_xlfn.XLOOKUP(D115,客户信息底表!BB:BB,客户信息底表!L:L,,0),IFERROR(_xlfn.XLOOKUP(D115,客户信息底表!BC:BC,客户信息底表!L:L,,0),IFERROR(_xlfn.XLOOKUP(D115,客户信息底表!BD:BD,客户信息底表!L:L,,0),"底表未登记")))))</f>
        <v/>
      </c>
      <c r="H115" t="str">
        <f>IF(D115="","",IFERROR(_xlfn.XLOOKUP(D115,客户信息底表!B:B,客户信息底表!G:G,,0),IFERROR(_xlfn.XLOOKUP(D115,客户信息底表!BB:BB,客户信息底表!G:G,,0),IFERROR(_xlfn.XLOOKUP(D115,客户信息底表!BC:BC,客户信息底表!G:G,,0),IFERROR(_xlfn.XLOOKUP(D115,客户信息底表!BD:BD,客户信息底表!G:G,,0),"底表未登记")))))</f>
        <v/>
      </c>
      <c r="I115" t="str">
        <f>IF(D115="","","整："&amp;数据输入表!J118&amp;"，散："&amp;数据输入表!K118&amp;"；重量kg："&amp;数据输入表!L118&amp;"，体积："&amp;数据输入表!M118)</f>
        <v/>
      </c>
    </row>
    <row r="116" spans="1:9" x14ac:dyDescent="0.25">
      <c r="A116" t="str">
        <f t="shared" si="3"/>
        <v/>
      </c>
      <c r="C116" t="str">
        <f t="shared" si="2"/>
        <v/>
      </c>
      <c r="E116" t="str">
        <f>IF(D116="","",IFERROR(_xlfn.XLOOKUP(D116,客户信息底表!B:B,客户信息底表!Q:Q,,0),IFERROR(_xlfn.XLOOKUP(D116,客户信息底表!BB:BB,客户信息底表!Q:Q,,0),IFERROR(_xlfn.XLOOKUP(D116,客户信息底表!BC:BC,客户信息底表!Q:Q,,0),IFERROR(_xlfn.XLOOKUP(D116,客户信息底表!BD:BD,客户信息底表!Q:Q,,0),"底表未登记")))))</f>
        <v/>
      </c>
      <c r="G116" s="2" t="str">
        <f>IF(D116="","",IFERROR(_xlfn.XLOOKUP(D116,客户信息底表!B:B,客户信息底表!L:L,,0),IFERROR(_xlfn.XLOOKUP(D116,客户信息底表!BB:BB,客户信息底表!L:L,,0),IFERROR(_xlfn.XLOOKUP(D116,客户信息底表!BC:BC,客户信息底表!L:L,,0),IFERROR(_xlfn.XLOOKUP(D116,客户信息底表!BD:BD,客户信息底表!L:L,,0),"底表未登记")))))</f>
        <v/>
      </c>
      <c r="H116" t="str">
        <f>IF(D116="","",IFERROR(_xlfn.XLOOKUP(D116,客户信息底表!B:B,客户信息底表!G:G,,0),IFERROR(_xlfn.XLOOKUP(D116,客户信息底表!BB:BB,客户信息底表!G:G,,0),IFERROR(_xlfn.XLOOKUP(D116,客户信息底表!BC:BC,客户信息底表!G:G,,0),IFERROR(_xlfn.XLOOKUP(D116,客户信息底表!BD:BD,客户信息底表!G:G,,0),"底表未登记")))))</f>
        <v/>
      </c>
      <c r="I116" t="str">
        <f>IF(D116="","","整："&amp;数据输入表!J119&amp;"，散："&amp;数据输入表!K119&amp;"；重量kg："&amp;数据输入表!L119&amp;"，体积："&amp;数据输入表!M119)</f>
        <v/>
      </c>
    </row>
    <row r="117" spans="1:9" x14ac:dyDescent="0.25">
      <c r="A117" t="str">
        <f t="shared" si="3"/>
        <v/>
      </c>
      <c r="C117" t="str">
        <f t="shared" si="2"/>
        <v/>
      </c>
      <c r="E117" t="str">
        <f>IF(D117="","",IFERROR(_xlfn.XLOOKUP(D117,客户信息底表!B:B,客户信息底表!Q:Q,,0),IFERROR(_xlfn.XLOOKUP(D117,客户信息底表!BB:BB,客户信息底表!Q:Q,,0),IFERROR(_xlfn.XLOOKUP(D117,客户信息底表!BC:BC,客户信息底表!Q:Q,,0),IFERROR(_xlfn.XLOOKUP(D117,客户信息底表!BD:BD,客户信息底表!Q:Q,,0),"底表未登记")))))</f>
        <v/>
      </c>
      <c r="G117" s="2" t="str">
        <f>IF(D117="","",IFERROR(_xlfn.XLOOKUP(D117,客户信息底表!B:B,客户信息底表!L:L,,0),IFERROR(_xlfn.XLOOKUP(D117,客户信息底表!BB:BB,客户信息底表!L:L,,0),IFERROR(_xlfn.XLOOKUP(D117,客户信息底表!BC:BC,客户信息底表!L:L,,0),IFERROR(_xlfn.XLOOKUP(D117,客户信息底表!BD:BD,客户信息底表!L:L,,0),"底表未登记")))))</f>
        <v/>
      </c>
      <c r="H117" t="str">
        <f>IF(D117="","",IFERROR(_xlfn.XLOOKUP(D117,客户信息底表!B:B,客户信息底表!G:G,,0),IFERROR(_xlfn.XLOOKUP(D117,客户信息底表!BB:BB,客户信息底表!G:G,,0),IFERROR(_xlfn.XLOOKUP(D117,客户信息底表!BC:BC,客户信息底表!G:G,,0),IFERROR(_xlfn.XLOOKUP(D117,客户信息底表!BD:BD,客户信息底表!G:G,,0),"底表未登记")))))</f>
        <v/>
      </c>
      <c r="I117" t="str">
        <f>IF(D117="","","整："&amp;数据输入表!J120&amp;"，散："&amp;数据输入表!K120&amp;"；重量kg："&amp;数据输入表!L120&amp;"，体积："&amp;数据输入表!M120)</f>
        <v/>
      </c>
    </row>
    <row r="118" spans="1:9" x14ac:dyDescent="0.25">
      <c r="A118" t="str">
        <f t="shared" si="3"/>
        <v/>
      </c>
      <c r="C118" t="str">
        <f t="shared" si="2"/>
        <v/>
      </c>
      <c r="E118" t="str">
        <f>IF(D118="","",IFERROR(_xlfn.XLOOKUP(D118,客户信息底表!B:B,客户信息底表!Q:Q,,0),IFERROR(_xlfn.XLOOKUP(D118,客户信息底表!BB:BB,客户信息底表!Q:Q,,0),IFERROR(_xlfn.XLOOKUP(D118,客户信息底表!BC:BC,客户信息底表!Q:Q,,0),IFERROR(_xlfn.XLOOKUP(D118,客户信息底表!BD:BD,客户信息底表!Q:Q,,0),"底表未登记")))))</f>
        <v/>
      </c>
      <c r="G118" s="2" t="str">
        <f>IF(D118="","",IFERROR(_xlfn.XLOOKUP(D118,客户信息底表!B:B,客户信息底表!L:L,,0),IFERROR(_xlfn.XLOOKUP(D118,客户信息底表!BB:BB,客户信息底表!L:L,,0),IFERROR(_xlfn.XLOOKUP(D118,客户信息底表!BC:BC,客户信息底表!L:L,,0),IFERROR(_xlfn.XLOOKUP(D118,客户信息底表!BD:BD,客户信息底表!L:L,,0),"底表未登记")))))</f>
        <v/>
      </c>
      <c r="H118" t="str">
        <f>IF(D118="","",IFERROR(_xlfn.XLOOKUP(D118,客户信息底表!B:B,客户信息底表!G:G,,0),IFERROR(_xlfn.XLOOKUP(D118,客户信息底表!BB:BB,客户信息底表!G:G,,0),IFERROR(_xlfn.XLOOKUP(D118,客户信息底表!BC:BC,客户信息底表!G:G,,0),IFERROR(_xlfn.XLOOKUP(D118,客户信息底表!BD:BD,客户信息底表!G:G,,0),"底表未登记")))))</f>
        <v/>
      </c>
      <c r="I118" t="str">
        <f>IF(D118="","","整："&amp;数据输入表!J121&amp;"，散："&amp;数据输入表!K121&amp;"；重量kg："&amp;数据输入表!L121&amp;"，体积："&amp;数据输入表!M121)</f>
        <v/>
      </c>
    </row>
    <row r="119" spans="1:9" x14ac:dyDescent="0.25">
      <c r="A119" t="str">
        <f t="shared" si="3"/>
        <v/>
      </c>
      <c r="C119" t="str">
        <f t="shared" si="2"/>
        <v/>
      </c>
      <c r="E119" t="str">
        <f>IF(D119="","",IFERROR(_xlfn.XLOOKUP(D119,客户信息底表!B:B,客户信息底表!Q:Q,,0),IFERROR(_xlfn.XLOOKUP(D119,客户信息底表!BB:BB,客户信息底表!Q:Q,,0),IFERROR(_xlfn.XLOOKUP(D119,客户信息底表!BC:BC,客户信息底表!Q:Q,,0),IFERROR(_xlfn.XLOOKUP(D119,客户信息底表!BD:BD,客户信息底表!Q:Q,,0),"底表未登记")))))</f>
        <v/>
      </c>
      <c r="G119" s="2" t="str">
        <f>IF(D119="","",IFERROR(_xlfn.XLOOKUP(D119,客户信息底表!B:B,客户信息底表!L:L,,0),IFERROR(_xlfn.XLOOKUP(D119,客户信息底表!BB:BB,客户信息底表!L:L,,0),IFERROR(_xlfn.XLOOKUP(D119,客户信息底表!BC:BC,客户信息底表!L:L,,0),IFERROR(_xlfn.XLOOKUP(D119,客户信息底表!BD:BD,客户信息底表!L:L,,0),"底表未登记")))))</f>
        <v/>
      </c>
      <c r="H119" t="str">
        <f>IF(D119="","",IFERROR(_xlfn.XLOOKUP(D119,客户信息底表!B:B,客户信息底表!G:G,,0),IFERROR(_xlfn.XLOOKUP(D119,客户信息底表!BB:BB,客户信息底表!G:G,,0),IFERROR(_xlfn.XLOOKUP(D119,客户信息底表!BC:BC,客户信息底表!G:G,,0),IFERROR(_xlfn.XLOOKUP(D119,客户信息底表!BD:BD,客户信息底表!G:G,,0),"底表未登记")))))</f>
        <v/>
      </c>
      <c r="I119" t="str">
        <f>IF(D119="","","整："&amp;数据输入表!J122&amp;"，散："&amp;数据输入表!K122&amp;"；重量kg："&amp;数据输入表!L122&amp;"，体积："&amp;数据输入表!M122)</f>
        <v/>
      </c>
    </row>
    <row r="120" spans="1:9" x14ac:dyDescent="0.25">
      <c r="A120" t="str">
        <f t="shared" si="3"/>
        <v/>
      </c>
      <c r="C120" t="str">
        <f t="shared" si="2"/>
        <v/>
      </c>
      <c r="E120" t="str">
        <f>IF(D120="","",IFERROR(_xlfn.XLOOKUP(D120,客户信息底表!B:B,客户信息底表!Q:Q,,0),IFERROR(_xlfn.XLOOKUP(D120,客户信息底表!BB:BB,客户信息底表!Q:Q,,0),IFERROR(_xlfn.XLOOKUP(D120,客户信息底表!BC:BC,客户信息底表!Q:Q,,0),IFERROR(_xlfn.XLOOKUP(D120,客户信息底表!BD:BD,客户信息底表!Q:Q,,0),"底表未登记")))))</f>
        <v/>
      </c>
      <c r="G120" s="2" t="str">
        <f>IF(D120="","",IFERROR(_xlfn.XLOOKUP(D120,客户信息底表!B:B,客户信息底表!L:L,,0),IFERROR(_xlfn.XLOOKUP(D120,客户信息底表!BB:BB,客户信息底表!L:L,,0),IFERROR(_xlfn.XLOOKUP(D120,客户信息底表!BC:BC,客户信息底表!L:L,,0),IFERROR(_xlfn.XLOOKUP(D120,客户信息底表!BD:BD,客户信息底表!L:L,,0),"底表未登记")))))</f>
        <v/>
      </c>
      <c r="H120" t="str">
        <f>IF(D120="","",IFERROR(_xlfn.XLOOKUP(D120,客户信息底表!B:B,客户信息底表!G:G,,0),IFERROR(_xlfn.XLOOKUP(D120,客户信息底表!BB:BB,客户信息底表!G:G,,0),IFERROR(_xlfn.XLOOKUP(D120,客户信息底表!BC:BC,客户信息底表!G:G,,0),IFERROR(_xlfn.XLOOKUP(D120,客户信息底表!BD:BD,客户信息底表!G:G,,0),"底表未登记")))))</f>
        <v/>
      </c>
      <c r="I120" t="str">
        <f>IF(D120="","","整："&amp;数据输入表!J123&amp;"，散："&amp;数据输入表!K123&amp;"；重量kg："&amp;数据输入表!L123&amp;"，体积："&amp;数据输入表!M123)</f>
        <v/>
      </c>
    </row>
    <row r="121" spans="1:9" x14ac:dyDescent="0.25">
      <c r="A121" t="str">
        <f t="shared" si="3"/>
        <v/>
      </c>
      <c r="C121" t="str">
        <f t="shared" si="2"/>
        <v/>
      </c>
      <c r="E121" t="str">
        <f>IF(D121="","",IFERROR(_xlfn.XLOOKUP(D121,客户信息底表!B:B,客户信息底表!Q:Q,,0),IFERROR(_xlfn.XLOOKUP(D121,客户信息底表!BB:BB,客户信息底表!Q:Q,,0),IFERROR(_xlfn.XLOOKUP(D121,客户信息底表!BC:BC,客户信息底表!Q:Q,,0),IFERROR(_xlfn.XLOOKUP(D121,客户信息底表!BD:BD,客户信息底表!Q:Q,,0),"底表未登记")))))</f>
        <v/>
      </c>
      <c r="G121" s="2" t="str">
        <f>IF(D121="","",IFERROR(_xlfn.XLOOKUP(D121,客户信息底表!B:B,客户信息底表!L:L,,0),IFERROR(_xlfn.XLOOKUP(D121,客户信息底表!BB:BB,客户信息底表!L:L,,0),IFERROR(_xlfn.XLOOKUP(D121,客户信息底表!BC:BC,客户信息底表!L:L,,0),IFERROR(_xlfn.XLOOKUP(D121,客户信息底表!BD:BD,客户信息底表!L:L,,0),"底表未登记")))))</f>
        <v/>
      </c>
      <c r="H121" t="str">
        <f>IF(D121="","",IFERROR(_xlfn.XLOOKUP(D121,客户信息底表!B:B,客户信息底表!G:G,,0),IFERROR(_xlfn.XLOOKUP(D121,客户信息底表!BB:BB,客户信息底表!G:G,,0),IFERROR(_xlfn.XLOOKUP(D121,客户信息底表!BC:BC,客户信息底表!G:G,,0),IFERROR(_xlfn.XLOOKUP(D121,客户信息底表!BD:BD,客户信息底表!G:G,,0),"底表未登记")))))</f>
        <v/>
      </c>
      <c r="I121" t="str">
        <f>IF(D121="","","整："&amp;数据输入表!J124&amp;"，散："&amp;数据输入表!K124&amp;"；重量kg："&amp;数据输入表!L124&amp;"，体积："&amp;数据输入表!M124)</f>
        <v/>
      </c>
    </row>
    <row r="122" spans="1:9" x14ac:dyDescent="0.25">
      <c r="A122" t="str">
        <f t="shared" si="3"/>
        <v/>
      </c>
      <c r="C122" t="str">
        <f t="shared" si="2"/>
        <v/>
      </c>
      <c r="E122" t="str">
        <f>IF(D122="","",IFERROR(_xlfn.XLOOKUP(D122,客户信息底表!B:B,客户信息底表!Q:Q,,0),IFERROR(_xlfn.XLOOKUP(D122,客户信息底表!BB:BB,客户信息底表!Q:Q,,0),IFERROR(_xlfn.XLOOKUP(D122,客户信息底表!BC:BC,客户信息底表!Q:Q,,0),IFERROR(_xlfn.XLOOKUP(D122,客户信息底表!BD:BD,客户信息底表!Q:Q,,0),"底表未登记")))))</f>
        <v/>
      </c>
      <c r="G122" s="2" t="str">
        <f>IF(D122="","",IFERROR(_xlfn.XLOOKUP(D122,客户信息底表!B:B,客户信息底表!L:L,,0),IFERROR(_xlfn.XLOOKUP(D122,客户信息底表!BB:BB,客户信息底表!L:L,,0),IFERROR(_xlfn.XLOOKUP(D122,客户信息底表!BC:BC,客户信息底表!L:L,,0),IFERROR(_xlfn.XLOOKUP(D122,客户信息底表!BD:BD,客户信息底表!L:L,,0),"底表未登记")))))</f>
        <v/>
      </c>
      <c r="H122" t="str">
        <f>IF(D122="","",IFERROR(_xlfn.XLOOKUP(D122,客户信息底表!B:B,客户信息底表!G:G,,0),IFERROR(_xlfn.XLOOKUP(D122,客户信息底表!BB:BB,客户信息底表!G:G,,0),IFERROR(_xlfn.XLOOKUP(D122,客户信息底表!BC:BC,客户信息底表!G:G,,0),IFERROR(_xlfn.XLOOKUP(D122,客户信息底表!BD:BD,客户信息底表!G:G,,0),"底表未登记")))))</f>
        <v/>
      </c>
      <c r="I122" t="str">
        <f>IF(D122="","","整："&amp;数据输入表!J125&amp;"，散："&amp;数据输入表!K125&amp;"；重量kg："&amp;数据输入表!L125&amp;"，体积："&amp;数据输入表!M125)</f>
        <v/>
      </c>
    </row>
    <row r="123" spans="1:9" x14ac:dyDescent="0.25">
      <c r="A123" t="str">
        <f t="shared" si="3"/>
        <v/>
      </c>
      <c r="C123" t="str">
        <f t="shared" si="2"/>
        <v/>
      </c>
      <c r="E123" t="str">
        <f>IF(D123="","",IFERROR(_xlfn.XLOOKUP(D123,客户信息底表!B:B,客户信息底表!Q:Q,,0),IFERROR(_xlfn.XLOOKUP(D123,客户信息底表!BB:BB,客户信息底表!Q:Q,,0),IFERROR(_xlfn.XLOOKUP(D123,客户信息底表!BC:BC,客户信息底表!Q:Q,,0),IFERROR(_xlfn.XLOOKUP(D123,客户信息底表!BD:BD,客户信息底表!Q:Q,,0),"底表未登记")))))</f>
        <v/>
      </c>
      <c r="G123" s="2" t="str">
        <f>IF(D123="","",IFERROR(_xlfn.XLOOKUP(D123,客户信息底表!B:B,客户信息底表!L:L,,0),IFERROR(_xlfn.XLOOKUP(D123,客户信息底表!BB:BB,客户信息底表!L:L,,0),IFERROR(_xlfn.XLOOKUP(D123,客户信息底表!BC:BC,客户信息底表!L:L,,0),IFERROR(_xlfn.XLOOKUP(D123,客户信息底表!BD:BD,客户信息底表!L:L,,0),"底表未登记")))))</f>
        <v/>
      </c>
      <c r="H123" t="str">
        <f>IF(D123="","",IFERROR(_xlfn.XLOOKUP(D123,客户信息底表!B:B,客户信息底表!G:G,,0),IFERROR(_xlfn.XLOOKUP(D123,客户信息底表!BB:BB,客户信息底表!G:G,,0),IFERROR(_xlfn.XLOOKUP(D123,客户信息底表!BC:BC,客户信息底表!G:G,,0),IFERROR(_xlfn.XLOOKUP(D123,客户信息底表!BD:BD,客户信息底表!G:G,,0),"底表未登记")))))</f>
        <v/>
      </c>
      <c r="I123" t="str">
        <f>IF(D123="","","整："&amp;数据输入表!J126&amp;"，散："&amp;数据输入表!K126&amp;"；重量kg："&amp;数据输入表!L126&amp;"，体积："&amp;数据输入表!M126)</f>
        <v/>
      </c>
    </row>
    <row r="124" spans="1:9" x14ac:dyDescent="0.25">
      <c r="A124" t="str">
        <f t="shared" si="3"/>
        <v/>
      </c>
      <c r="C124" t="str">
        <f t="shared" si="2"/>
        <v/>
      </c>
      <c r="E124" t="str">
        <f>IF(D124="","",IFERROR(_xlfn.XLOOKUP(D124,客户信息底表!B:B,客户信息底表!Q:Q,,0),IFERROR(_xlfn.XLOOKUP(D124,客户信息底表!BB:BB,客户信息底表!Q:Q,,0),IFERROR(_xlfn.XLOOKUP(D124,客户信息底表!BC:BC,客户信息底表!Q:Q,,0),IFERROR(_xlfn.XLOOKUP(D124,客户信息底表!BD:BD,客户信息底表!Q:Q,,0),"底表未登记")))))</f>
        <v/>
      </c>
      <c r="G124" s="2" t="str">
        <f>IF(D124="","",IFERROR(_xlfn.XLOOKUP(D124,客户信息底表!B:B,客户信息底表!L:L,,0),IFERROR(_xlfn.XLOOKUP(D124,客户信息底表!BB:BB,客户信息底表!L:L,,0),IFERROR(_xlfn.XLOOKUP(D124,客户信息底表!BC:BC,客户信息底表!L:L,,0),IFERROR(_xlfn.XLOOKUP(D124,客户信息底表!BD:BD,客户信息底表!L:L,,0),"底表未登记")))))</f>
        <v/>
      </c>
      <c r="H124" t="str">
        <f>IF(D124="","",IFERROR(_xlfn.XLOOKUP(D124,客户信息底表!B:B,客户信息底表!G:G,,0),IFERROR(_xlfn.XLOOKUP(D124,客户信息底表!BB:BB,客户信息底表!G:G,,0),IFERROR(_xlfn.XLOOKUP(D124,客户信息底表!BC:BC,客户信息底表!G:G,,0),IFERROR(_xlfn.XLOOKUP(D124,客户信息底表!BD:BD,客户信息底表!G:G,,0),"底表未登记")))))</f>
        <v/>
      </c>
      <c r="I124" t="str">
        <f>IF(D124="","","整："&amp;数据输入表!J127&amp;"，散："&amp;数据输入表!K127&amp;"；重量kg："&amp;数据输入表!L127&amp;"，体积："&amp;数据输入表!M127)</f>
        <v/>
      </c>
    </row>
    <row r="125" spans="1:9" x14ac:dyDescent="0.25">
      <c r="A125" t="str">
        <f t="shared" si="3"/>
        <v/>
      </c>
      <c r="C125" t="str">
        <f t="shared" si="2"/>
        <v/>
      </c>
      <c r="E125" t="str">
        <f>IF(D125="","",IFERROR(_xlfn.XLOOKUP(D125,客户信息底表!B:B,客户信息底表!Q:Q,,0),IFERROR(_xlfn.XLOOKUP(D125,客户信息底表!BB:BB,客户信息底表!Q:Q,,0),IFERROR(_xlfn.XLOOKUP(D125,客户信息底表!BC:BC,客户信息底表!Q:Q,,0),IFERROR(_xlfn.XLOOKUP(D125,客户信息底表!BD:BD,客户信息底表!Q:Q,,0),"底表未登记")))))</f>
        <v/>
      </c>
      <c r="G125" s="2" t="str">
        <f>IF(D125="","",IFERROR(_xlfn.XLOOKUP(D125,客户信息底表!B:B,客户信息底表!L:L,,0),IFERROR(_xlfn.XLOOKUP(D125,客户信息底表!BB:BB,客户信息底表!L:L,,0),IFERROR(_xlfn.XLOOKUP(D125,客户信息底表!BC:BC,客户信息底表!L:L,,0),IFERROR(_xlfn.XLOOKUP(D125,客户信息底表!BD:BD,客户信息底表!L:L,,0),"底表未登记")))))</f>
        <v/>
      </c>
      <c r="H125" t="str">
        <f>IF(D125="","",IFERROR(_xlfn.XLOOKUP(D125,客户信息底表!B:B,客户信息底表!G:G,,0),IFERROR(_xlfn.XLOOKUP(D125,客户信息底表!BB:BB,客户信息底表!G:G,,0),IFERROR(_xlfn.XLOOKUP(D125,客户信息底表!BC:BC,客户信息底表!G:G,,0),IFERROR(_xlfn.XLOOKUP(D125,客户信息底表!BD:BD,客户信息底表!G:G,,0),"底表未登记")))))</f>
        <v/>
      </c>
      <c r="I125" t="str">
        <f>IF(D125="","","整："&amp;数据输入表!J128&amp;"，散："&amp;数据输入表!K128&amp;"；重量kg："&amp;数据输入表!L128&amp;"，体积："&amp;数据输入表!M128)</f>
        <v/>
      </c>
    </row>
    <row r="126" spans="1:9" x14ac:dyDescent="0.25">
      <c r="A126" t="str">
        <f t="shared" si="3"/>
        <v/>
      </c>
      <c r="C126" t="str">
        <f t="shared" si="2"/>
        <v/>
      </c>
      <c r="E126" t="str">
        <f>IF(D126="","",IFERROR(_xlfn.XLOOKUP(D126,客户信息底表!B:B,客户信息底表!Q:Q,,0),IFERROR(_xlfn.XLOOKUP(D126,客户信息底表!BB:BB,客户信息底表!Q:Q,,0),IFERROR(_xlfn.XLOOKUP(D126,客户信息底表!BC:BC,客户信息底表!Q:Q,,0),IFERROR(_xlfn.XLOOKUP(D126,客户信息底表!BD:BD,客户信息底表!Q:Q,,0),"底表未登记")))))</f>
        <v/>
      </c>
      <c r="G126" s="2" t="str">
        <f>IF(D126="","",IFERROR(_xlfn.XLOOKUP(D126,客户信息底表!B:B,客户信息底表!L:L,,0),IFERROR(_xlfn.XLOOKUP(D126,客户信息底表!BB:BB,客户信息底表!L:L,,0),IFERROR(_xlfn.XLOOKUP(D126,客户信息底表!BC:BC,客户信息底表!L:L,,0),IFERROR(_xlfn.XLOOKUP(D126,客户信息底表!BD:BD,客户信息底表!L:L,,0),"底表未登记")))))</f>
        <v/>
      </c>
      <c r="H126" t="str">
        <f>IF(D126="","",IFERROR(_xlfn.XLOOKUP(D126,客户信息底表!B:B,客户信息底表!G:G,,0),IFERROR(_xlfn.XLOOKUP(D126,客户信息底表!BB:BB,客户信息底表!G:G,,0),IFERROR(_xlfn.XLOOKUP(D126,客户信息底表!BC:BC,客户信息底表!G:G,,0),IFERROR(_xlfn.XLOOKUP(D126,客户信息底表!BD:BD,客户信息底表!G:G,,0),"底表未登记")))))</f>
        <v/>
      </c>
      <c r="I126" t="str">
        <f>IF(D126="","","整："&amp;数据输入表!J129&amp;"，散："&amp;数据输入表!K129&amp;"；重量kg："&amp;数据输入表!L129&amp;"，体积："&amp;数据输入表!M129)</f>
        <v/>
      </c>
    </row>
    <row r="127" spans="1:9" x14ac:dyDescent="0.25">
      <c r="A127" t="str">
        <f t="shared" si="3"/>
        <v/>
      </c>
      <c r="C127" t="str">
        <f t="shared" si="2"/>
        <v/>
      </c>
      <c r="E127" t="str">
        <f>IF(D127="","",IFERROR(_xlfn.XLOOKUP(D127,客户信息底表!B:B,客户信息底表!Q:Q,,0),IFERROR(_xlfn.XLOOKUP(D127,客户信息底表!BB:BB,客户信息底表!Q:Q,,0),IFERROR(_xlfn.XLOOKUP(D127,客户信息底表!BC:BC,客户信息底表!Q:Q,,0),IFERROR(_xlfn.XLOOKUP(D127,客户信息底表!BD:BD,客户信息底表!Q:Q,,0),"底表未登记")))))</f>
        <v/>
      </c>
      <c r="G127" s="2" t="str">
        <f>IF(D127="","",IFERROR(_xlfn.XLOOKUP(D127,客户信息底表!B:B,客户信息底表!L:L,,0),IFERROR(_xlfn.XLOOKUP(D127,客户信息底表!BB:BB,客户信息底表!L:L,,0),IFERROR(_xlfn.XLOOKUP(D127,客户信息底表!BC:BC,客户信息底表!L:L,,0),IFERROR(_xlfn.XLOOKUP(D127,客户信息底表!BD:BD,客户信息底表!L:L,,0),"底表未登记")))))</f>
        <v/>
      </c>
      <c r="H127" t="str">
        <f>IF(D127="","",IFERROR(_xlfn.XLOOKUP(D127,客户信息底表!B:B,客户信息底表!G:G,,0),IFERROR(_xlfn.XLOOKUP(D127,客户信息底表!BB:BB,客户信息底表!G:G,,0),IFERROR(_xlfn.XLOOKUP(D127,客户信息底表!BC:BC,客户信息底表!G:G,,0),IFERROR(_xlfn.XLOOKUP(D127,客户信息底表!BD:BD,客户信息底表!G:G,,0),"底表未登记")))))</f>
        <v/>
      </c>
      <c r="I127" t="str">
        <f>IF(D127="","","整："&amp;数据输入表!J130&amp;"，散："&amp;数据输入表!K130&amp;"；重量kg："&amp;数据输入表!L130&amp;"，体积："&amp;数据输入表!M130)</f>
        <v/>
      </c>
    </row>
    <row r="128" spans="1:9" x14ac:dyDescent="0.25">
      <c r="A128" t="str">
        <f t="shared" si="3"/>
        <v/>
      </c>
      <c r="C128" t="str">
        <f t="shared" si="2"/>
        <v/>
      </c>
      <c r="E128" t="str">
        <f>IF(D128="","",IFERROR(_xlfn.XLOOKUP(D128,客户信息底表!B:B,客户信息底表!Q:Q,,0),IFERROR(_xlfn.XLOOKUP(D128,客户信息底表!BB:BB,客户信息底表!Q:Q,,0),IFERROR(_xlfn.XLOOKUP(D128,客户信息底表!BC:BC,客户信息底表!Q:Q,,0),IFERROR(_xlfn.XLOOKUP(D128,客户信息底表!BD:BD,客户信息底表!Q:Q,,0),"底表未登记")))))</f>
        <v/>
      </c>
      <c r="G128" s="2" t="str">
        <f>IF(D128="","",IFERROR(_xlfn.XLOOKUP(D128,客户信息底表!B:B,客户信息底表!L:L,,0),IFERROR(_xlfn.XLOOKUP(D128,客户信息底表!BB:BB,客户信息底表!L:L,,0),IFERROR(_xlfn.XLOOKUP(D128,客户信息底表!BC:BC,客户信息底表!L:L,,0),IFERROR(_xlfn.XLOOKUP(D128,客户信息底表!BD:BD,客户信息底表!L:L,,0),"底表未登记")))))</f>
        <v/>
      </c>
      <c r="H128" t="str">
        <f>IF(D128="","",IFERROR(_xlfn.XLOOKUP(D128,客户信息底表!B:B,客户信息底表!G:G,,0),IFERROR(_xlfn.XLOOKUP(D128,客户信息底表!BB:BB,客户信息底表!G:G,,0),IFERROR(_xlfn.XLOOKUP(D128,客户信息底表!BC:BC,客户信息底表!G:G,,0),IFERROR(_xlfn.XLOOKUP(D128,客户信息底表!BD:BD,客户信息底表!G:G,,0),"底表未登记")))))</f>
        <v/>
      </c>
      <c r="I128" t="str">
        <f>IF(D128="","","整："&amp;数据输入表!J131&amp;"，散："&amp;数据输入表!K131&amp;"；重量kg："&amp;数据输入表!L131&amp;"，体积："&amp;数据输入表!M131)</f>
        <v/>
      </c>
    </row>
    <row r="129" spans="1:9" x14ac:dyDescent="0.25">
      <c r="A129" t="str">
        <f t="shared" si="3"/>
        <v/>
      </c>
      <c r="C129" t="str">
        <f t="shared" si="2"/>
        <v/>
      </c>
      <c r="E129" t="str">
        <f>IF(D129="","",IFERROR(_xlfn.XLOOKUP(D129,客户信息底表!B:B,客户信息底表!Q:Q,,0),IFERROR(_xlfn.XLOOKUP(D129,客户信息底表!BB:BB,客户信息底表!Q:Q,,0),IFERROR(_xlfn.XLOOKUP(D129,客户信息底表!BC:BC,客户信息底表!Q:Q,,0),IFERROR(_xlfn.XLOOKUP(D129,客户信息底表!BD:BD,客户信息底表!Q:Q,,0),"底表未登记")))))</f>
        <v/>
      </c>
      <c r="G129" s="2" t="str">
        <f>IF(D129="","",IFERROR(_xlfn.XLOOKUP(D129,客户信息底表!B:B,客户信息底表!L:L,,0),IFERROR(_xlfn.XLOOKUP(D129,客户信息底表!BB:BB,客户信息底表!L:L,,0),IFERROR(_xlfn.XLOOKUP(D129,客户信息底表!BC:BC,客户信息底表!L:L,,0),IFERROR(_xlfn.XLOOKUP(D129,客户信息底表!BD:BD,客户信息底表!L:L,,0),"底表未登记")))))</f>
        <v/>
      </c>
      <c r="H129" t="str">
        <f>IF(D129="","",IFERROR(_xlfn.XLOOKUP(D129,客户信息底表!B:B,客户信息底表!G:G,,0),IFERROR(_xlfn.XLOOKUP(D129,客户信息底表!BB:BB,客户信息底表!G:G,,0),IFERROR(_xlfn.XLOOKUP(D129,客户信息底表!BC:BC,客户信息底表!G:G,,0),IFERROR(_xlfn.XLOOKUP(D129,客户信息底表!BD:BD,客户信息底表!G:G,,0),"底表未登记")))))</f>
        <v/>
      </c>
      <c r="I129" t="str">
        <f>IF(D129="","","整："&amp;数据输入表!J132&amp;"，散："&amp;数据输入表!K132&amp;"；重量kg："&amp;数据输入表!L132&amp;"，体积："&amp;数据输入表!M132)</f>
        <v/>
      </c>
    </row>
    <row r="130" spans="1:9" x14ac:dyDescent="0.25">
      <c r="A130" t="str">
        <f t="shared" si="3"/>
        <v/>
      </c>
      <c r="C130" t="str">
        <f t="shared" si="2"/>
        <v/>
      </c>
      <c r="E130" t="str">
        <f>IF(D130="","",IFERROR(_xlfn.XLOOKUP(D130,客户信息底表!B:B,客户信息底表!Q:Q,,0),IFERROR(_xlfn.XLOOKUP(D130,客户信息底表!BB:BB,客户信息底表!Q:Q,,0),IFERROR(_xlfn.XLOOKUP(D130,客户信息底表!BC:BC,客户信息底表!Q:Q,,0),IFERROR(_xlfn.XLOOKUP(D130,客户信息底表!BD:BD,客户信息底表!Q:Q,,0),"底表未登记")))))</f>
        <v/>
      </c>
      <c r="G130" s="2" t="str">
        <f>IF(D130="","",IFERROR(_xlfn.XLOOKUP(D130,客户信息底表!B:B,客户信息底表!L:L,,0),IFERROR(_xlfn.XLOOKUP(D130,客户信息底表!BB:BB,客户信息底表!L:L,,0),IFERROR(_xlfn.XLOOKUP(D130,客户信息底表!BC:BC,客户信息底表!L:L,,0),IFERROR(_xlfn.XLOOKUP(D130,客户信息底表!BD:BD,客户信息底表!L:L,,0),"底表未登记")))))</f>
        <v/>
      </c>
      <c r="H130" t="str">
        <f>IF(D130="","",IFERROR(_xlfn.XLOOKUP(D130,客户信息底表!B:B,客户信息底表!G:G,,0),IFERROR(_xlfn.XLOOKUP(D130,客户信息底表!BB:BB,客户信息底表!G:G,,0),IFERROR(_xlfn.XLOOKUP(D130,客户信息底表!BC:BC,客户信息底表!G:G,,0),IFERROR(_xlfn.XLOOKUP(D130,客户信息底表!BD:BD,客户信息底表!G:G,,0),"底表未登记")))))</f>
        <v/>
      </c>
      <c r="I130" t="str">
        <f>IF(D130="","","整："&amp;数据输入表!J133&amp;"，散："&amp;数据输入表!K133&amp;"；重量kg："&amp;数据输入表!L133&amp;"，体积："&amp;数据输入表!M133)</f>
        <v/>
      </c>
    </row>
    <row r="131" spans="1:9" x14ac:dyDescent="0.25">
      <c r="A131" t="str">
        <f t="shared" si="3"/>
        <v/>
      </c>
      <c r="C131" t="str">
        <f t="shared" ref="C131:C156" si="4">IF(D131&lt;&gt;"",ROW()-1,"")</f>
        <v/>
      </c>
      <c r="E131" t="str">
        <f>IF(D131="","",IFERROR(_xlfn.XLOOKUP(D131,客户信息底表!B:B,客户信息底表!Q:Q,,0),IFERROR(_xlfn.XLOOKUP(D131,客户信息底表!BB:BB,客户信息底表!Q:Q,,0),IFERROR(_xlfn.XLOOKUP(D131,客户信息底表!BC:BC,客户信息底表!Q:Q,,0),IFERROR(_xlfn.XLOOKUP(D131,客户信息底表!BD:BD,客户信息底表!Q:Q,,0),"底表未登记")))))</f>
        <v/>
      </c>
      <c r="G131" s="2" t="str">
        <f>IF(D131="","",IFERROR(_xlfn.XLOOKUP(D131,客户信息底表!B:B,客户信息底表!L:L,,0),IFERROR(_xlfn.XLOOKUP(D131,客户信息底表!BB:BB,客户信息底表!L:L,,0),IFERROR(_xlfn.XLOOKUP(D131,客户信息底表!BC:BC,客户信息底表!L:L,,0),IFERROR(_xlfn.XLOOKUP(D131,客户信息底表!BD:BD,客户信息底表!L:L,,0),"底表未登记")))))</f>
        <v/>
      </c>
      <c r="H131" t="str">
        <f>IF(D131="","",IFERROR(_xlfn.XLOOKUP(D131,客户信息底表!B:B,客户信息底表!G:G,,0),IFERROR(_xlfn.XLOOKUP(D131,客户信息底表!BB:BB,客户信息底表!G:G,,0),IFERROR(_xlfn.XLOOKUP(D131,客户信息底表!BC:BC,客户信息底表!G:G,,0),IFERROR(_xlfn.XLOOKUP(D131,客户信息底表!BD:BD,客户信息底表!G:G,,0),"底表未登记")))))</f>
        <v/>
      </c>
      <c r="I131" t="str">
        <f>IF(D131="","","整："&amp;数据输入表!J134&amp;"，散："&amp;数据输入表!K134&amp;"；重量kg："&amp;数据输入表!L134&amp;"，体积："&amp;数据输入表!M134)</f>
        <v/>
      </c>
    </row>
    <row r="132" spans="1:9" x14ac:dyDescent="0.25">
      <c r="A132" t="str">
        <f t="shared" ref="A132:A156" si="5">IF(D132&lt;&gt;"",$A$2,"")</f>
        <v/>
      </c>
      <c r="C132" t="str">
        <f t="shared" si="4"/>
        <v/>
      </c>
      <c r="E132" t="str">
        <f>IF(D132="","",IFERROR(_xlfn.XLOOKUP(D132,客户信息底表!B:B,客户信息底表!Q:Q,,0),IFERROR(_xlfn.XLOOKUP(D132,客户信息底表!BB:BB,客户信息底表!Q:Q,,0),IFERROR(_xlfn.XLOOKUP(D132,客户信息底表!BC:BC,客户信息底表!Q:Q,,0),IFERROR(_xlfn.XLOOKUP(D132,客户信息底表!BD:BD,客户信息底表!Q:Q,,0),"底表未登记")))))</f>
        <v/>
      </c>
      <c r="G132" s="2" t="str">
        <f>IF(D132="","",IFERROR(_xlfn.XLOOKUP(D132,客户信息底表!B:B,客户信息底表!L:L,,0),IFERROR(_xlfn.XLOOKUP(D132,客户信息底表!BB:BB,客户信息底表!L:L,,0),IFERROR(_xlfn.XLOOKUP(D132,客户信息底表!BC:BC,客户信息底表!L:L,,0),IFERROR(_xlfn.XLOOKUP(D132,客户信息底表!BD:BD,客户信息底表!L:L,,0),"底表未登记")))))</f>
        <v/>
      </c>
      <c r="H132" t="str">
        <f>IF(D132="","",IFERROR(_xlfn.XLOOKUP(D132,客户信息底表!B:B,客户信息底表!G:G,,0),IFERROR(_xlfn.XLOOKUP(D132,客户信息底表!BB:BB,客户信息底表!G:G,,0),IFERROR(_xlfn.XLOOKUP(D132,客户信息底表!BC:BC,客户信息底表!G:G,,0),IFERROR(_xlfn.XLOOKUP(D132,客户信息底表!BD:BD,客户信息底表!G:G,,0),"底表未登记")))))</f>
        <v/>
      </c>
      <c r="I132" t="str">
        <f>IF(D132="","","整："&amp;数据输入表!J135&amp;"，散："&amp;数据输入表!K135&amp;"；重量kg："&amp;数据输入表!L135&amp;"，体积："&amp;数据输入表!M135)</f>
        <v/>
      </c>
    </row>
    <row r="133" spans="1:9" x14ac:dyDescent="0.25">
      <c r="A133" t="str">
        <f t="shared" si="5"/>
        <v/>
      </c>
      <c r="C133" t="str">
        <f t="shared" si="4"/>
        <v/>
      </c>
      <c r="E133" t="str">
        <f>IF(D133="","",IFERROR(_xlfn.XLOOKUP(D133,客户信息底表!B:B,客户信息底表!Q:Q,,0),IFERROR(_xlfn.XLOOKUP(D133,客户信息底表!BB:BB,客户信息底表!Q:Q,,0),IFERROR(_xlfn.XLOOKUP(D133,客户信息底表!BC:BC,客户信息底表!Q:Q,,0),IFERROR(_xlfn.XLOOKUP(D133,客户信息底表!BD:BD,客户信息底表!Q:Q,,0),"底表未登记")))))</f>
        <v/>
      </c>
      <c r="G133" s="2" t="str">
        <f>IF(D133="","",IFERROR(_xlfn.XLOOKUP(D133,客户信息底表!B:B,客户信息底表!L:L,,0),IFERROR(_xlfn.XLOOKUP(D133,客户信息底表!BB:BB,客户信息底表!L:L,,0),IFERROR(_xlfn.XLOOKUP(D133,客户信息底表!BC:BC,客户信息底表!L:L,,0),IFERROR(_xlfn.XLOOKUP(D133,客户信息底表!BD:BD,客户信息底表!L:L,,0),"底表未登记")))))</f>
        <v/>
      </c>
      <c r="H133" t="str">
        <f>IF(D133="","",IFERROR(_xlfn.XLOOKUP(D133,客户信息底表!B:B,客户信息底表!G:G,,0),IFERROR(_xlfn.XLOOKUP(D133,客户信息底表!BB:BB,客户信息底表!G:G,,0),IFERROR(_xlfn.XLOOKUP(D133,客户信息底表!BC:BC,客户信息底表!G:G,,0),IFERROR(_xlfn.XLOOKUP(D133,客户信息底表!BD:BD,客户信息底表!G:G,,0),"底表未登记")))))</f>
        <v/>
      </c>
      <c r="I133" t="str">
        <f>IF(D133="","","整："&amp;数据输入表!J136&amp;"，散："&amp;数据输入表!K136&amp;"；重量kg："&amp;数据输入表!L136&amp;"，体积："&amp;数据输入表!M136)</f>
        <v/>
      </c>
    </row>
    <row r="134" spans="1:9" x14ac:dyDescent="0.25">
      <c r="A134" t="str">
        <f t="shared" si="5"/>
        <v/>
      </c>
      <c r="C134" t="str">
        <f t="shared" si="4"/>
        <v/>
      </c>
      <c r="E134" t="str">
        <f>IF(D134="","",IFERROR(_xlfn.XLOOKUP(D134,客户信息底表!B:B,客户信息底表!Q:Q,,0),IFERROR(_xlfn.XLOOKUP(D134,客户信息底表!BB:BB,客户信息底表!Q:Q,,0),IFERROR(_xlfn.XLOOKUP(D134,客户信息底表!BC:BC,客户信息底表!Q:Q,,0),IFERROR(_xlfn.XLOOKUP(D134,客户信息底表!BD:BD,客户信息底表!Q:Q,,0),"底表未登记")))))</f>
        <v/>
      </c>
      <c r="G134" s="2" t="str">
        <f>IF(D134="","",IFERROR(_xlfn.XLOOKUP(D134,客户信息底表!B:B,客户信息底表!L:L,,0),IFERROR(_xlfn.XLOOKUP(D134,客户信息底表!BB:BB,客户信息底表!L:L,,0),IFERROR(_xlfn.XLOOKUP(D134,客户信息底表!BC:BC,客户信息底表!L:L,,0),IFERROR(_xlfn.XLOOKUP(D134,客户信息底表!BD:BD,客户信息底表!L:L,,0),"底表未登记")))))</f>
        <v/>
      </c>
      <c r="H134" t="str">
        <f>IF(D134="","",IFERROR(_xlfn.XLOOKUP(D134,客户信息底表!B:B,客户信息底表!G:G,,0),IFERROR(_xlfn.XLOOKUP(D134,客户信息底表!BB:BB,客户信息底表!G:G,,0),IFERROR(_xlfn.XLOOKUP(D134,客户信息底表!BC:BC,客户信息底表!G:G,,0),IFERROR(_xlfn.XLOOKUP(D134,客户信息底表!BD:BD,客户信息底表!G:G,,0),"底表未登记")))))</f>
        <v/>
      </c>
      <c r="I134" t="str">
        <f>IF(D134="","","整："&amp;数据输入表!J137&amp;"，散："&amp;数据输入表!K137&amp;"；重量kg："&amp;数据输入表!L137&amp;"，体积："&amp;数据输入表!M137)</f>
        <v/>
      </c>
    </row>
    <row r="135" spans="1:9" x14ac:dyDescent="0.25">
      <c r="A135" t="str">
        <f t="shared" si="5"/>
        <v/>
      </c>
      <c r="C135" t="str">
        <f t="shared" si="4"/>
        <v/>
      </c>
      <c r="E135" t="str">
        <f>IF(D135="","",IFERROR(_xlfn.XLOOKUP(D135,客户信息底表!B:B,客户信息底表!Q:Q,,0),IFERROR(_xlfn.XLOOKUP(D135,客户信息底表!BB:BB,客户信息底表!Q:Q,,0),IFERROR(_xlfn.XLOOKUP(D135,客户信息底表!BC:BC,客户信息底表!Q:Q,,0),IFERROR(_xlfn.XLOOKUP(D135,客户信息底表!BD:BD,客户信息底表!Q:Q,,0),"底表未登记")))))</f>
        <v/>
      </c>
      <c r="G135" s="2" t="str">
        <f>IF(D135="","",IFERROR(_xlfn.XLOOKUP(D135,客户信息底表!B:B,客户信息底表!L:L,,0),IFERROR(_xlfn.XLOOKUP(D135,客户信息底表!BB:BB,客户信息底表!L:L,,0),IFERROR(_xlfn.XLOOKUP(D135,客户信息底表!BC:BC,客户信息底表!L:L,,0),IFERROR(_xlfn.XLOOKUP(D135,客户信息底表!BD:BD,客户信息底表!L:L,,0),"底表未登记")))))</f>
        <v/>
      </c>
      <c r="H135" t="str">
        <f>IF(D135="","",IFERROR(_xlfn.XLOOKUP(D135,客户信息底表!B:B,客户信息底表!G:G,,0),IFERROR(_xlfn.XLOOKUP(D135,客户信息底表!BB:BB,客户信息底表!G:G,,0),IFERROR(_xlfn.XLOOKUP(D135,客户信息底表!BC:BC,客户信息底表!G:G,,0),IFERROR(_xlfn.XLOOKUP(D135,客户信息底表!BD:BD,客户信息底表!G:G,,0),"底表未登记")))))</f>
        <v/>
      </c>
      <c r="I135" t="str">
        <f>IF(D135="","","整："&amp;数据输入表!J138&amp;"，散："&amp;数据输入表!K138&amp;"；重量kg："&amp;数据输入表!L138&amp;"，体积："&amp;数据输入表!M138)</f>
        <v/>
      </c>
    </row>
    <row r="136" spans="1:9" x14ac:dyDescent="0.25">
      <c r="A136" t="str">
        <f t="shared" si="5"/>
        <v/>
      </c>
      <c r="C136" t="str">
        <f t="shared" si="4"/>
        <v/>
      </c>
      <c r="E136" t="str">
        <f>IF(D136="","",IFERROR(_xlfn.XLOOKUP(D136,客户信息底表!B:B,客户信息底表!Q:Q,,0),IFERROR(_xlfn.XLOOKUP(D136,客户信息底表!BB:BB,客户信息底表!Q:Q,,0),IFERROR(_xlfn.XLOOKUP(D136,客户信息底表!BC:BC,客户信息底表!Q:Q,,0),IFERROR(_xlfn.XLOOKUP(D136,客户信息底表!BD:BD,客户信息底表!Q:Q,,0),"底表未登记")))))</f>
        <v/>
      </c>
      <c r="G136" s="2" t="str">
        <f>IF(D136="","",IFERROR(_xlfn.XLOOKUP(D136,客户信息底表!B:B,客户信息底表!L:L,,0),IFERROR(_xlfn.XLOOKUP(D136,客户信息底表!BB:BB,客户信息底表!L:L,,0),IFERROR(_xlfn.XLOOKUP(D136,客户信息底表!BC:BC,客户信息底表!L:L,,0),IFERROR(_xlfn.XLOOKUP(D136,客户信息底表!BD:BD,客户信息底表!L:L,,0),"底表未登记")))))</f>
        <v/>
      </c>
      <c r="H136" t="str">
        <f>IF(D136="","",IFERROR(_xlfn.XLOOKUP(D136,客户信息底表!B:B,客户信息底表!G:G,,0),IFERROR(_xlfn.XLOOKUP(D136,客户信息底表!BB:BB,客户信息底表!G:G,,0),IFERROR(_xlfn.XLOOKUP(D136,客户信息底表!BC:BC,客户信息底表!G:G,,0),IFERROR(_xlfn.XLOOKUP(D136,客户信息底表!BD:BD,客户信息底表!G:G,,0),"底表未登记")))))</f>
        <v/>
      </c>
      <c r="I136" t="str">
        <f>IF(D136="","","整："&amp;数据输入表!J139&amp;"，散："&amp;数据输入表!K139&amp;"；重量kg："&amp;数据输入表!L139&amp;"，体积："&amp;数据输入表!M139)</f>
        <v/>
      </c>
    </row>
    <row r="137" spans="1:9" x14ac:dyDescent="0.25">
      <c r="A137" t="str">
        <f t="shared" si="5"/>
        <v/>
      </c>
      <c r="C137" t="str">
        <f t="shared" si="4"/>
        <v/>
      </c>
      <c r="E137" t="str">
        <f>IF(D137="","",IFERROR(_xlfn.XLOOKUP(D137,客户信息底表!B:B,客户信息底表!Q:Q,,0),IFERROR(_xlfn.XLOOKUP(D137,客户信息底表!BB:BB,客户信息底表!Q:Q,,0),IFERROR(_xlfn.XLOOKUP(D137,客户信息底表!BC:BC,客户信息底表!Q:Q,,0),IFERROR(_xlfn.XLOOKUP(D137,客户信息底表!BD:BD,客户信息底表!Q:Q,,0),"底表未登记")))))</f>
        <v/>
      </c>
      <c r="G137" s="2" t="str">
        <f>IF(D137="","",IFERROR(_xlfn.XLOOKUP(D137,客户信息底表!B:B,客户信息底表!L:L,,0),IFERROR(_xlfn.XLOOKUP(D137,客户信息底表!BB:BB,客户信息底表!L:L,,0),IFERROR(_xlfn.XLOOKUP(D137,客户信息底表!BC:BC,客户信息底表!L:L,,0),IFERROR(_xlfn.XLOOKUP(D137,客户信息底表!BD:BD,客户信息底表!L:L,,0),"底表未登记")))))</f>
        <v/>
      </c>
      <c r="H137" t="str">
        <f>IF(D137="","",IFERROR(_xlfn.XLOOKUP(D137,客户信息底表!B:B,客户信息底表!G:G,,0),IFERROR(_xlfn.XLOOKUP(D137,客户信息底表!BB:BB,客户信息底表!G:G,,0),IFERROR(_xlfn.XLOOKUP(D137,客户信息底表!BC:BC,客户信息底表!G:G,,0),IFERROR(_xlfn.XLOOKUP(D137,客户信息底表!BD:BD,客户信息底表!G:G,,0),"底表未登记")))))</f>
        <v/>
      </c>
      <c r="I137" t="str">
        <f>IF(D137="","","整："&amp;数据输入表!J140&amp;"，散："&amp;数据输入表!K140&amp;"；重量kg："&amp;数据输入表!L140&amp;"，体积："&amp;数据输入表!M140)</f>
        <v/>
      </c>
    </row>
    <row r="138" spans="1:9" x14ac:dyDescent="0.25">
      <c r="A138" t="str">
        <f t="shared" si="5"/>
        <v/>
      </c>
      <c r="C138" t="str">
        <f t="shared" si="4"/>
        <v/>
      </c>
      <c r="E138" t="str">
        <f>IF(D138="","",IFERROR(_xlfn.XLOOKUP(D138,客户信息底表!B:B,客户信息底表!Q:Q,,0),IFERROR(_xlfn.XLOOKUP(D138,客户信息底表!BB:BB,客户信息底表!Q:Q,,0),IFERROR(_xlfn.XLOOKUP(D138,客户信息底表!BC:BC,客户信息底表!Q:Q,,0),IFERROR(_xlfn.XLOOKUP(D138,客户信息底表!BD:BD,客户信息底表!Q:Q,,0),"底表未登记")))))</f>
        <v/>
      </c>
      <c r="G138" s="2" t="str">
        <f>IF(D138="","",IFERROR(_xlfn.XLOOKUP(D138,客户信息底表!B:B,客户信息底表!L:L,,0),IFERROR(_xlfn.XLOOKUP(D138,客户信息底表!BB:BB,客户信息底表!L:L,,0),IFERROR(_xlfn.XLOOKUP(D138,客户信息底表!BC:BC,客户信息底表!L:L,,0),IFERROR(_xlfn.XLOOKUP(D138,客户信息底表!BD:BD,客户信息底表!L:L,,0),"底表未登记")))))</f>
        <v/>
      </c>
      <c r="H138" t="str">
        <f>IF(D138="","",IFERROR(_xlfn.XLOOKUP(D138,客户信息底表!B:B,客户信息底表!G:G,,0),IFERROR(_xlfn.XLOOKUP(D138,客户信息底表!BB:BB,客户信息底表!G:G,,0),IFERROR(_xlfn.XLOOKUP(D138,客户信息底表!BC:BC,客户信息底表!G:G,,0),IFERROR(_xlfn.XLOOKUP(D138,客户信息底表!BD:BD,客户信息底表!G:G,,0),"底表未登记")))))</f>
        <v/>
      </c>
      <c r="I138" t="str">
        <f>IF(D138="","","整："&amp;数据输入表!J141&amp;"，散："&amp;数据输入表!K141&amp;"；重量kg："&amp;数据输入表!L141&amp;"，体积："&amp;数据输入表!M141)</f>
        <v/>
      </c>
    </row>
    <row r="139" spans="1:9" x14ac:dyDescent="0.25">
      <c r="A139" t="str">
        <f t="shared" si="5"/>
        <v/>
      </c>
      <c r="C139" t="str">
        <f t="shared" si="4"/>
        <v/>
      </c>
      <c r="E139" t="str">
        <f>IF(D139="","",IFERROR(_xlfn.XLOOKUP(D139,客户信息底表!B:B,客户信息底表!Q:Q,,0),IFERROR(_xlfn.XLOOKUP(D139,客户信息底表!BB:BB,客户信息底表!Q:Q,,0),IFERROR(_xlfn.XLOOKUP(D139,客户信息底表!BC:BC,客户信息底表!Q:Q,,0),IFERROR(_xlfn.XLOOKUP(D139,客户信息底表!BD:BD,客户信息底表!Q:Q,,0),"底表未登记")))))</f>
        <v/>
      </c>
      <c r="G139" s="2" t="str">
        <f>IF(D139="","",IFERROR(_xlfn.XLOOKUP(D139,客户信息底表!B:B,客户信息底表!L:L,,0),IFERROR(_xlfn.XLOOKUP(D139,客户信息底表!BB:BB,客户信息底表!L:L,,0),IFERROR(_xlfn.XLOOKUP(D139,客户信息底表!BC:BC,客户信息底表!L:L,,0),IFERROR(_xlfn.XLOOKUP(D139,客户信息底表!BD:BD,客户信息底表!L:L,,0),"底表未登记")))))</f>
        <v/>
      </c>
      <c r="H139" t="str">
        <f>IF(D139="","",IFERROR(_xlfn.XLOOKUP(D139,客户信息底表!B:B,客户信息底表!G:G,,0),IFERROR(_xlfn.XLOOKUP(D139,客户信息底表!BB:BB,客户信息底表!G:G,,0),IFERROR(_xlfn.XLOOKUP(D139,客户信息底表!BC:BC,客户信息底表!G:G,,0),IFERROR(_xlfn.XLOOKUP(D139,客户信息底表!BD:BD,客户信息底表!G:G,,0),"底表未登记")))))</f>
        <v/>
      </c>
      <c r="I139" t="str">
        <f>IF(D139="","","整："&amp;数据输入表!J142&amp;"，散："&amp;数据输入表!K142&amp;"；重量kg："&amp;数据输入表!L142&amp;"，体积："&amp;数据输入表!M142)</f>
        <v/>
      </c>
    </row>
    <row r="140" spans="1:9" x14ac:dyDescent="0.25">
      <c r="A140" t="str">
        <f t="shared" si="5"/>
        <v/>
      </c>
      <c r="C140" t="str">
        <f t="shared" si="4"/>
        <v/>
      </c>
      <c r="E140" t="str">
        <f>IF(D140="","",IFERROR(_xlfn.XLOOKUP(D140,客户信息底表!B:B,客户信息底表!Q:Q,,0),IFERROR(_xlfn.XLOOKUP(D140,客户信息底表!BB:BB,客户信息底表!Q:Q,,0),IFERROR(_xlfn.XLOOKUP(D140,客户信息底表!BC:BC,客户信息底表!Q:Q,,0),IFERROR(_xlfn.XLOOKUP(D140,客户信息底表!BD:BD,客户信息底表!Q:Q,,0),"底表未登记")))))</f>
        <v/>
      </c>
      <c r="G140" s="2" t="str">
        <f>IF(D140="","",IFERROR(_xlfn.XLOOKUP(D140,客户信息底表!B:B,客户信息底表!L:L,,0),IFERROR(_xlfn.XLOOKUP(D140,客户信息底表!BB:BB,客户信息底表!L:L,,0),IFERROR(_xlfn.XLOOKUP(D140,客户信息底表!BC:BC,客户信息底表!L:L,,0),IFERROR(_xlfn.XLOOKUP(D140,客户信息底表!BD:BD,客户信息底表!L:L,,0),"底表未登记")))))</f>
        <v/>
      </c>
      <c r="H140" t="str">
        <f>IF(D140="","",IFERROR(_xlfn.XLOOKUP(D140,客户信息底表!B:B,客户信息底表!G:G,,0),IFERROR(_xlfn.XLOOKUP(D140,客户信息底表!BB:BB,客户信息底表!G:G,,0),IFERROR(_xlfn.XLOOKUP(D140,客户信息底表!BC:BC,客户信息底表!G:G,,0),IFERROR(_xlfn.XLOOKUP(D140,客户信息底表!BD:BD,客户信息底表!G:G,,0),"底表未登记")))))</f>
        <v/>
      </c>
      <c r="I140" t="str">
        <f>IF(D140="","","整："&amp;数据输入表!J143&amp;"，散："&amp;数据输入表!K143&amp;"；重量kg："&amp;数据输入表!L143&amp;"，体积："&amp;数据输入表!M143)</f>
        <v/>
      </c>
    </row>
    <row r="141" spans="1:9" x14ac:dyDescent="0.25">
      <c r="A141" t="str">
        <f t="shared" si="5"/>
        <v/>
      </c>
      <c r="C141" t="str">
        <f t="shared" si="4"/>
        <v/>
      </c>
      <c r="E141" t="str">
        <f>IF(D141="","",IFERROR(_xlfn.XLOOKUP(D141,客户信息底表!B:B,客户信息底表!Q:Q,,0),IFERROR(_xlfn.XLOOKUP(D141,客户信息底表!BB:BB,客户信息底表!Q:Q,,0),IFERROR(_xlfn.XLOOKUP(D141,客户信息底表!BC:BC,客户信息底表!Q:Q,,0),IFERROR(_xlfn.XLOOKUP(D141,客户信息底表!BD:BD,客户信息底表!Q:Q,,0),"底表未登记")))))</f>
        <v/>
      </c>
      <c r="G141" s="2" t="str">
        <f>IF(D141="","",IFERROR(_xlfn.XLOOKUP(D141,客户信息底表!B:B,客户信息底表!L:L,,0),IFERROR(_xlfn.XLOOKUP(D141,客户信息底表!BB:BB,客户信息底表!L:L,,0),IFERROR(_xlfn.XLOOKUP(D141,客户信息底表!BC:BC,客户信息底表!L:L,,0),IFERROR(_xlfn.XLOOKUP(D141,客户信息底表!BD:BD,客户信息底表!L:L,,0),"底表未登记")))))</f>
        <v/>
      </c>
      <c r="H141" t="str">
        <f>IF(D141="","",IFERROR(_xlfn.XLOOKUP(D141,客户信息底表!B:B,客户信息底表!G:G,,0),IFERROR(_xlfn.XLOOKUP(D141,客户信息底表!BB:BB,客户信息底表!G:G,,0),IFERROR(_xlfn.XLOOKUP(D141,客户信息底表!BC:BC,客户信息底表!G:G,,0),IFERROR(_xlfn.XLOOKUP(D141,客户信息底表!BD:BD,客户信息底表!G:G,,0),"底表未登记")))))</f>
        <v/>
      </c>
      <c r="I141" t="str">
        <f>IF(D141="","","整："&amp;数据输入表!J144&amp;"，散："&amp;数据输入表!K144&amp;"；重量kg："&amp;数据输入表!L144&amp;"，体积："&amp;数据输入表!M144)</f>
        <v/>
      </c>
    </row>
    <row r="142" spans="1:9" x14ac:dyDescent="0.25">
      <c r="A142" t="str">
        <f t="shared" si="5"/>
        <v/>
      </c>
      <c r="C142" t="str">
        <f t="shared" si="4"/>
        <v/>
      </c>
      <c r="E142" t="str">
        <f>IF(D142="","",IFERROR(_xlfn.XLOOKUP(D142,客户信息底表!B:B,客户信息底表!Q:Q,,0),IFERROR(_xlfn.XLOOKUP(D142,客户信息底表!BB:BB,客户信息底表!Q:Q,,0),IFERROR(_xlfn.XLOOKUP(D142,客户信息底表!BC:BC,客户信息底表!Q:Q,,0),IFERROR(_xlfn.XLOOKUP(D142,客户信息底表!BD:BD,客户信息底表!Q:Q,,0),"底表未登记")))))</f>
        <v/>
      </c>
      <c r="G142" s="2" t="str">
        <f>IF(D142="","",IFERROR(_xlfn.XLOOKUP(D142,客户信息底表!B:B,客户信息底表!L:L,,0),IFERROR(_xlfn.XLOOKUP(D142,客户信息底表!BB:BB,客户信息底表!L:L,,0),IFERROR(_xlfn.XLOOKUP(D142,客户信息底表!BC:BC,客户信息底表!L:L,,0),IFERROR(_xlfn.XLOOKUP(D142,客户信息底表!BD:BD,客户信息底表!L:L,,0),"底表未登记")))))</f>
        <v/>
      </c>
      <c r="H142" t="str">
        <f>IF(D142="","",IFERROR(_xlfn.XLOOKUP(D142,客户信息底表!B:B,客户信息底表!G:G,,0),IFERROR(_xlfn.XLOOKUP(D142,客户信息底表!BB:BB,客户信息底表!G:G,,0),IFERROR(_xlfn.XLOOKUP(D142,客户信息底表!BC:BC,客户信息底表!G:G,,0),IFERROR(_xlfn.XLOOKUP(D142,客户信息底表!BD:BD,客户信息底表!G:G,,0),"底表未登记")))))</f>
        <v/>
      </c>
      <c r="I142" t="str">
        <f>IF(D142="","","整："&amp;数据输入表!J145&amp;"，散："&amp;数据输入表!K145&amp;"；重量kg："&amp;数据输入表!L145&amp;"，体积："&amp;数据输入表!M145)</f>
        <v/>
      </c>
    </row>
    <row r="143" spans="1:9" x14ac:dyDescent="0.25">
      <c r="A143" t="str">
        <f t="shared" si="5"/>
        <v/>
      </c>
      <c r="C143" t="str">
        <f t="shared" si="4"/>
        <v/>
      </c>
      <c r="E143" t="str">
        <f>IF(D143="","",IFERROR(_xlfn.XLOOKUP(D143,客户信息底表!B:B,客户信息底表!Q:Q,,0),IFERROR(_xlfn.XLOOKUP(D143,客户信息底表!BB:BB,客户信息底表!Q:Q,,0),IFERROR(_xlfn.XLOOKUP(D143,客户信息底表!BC:BC,客户信息底表!Q:Q,,0),IFERROR(_xlfn.XLOOKUP(D143,客户信息底表!BD:BD,客户信息底表!Q:Q,,0),"底表未登记")))))</f>
        <v/>
      </c>
      <c r="G143" s="2" t="str">
        <f>IF(D143="","",IFERROR(_xlfn.XLOOKUP(D143,客户信息底表!B:B,客户信息底表!L:L,,0),IFERROR(_xlfn.XLOOKUP(D143,客户信息底表!BB:BB,客户信息底表!L:L,,0),IFERROR(_xlfn.XLOOKUP(D143,客户信息底表!BC:BC,客户信息底表!L:L,,0),IFERROR(_xlfn.XLOOKUP(D143,客户信息底表!BD:BD,客户信息底表!L:L,,0),"底表未登记")))))</f>
        <v/>
      </c>
      <c r="H143" t="str">
        <f>IF(D143="","",IFERROR(_xlfn.XLOOKUP(D143,客户信息底表!B:B,客户信息底表!G:G,,0),IFERROR(_xlfn.XLOOKUP(D143,客户信息底表!BB:BB,客户信息底表!G:G,,0),IFERROR(_xlfn.XLOOKUP(D143,客户信息底表!BC:BC,客户信息底表!G:G,,0),IFERROR(_xlfn.XLOOKUP(D143,客户信息底表!BD:BD,客户信息底表!G:G,,0),"底表未登记")))))</f>
        <v/>
      </c>
      <c r="I143" t="str">
        <f>IF(D143="","","整："&amp;数据输入表!J146&amp;"，散："&amp;数据输入表!K146&amp;"；重量kg："&amp;数据输入表!L146&amp;"，体积："&amp;数据输入表!M146)</f>
        <v/>
      </c>
    </row>
    <row r="144" spans="1:9" x14ac:dyDescent="0.25">
      <c r="A144" t="str">
        <f t="shared" si="5"/>
        <v/>
      </c>
      <c r="C144" t="str">
        <f t="shared" si="4"/>
        <v/>
      </c>
      <c r="E144" t="str">
        <f>IF(D144="","",IFERROR(_xlfn.XLOOKUP(D144,客户信息底表!B:B,客户信息底表!Q:Q,,0),IFERROR(_xlfn.XLOOKUP(D144,客户信息底表!BB:BB,客户信息底表!Q:Q,,0),IFERROR(_xlfn.XLOOKUP(D144,客户信息底表!BC:BC,客户信息底表!Q:Q,,0),IFERROR(_xlfn.XLOOKUP(D144,客户信息底表!BD:BD,客户信息底表!Q:Q,,0),"底表未登记")))))</f>
        <v/>
      </c>
      <c r="G144" s="2" t="str">
        <f>IF(D144="","",IFERROR(_xlfn.XLOOKUP(D144,客户信息底表!B:B,客户信息底表!L:L,,0),IFERROR(_xlfn.XLOOKUP(D144,客户信息底表!BB:BB,客户信息底表!L:L,,0),IFERROR(_xlfn.XLOOKUP(D144,客户信息底表!BC:BC,客户信息底表!L:L,,0),IFERROR(_xlfn.XLOOKUP(D144,客户信息底表!BD:BD,客户信息底表!L:L,,0),"底表未登记")))))</f>
        <v/>
      </c>
      <c r="H144" t="str">
        <f>IF(D144="","",IFERROR(_xlfn.XLOOKUP(D144,客户信息底表!B:B,客户信息底表!G:G,,0),IFERROR(_xlfn.XLOOKUP(D144,客户信息底表!BB:BB,客户信息底表!G:G,,0),IFERROR(_xlfn.XLOOKUP(D144,客户信息底表!BC:BC,客户信息底表!G:G,,0),IFERROR(_xlfn.XLOOKUP(D144,客户信息底表!BD:BD,客户信息底表!G:G,,0),"底表未登记")))))</f>
        <v/>
      </c>
      <c r="I144" t="str">
        <f>IF(D144="","","整："&amp;数据输入表!J147&amp;"，散："&amp;数据输入表!K147&amp;"；重量kg："&amp;数据输入表!L147&amp;"，体积："&amp;数据输入表!M147)</f>
        <v/>
      </c>
    </row>
    <row r="145" spans="1:9" x14ac:dyDescent="0.25">
      <c r="A145" t="str">
        <f t="shared" si="5"/>
        <v/>
      </c>
      <c r="C145" t="str">
        <f t="shared" si="4"/>
        <v/>
      </c>
      <c r="E145" t="str">
        <f>IF(D145="","",IFERROR(_xlfn.XLOOKUP(D145,客户信息底表!B:B,客户信息底表!Q:Q,,0),IFERROR(_xlfn.XLOOKUP(D145,客户信息底表!BB:BB,客户信息底表!Q:Q,,0),IFERROR(_xlfn.XLOOKUP(D145,客户信息底表!BC:BC,客户信息底表!Q:Q,,0),IFERROR(_xlfn.XLOOKUP(D145,客户信息底表!BD:BD,客户信息底表!Q:Q,,0),"底表未登记")))))</f>
        <v/>
      </c>
      <c r="G145" s="2" t="str">
        <f>IF(D145="","",IFERROR(_xlfn.XLOOKUP(D145,客户信息底表!B:B,客户信息底表!L:L,,0),IFERROR(_xlfn.XLOOKUP(D145,客户信息底表!BB:BB,客户信息底表!L:L,,0),IFERROR(_xlfn.XLOOKUP(D145,客户信息底表!BC:BC,客户信息底表!L:L,,0),IFERROR(_xlfn.XLOOKUP(D145,客户信息底表!BD:BD,客户信息底表!L:L,,0),"底表未登记")))))</f>
        <v/>
      </c>
      <c r="H145" t="str">
        <f>IF(D145="","",IFERROR(_xlfn.XLOOKUP(D145,客户信息底表!B:B,客户信息底表!G:G,,0),IFERROR(_xlfn.XLOOKUP(D145,客户信息底表!BB:BB,客户信息底表!G:G,,0),IFERROR(_xlfn.XLOOKUP(D145,客户信息底表!BC:BC,客户信息底表!G:G,,0),IFERROR(_xlfn.XLOOKUP(D145,客户信息底表!BD:BD,客户信息底表!G:G,,0),"底表未登记")))))</f>
        <v/>
      </c>
      <c r="I145" t="str">
        <f>IF(D145="","","整："&amp;数据输入表!J148&amp;"，散："&amp;数据输入表!K148&amp;"；重量kg："&amp;数据输入表!L148&amp;"，体积："&amp;数据输入表!M148)</f>
        <v/>
      </c>
    </row>
    <row r="146" spans="1:9" x14ac:dyDescent="0.25">
      <c r="A146" t="str">
        <f t="shared" si="5"/>
        <v/>
      </c>
      <c r="C146" t="str">
        <f t="shared" si="4"/>
        <v/>
      </c>
      <c r="E146" t="str">
        <f>IF(D146="","",IFERROR(_xlfn.XLOOKUP(D146,客户信息底表!B:B,客户信息底表!Q:Q,,0),IFERROR(_xlfn.XLOOKUP(D146,客户信息底表!BB:BB,客户信息底表!Q:Q,,0),IFERROR(_xlfn.XLOOKUP(D146,客户信息底表!BC:BC,客户信息底表!Q:Q,,0),IFERROR(_xlfn.XLOOKUP(D146,客户信息底表!BD:BD,客户信息底表!Q:Q,,0),"底表未登记")))))</f>
        <v/>
      </c>
      <c r="G146" s="2" t="str">
        <f>IF(D146="","",IFERROR(_xlfn.XLOOKUP(D146,客户信息底表!B:B,客户信息底表!L:L,,0),IFERROR(_xlfn.XLOOKUP(D146,客户信息底表!BB:BB,客户信息底表!L:L,,0),IFERROR(_xlfn.XLOOKUP(D146,客户信息底表!BC:BC,客户信息底表!L:L,,0),IFERROR(_xlfn.XLOOKUP(D146,客户信息底表!BD:BD,客户信息底表!L:L,,0),"底表未登记")))))</f>
        <v/>
      </c>
      <c r="H146" t="str">
        <f>IF(D146="","",IFERROR(_xlfn.XLOOKUP(D146,客户信息底表!B:B,客户信息底表!G:G,,0),IFERROR(_xlfn.XLOOKUP(D146,客户信息底表!BB:BB,客户信息底表!G:G,,0),IFERROR(_xlfn.XLOOKUP(D146,客户信息底表!BC:BC,客户信息底表!G:G,,0),IFERROR(_xlfn.XLOOKUP(D146,客户信息底表!BD:BD,客户信息底表!G:G,,0),"底表未登记")))))</f>
        <v/>
      </c>
      <c r="I146" t="str">
        <f>IF(D146="","","整："&amp;数据输入表!J149&amp;"，散："&amp;数据输入表!K149&amp;"；重量kg："&amp;数据输入表!L149&amp;"，体积："&amp;数据输入表!M149)</f>
        <v/>
      </c>
    </row>
    <row r="147" spans="1:9" x14ac:dyDescent="0.25">
      <c r="A147" t="str">
        <f t="shared" si="5"/>
        <v/>
      </c>
      <c r="C147" t="str">
        <f t="shared" si="4"/>
        <v/>
      </c>
      <c r="E147" t="str">
        <f>IF(D147="","",IFERROR(_xlfn.XLOOKUP(D147,客户信息底表!B:B,客户信息底表!Q:Q,,0),IFERROR(_xlfn.XLOOKUP(D147,客户信息底表!BB:BB,客户信息底表!Q:Q,,0),IFERROR(_xlfn.XLOOKUP(D147,客户信息底表!BC:BC,客户信息底表!Q:Q,,0),IFERROR(_xlfn.XLOOKUP(D147,客户信息底表!BD:BD,客户信息底表!Q:Q,,0),"底表未登记")))))</f>
        <v/>
      </c>
      <c r="G147" s="2" t="str">
        <f>IF(D147="","",IFERROR(_xlfn.XLOOKUP(D147,客户信息底表!B:B,客户信息底表!L:L,,0),IFERROR(_xlfn.XLOOKUP(D147,客户信息底表!BB:BB,客户信息底表!L:L,,0),IFERROR(_xlfn.XLOOKUP(D147,客户信息底表!BC:BC,客户信息底表!L:L,,0),IFERROR(_xlfn.XLOOKUP(D147,客户信息底表!BD:BD,客户信息底表!L:L,,0),"底表未登记")))))</f>
        <v/>
      </c>
      <c r="H147" t="str">
        <f>IF(D147="","",IFERROR(_xlfn.XLOOKUP(D147,客户信息底表!B:B,客户信息底表!G:G,,0),IFERROR(_xlfn.XLOOKUP(D147,客户信息底表!BB:BB,客户信息底表!G:G,,0),IFERROR(_xlfn.XLOOKUP(D147,客户信息底表!BC:BC,客户信息底表!G:G,,0),IFERROR(_xlfn.XLOOKUP(D147,客户信息底表!BD:BD,客户信息底表!G:G,,0),"底表未登记")))))</f>
        <v/>
      </c>
      <c r="I147" t="str">
        <f>IF(D147="","","整："&amp;数据输入表!J150&amp;"，散："&amp;数据输入表!K150&amp;"；重量kg："&amp;数据输入表!L150&amp;"，体积："&amp;数据输入表!M150)</f>
        <v/>
      </c>
    </row>
    <row r="148" spans="1:9" x14ac:dyDescent="0.25">
      <c r="A148" t="str">
        <f t="shared" si="5"/>
        <v/>
      </c>
      <c r="C148" t="str">
        <f t="shared" si="4"/>
        <v/>
      </c>
      <c r="E148" t="str">
        <f>IF(D148="","",IFERROR(_xlfn.XLOOKUP(D148,客户信息底表!B:B,客户信息底表!Q:Q,,0),IFERROR(_xlfn.XLOOKUP(D148,客户信息底表!BB:BB,客户信息底表!Q:Q,,0),IFERROR(_xlfn.XLOOKUP(D148,客户信息底表!BC:BC,客户信息底表!Q:Q,,0),IFERROR(_xlfn.XLOOKUP(D148,客户信息底表!BD:BD,客户信息底表!Q:Q,,0),"底表未登记")))))</f>
        <v/>
      </c>
      <c r="G148" s="2" t="str">
        <f>IF(D148="","",IFERROR(_xlfn.XLOOKUP(D148,客户信息底表!B:B,客户信息底表!L:L,,0),IFERROR(_xlfn.XLOOKUP(D148,客户信息底表!BB:BB,客户信息底表!L:L,,0),IFERROR(_xlfn.XLOOKUP(D148,客户信息底表!BC:BC,客户信息底表!L:L,,0),IFERROR(_xlfn.XLOOKUP(D148,客户信息底表!BD:BD,客户信息底表!L:L,,0),"底表未登记")))))</f>
        <v/>
      </c>
      <c r="H148" t="str">
        <f>IF(D148="","",IFERROR(_xlfn.XLOOKUP(D148,客户信息底表!B:B,客户信息底表!G:G,,0),IFERROR(_xlfn.XLOOKUP(D148,客户信息底表!BB:BB,客户信息底表!G:G,,0),IFERROR(_xlfn.XLOOKUP(D148,客户信息底表!BC:BC,客户信息底表!G:G,,0),IFERROR(_xlfn.XLOOKUP(D148,客户信息底表!BD:BD,客户信息底表!G:G,,0),"底表未登记")))))</f>
        <v/>
      </c>
      <c r="I148" t="str">
        <f>IF(D148="","","整："&amp;数据输入表!J151&amp;"，散："&amp;数据输入表!K151&amp;"；重量kg："&amp;数据输入表!L151&amp;"，体积："&amp;数据输入表!M151)</f>
        <v/>
      </c>
    </row>
    <row r="149" spans="1:9" x14ac:dyDescent="0.25">
      <c r="A149" t="str">
        <f t="shared" si="5"/>
        <v/>
      </c>
      <c r="C149" t="str">
        <f t="shared" si="4"/>
        <v/>
      </c>
      <c r="E149" t="str">
        <f>IF(D149="","",IFERROR(_xlfn.XLOOKUP(D149,客户信息底表!B:B,客户信息底表!Q:Q,,0),IFERROR(_xlfn.XLOOKUP(D149,客户信息底表!BB:BB,客户信息底表!Q:Q,,0),IFERROR(_xlfn.XLOOKUP(D149,客户信息底表!BC:BC,客户信息底表!Q:Q,,0),IFERROR(_xlfn.XLOOKUP(D149,客户信息底表!BD:BD,客户信息底表!Q:Q,,0),"底表未登记")))))</f>
        <v/>
      </c>
      <c r="G149" s="2" t="str">
        <f>IF(D149="","",IFERROR(_xlfn.XLOOKUP(D149,客户信息底表!B:B,客户信息底表!L:L,,0),IFERROR(_xlfn.XLOOKUP(D149,客户信息底表!BB:BB,客户信息底表!L:L,,0),IFERROR(_xlfn.XLOOKUP(D149,客户信息底表!BC:BC,客户信息底表!L:L,,0),IFERROR(_xlfn.XLOOKUP(D149,客户信息底表!BD:BD,客户信息底表!L:L,,0),"底表未登记")))))</f>
        <v/>
      </c>
      <c r="H149" t="str">
        <f>IF(D149="","",IFERROR(_xlfn.XLOOKUP(D149,客户信息底表!B:B,客户信息底表!G:G,,0),IFERROR(_xlfn.XLOOKUP(D149,客户信息底表!BB:BB,客户信息底表!G:G,,0),IFERROR(_xlfn.XLOOKUP(D149,客户信息底表!BC:BC,客户信息底表!G:G,,0),IFERROR(_xlfn.XLOOKUP(D149,客户信息底表!BD:BD,客户信息底表!G:G,,0),"底表未登记")))))</f>
        <v/>
      </c>
      <c r="I149" t="str">
        <f>IF(D149="","","整："&amp;数据输入表!J152&amp;"，散："&amp;数据输入表!K152&amp;"；重量kg："&amp;数据输入表!L152&amp;"，体积："&amp;数据输入表!M152)</f>
        <v/>
      </c>
    </row>
    <row r="150" spans="1:9" x14ac:dyDescent="0.25">
      <c r="A150" t="str">
        <f t="shared" si="5"/>
        <v/>
      </c>
      <c r="C150" t="str">
        <f t="shared" si="4"/>
        <v/>
      </c>
      <c r="E150" t="str">
        <f>IF(D150="","",IFERROR(_xlfn.XLOOKUP(D150,客户信息底表!B:B,客户信息底表!Q:Q,,0),IFERROR(_xlfn.XLOOKUP(D150,客户信息底表!BB:BB,客户信息底表!Q:Q,,0),IFERROR(_xlfn.XLOOKUP(D150,客户信息底表!BC:BC,客户信息底表!Q:Q,,0),IFERROR(_xlfn.XLOOKUP(D150,客户信息底表!BD:BD,客户信息底表!Q:Q,,0),"底表未登记")))))</f>
        <v/>
      </c>
      <c r="G150" s="2" t="str">
        <f>IF(D150="","",IFERROR(_xlfn.XLOOKUP(D150,客户信息底表!B:B,客户信息底表!L:L,,0),IFERROR(_xlfn.XLOOKUP(D150,客户信息底表!BB:BB,客户信息底表!L:L,,0),IFERROR(_xlfn.XLOOKUP(D150,客户信息底表!BC:BC,客户信息底表!L:L,,0),IFERROR(_xlfn.XLOOKUP(D150,客户信息底表!BD:BD,客户信息底表!L:L,,0),"底表未登记")))))</f>
        <v/>
      </c>
      <c r="H150" t="str">
        <f>IF(D150="","",IFERROR(_xlfn.XLOOKUP(D150,客户信息底表!B:B,客户信息底表!G:G,,0),IFERROR(_xlfn.XLOOKUP(D150,客户信息底表!BB:BB,客户信息底表!G:G,,0),IFERROR(_xlfn.XLOOKUP(D150,客户信息底表!BC:BC,客户信息底表!G:G,,0),IFERROR(_xlfn.XLOOKUP(D150,客户信息底表!BD:BD,客户信息底表!G:G,,0),"底表未登记")))))</f>
        <v/>
      </c>
      <c r="I150" t="str">
        <f>IF(D150="","","整："&amp;数据输入表!J153&amp;"，散："&amp;数据输入表!K153&amp;"；重量kg："&amp;数据输入表!L153&amp;"，体积："&amp;数据输入表!M153)</f>
        <v/>
      </c>
    </row>
    <row r="151" spans="1:9" x14ac:dyDescent="0.25">
      <c r="A151" t="str">
        <f t="shared" si="5"/>
        <v/>
      </c>
      <c r="C151" t="str">
        <f t="shared" si="4"/>
        <v/>
      </c>
      <c r="E151" t="str">
        <f>IF(D151="","",IFERROR(_xlfn.XLOOKUP(D151,客户信息底表!B:B,客户信息底表!Q:Q,,0),IFERROR(_xlfn.XLOOKUP(D151,客户信息底表!BB:BB,客户信息底表!Q:Q,,0),IFERROR(_xlfn.XLOOKUP(D151,客户信息底表!BC:BC,客户信息底表!Q:Q,,0),IFERROR(_xlfn.XLOOKUP(D151,客户信息底表!BD:BD,客户信息底表!Q:Q,,0),"底表未登记")))))</f>
        <v/>
      </c>
      <c r="G151" s="2" t="str">
        <f>IF(D151="","",IFERROR(_xlfn.XLOOKUP(D151,客户信息底表!B:B,客户信息底表!L:L,,0),IFERROR(_xlfn.XLOOKUP(D151,客户信息底表!BB:BB,客户信息底表!L:L,,0),IFERROR(_xlfn.XLOOKUP(D151,客户信息底表!BC:BC,客户信息底表!L:L,,0),IFERROR(_xlfn.XLOOKUP(D151,客户信息底表!BD:BD,客户信息底表!L:L,,0),"底表未登记")))))</f>
        <v/>
      </c>
      <c r="H151" t="str">
        <f>IF(D151="","",IFERROR(_xlfn.XLOOKUP(D151,客户信息底表!B:B,客户信息底表!G:G,,0),IFERROR(_xlfn.XLOOKUP(D151,客户信息底表!BB:BB,客户信息底表!G:G,,0),IFERROR(_xlfn.XLOOKUP(D151,客户信息底表!BC:BC,客户信息底表!G:G,,0),IFERROR(_xlfn.XLOOKUP(D151,客户信息底表!BD:BD,客户信息底表!G:G,,0),"底表未登记")))))</f>
        <v/>
      </c>
      <c r="I151" t="str">
        <f>IF(D151="","","整："&amp;数据输入表!J154&amp;"，散："&amp;数据输入表!K154&amp;"；重量kg："&amp;数据输入表!L154&amp;"，体积："&amp;数据输入表!M154)</f>
        <v/>
      </c>
    </row>
    <row r="152" spans="1:9" x14ac:dyDescent="0.25">
      <c r="A152" t="str">
        <f t="shared" si="5"/>
        <v/>
      </c>
      <c r="C152" t="str">
        <f t="shared" si="4"/>
        <v/>
      </c>
      <c r="E152" t="str">
        <f>IF(D152="","",IFERROR(_xlfn.XLOOKUP(D152,客户信息底表!B:B,客户信息底表!Q:Q,,0),IFERROR(_xlfn.XLOOKUP(D152,客户信息底表!BB:BB,客户信息底表!Q:Q,,0),IFERROR(_xlfn.XLOOKUP(D152,客户信息底表!BC:BC,客户信息底表!Q:Q,,0),IFERROR(_xlfn.XLOOKUP(D152,客户信息底表!BD:BD,客户信息底表!Q:Q,,0),"底表未登记")))))</f>
        <v/>
      </c>
      <c r="G152" s="2" t="str">
        <f>IF(D152="","",IFERROR(_xlfn.XLOOKUP(D152,客户信息底表!B:B,客户信息底表!L:L,,0),IFERROR(_xlfn.XLOOKUP(D152,客户信息底表!BB:BB,客户信息底表!L:L,,0),IFERROR(_xlfn.XLOOKUP(D152,客户信息底表!BC:BC,客户信息底表!L:L,,0),IFERROR(_xlfn.XLOOKUP(D152,客户信息底表!BD:BD,客户信息底表!L:L,,0),"底表未登记")))))</f>
        <v/>
      </c>
      <c r="H152" t="str">
        <f>IF(D152="","",IFERROR(_xlfn.XLOOKUP(D152,客户信息底表!B:B,客户信息底表!G:G,,0),IFERROR(_xlfn.XLOOKUP(D152,客户信息底表!BB:BB,客户信息底表!G:G,,0),IFERROR(_xlfn.XLOOKUP(D152,客户信息底表!BC:BC,客户信息底表!G:G,,0),IFERROR(_xlfn.XLOOKUP(D152,客户信息底表!BD:BD,客户信息底表!G:G,,0),"底表未登记")))))</f>
        <v/>
      </c>
      <c r="I152" t="str">
        <f>IF(D152="","","整："&amp;数据输入表!J155&amp;"，散："&amp;数据输入表!K155&amp;"；重量kg："&amp;数据输入表!L155&amp;"，体积："&amp;数据输入表!M155)</f>
        <v/>
      </c>
    </row>
    <row r="153" spans="1:9" x14ac:dyDescent="0.25">
      <c r="A153" t="str">
        <f t="shared" si="5"/>
        <v/>
      </c>
      <c r="C153" t="str">
        <f t="shared" si="4"/>
        <v/>
      </c>
      <c r="E153" t="str">
        <f>IF(D153="","",IFERROR(_xlfn.XLOOKUP(D153,客户信息底表!B:B,客户信息底表!Q:Q,,0),IFERROR(_xlfn.XLOOKUP(D153,客户信息底表!BB:BB,客户信息底表!Q:Q,,0),IFERROR(_xlfn.XLOOKUP(D153,客户信息底表!BC:BC,客户信息底表!Q:Q,,0),IFERROR(_xlfn.XLOOKUP(D153,客户信息底表!BD:BD,客户信息底表!Q:Q,,0),"底表未登记")))))</f>
        <v/>
      </c>
      <c r="G153" s="2" t="str">
        <f>IF(D153="","",IFERROR(_xlfn.XLOOKUP(D153,客户信息底表!B:B,客户信息底表!L:L,,0),IFERROR(_xlfn.XLOOKUP(D153,客户信息底表!BB:BB,客户信息底表!L:L,,0),IFERROR(_xlfn.XLOOKUP(D153,客户信息底表!BC:BC,客户信息底表!L:L,,0),IFERROR(_xlfn.XLOOKUP(D153,客户信息底表!BD:BD,客户信息底表!L:L,,0),"底表未登记")))))</f>
        <v/>
      </c>
      <c r="H153" t="str">
        <f>IF(D153="","",IFERROR(_xlfn.XLOOKUP(D153,客户信息底表!B:B,客户信息底表!G:G,,0),IFERROR(_xlfn.XLOOKUP(D153,客户信息底表!BB:BB,客户信息底表!G:G,,0),IFERROR(_xlfn.XLOOKUP(D153,客户信息底表!BC:BC,客户信息底表!G:G,,0),IFERROR(_xlfn.XLOOKUP(D153,客户信息底表!BD:BD,客户信息底表!G:G,,0),"底表未登记")))))</f>
        <v/>
      </c>
      <c r="I153" t="str">
        <f>IF(D153="","","整："&amp;数据输入表!J156&amp;"，散："&amp;数据输入表!K156&amp;"；重量kg："&amp;数据输入表!L156&amp;"，体积："&amp;数据输入表!M156)</f>
        <v/>
      </c>
    </row>
    <row r="154" spans="1:9" x14ac:dyDescent="0.25">
      <c r="A154" t="str">
        <f t="shared" si="5"/>
        <v/>
      </c>
      <c r="C154" t="str">
        <f t="shared" si="4"/>
        <v/>
      </c>
      <c r="E154" t="str">
        <f>IF(D154="","",IFERROR(_xlfn.XLOOKUP(D154,客户信息底表!B:B,客户信息底表!Q:Q,,0),IFERROR(_xlfn.XLOOKUP(D154,客户信息底表!BB:BB,客户信息底表!Q:Q,,0),IFERROR(_xlfn.XLOOKUP(D154,客户信息底表!BC:BC,客户信息底表!Q:Q,,0),IFERROR(_xlfn.XLOOKUP(D154,客户信息底表!BD:BD,客户信息底表!Q:Q,,0),"底表未登记")))))</f>
        <v/>
      </c>
      <c r="G154" s="2" t="str">
        <f>IF(D154="","",IFERROR(_xlfn.XLOOKUP(D154,客户信息底表!B:B,客户信息底表!L:L,,0),IFERROR(_xlfn.XLOOKUP(D154,客户信息底表!BB:BB,客户信息底表!L:L,,0),IFERROR(_xlfn.XLOOKUP(D154,客户信息底表!BC:BC,客户信息底表!L:L,,0),IFERROR(_xlfn.XLOOKUP(D154,客户信息底表!BD:BD,客户信息底表!L:L,,0),"底表未登记")))))</f>
        <v/>
      </c>
      <c r="H154" t="str">
        <f>IF(D154="","",IFERROR(_xlfn.XLOOKUP(D154,客户信息底表!B:B,客户信息底表!G:G,,0),IFERROR(_xlfn.XLOOKUP(D154,客户信息底表!BB:BB,客户信息底表!G:G,,0),IFERROR(_xlfn.XLOOKUP(D154,客户信息底表!BC:BC,客户信息底表!G:G,,0),IFERROR(_xlfn.XLOOKUP(D154,客户信息底表!BD:BD,客户信息底表!G:G,,0),"底表未登记")))))</f>
        <v/>
      </c>
      <c r="I154" t="str">
        <f>IF(D154="","","整："&amp;数据输入表!J157&amp;"，散："&amp;数据输入表!K157&amp;"；重量kg："&amp;数据输入表!L157&amp;"，体积："&amp;数据输入表!M157)</f>
        <v/>
      </c>
    </row>
    <row r="155" spans="1:9" x14ac:dyDescent="0.25">
      <c r="A155" t="str">
        <f t="shared" si="5"/>
        <v/>
      </c>
      <c r="C155" t="str">
        <f t="shared" si="4"/>
        <v/>
      </c>
      <c r="E155" t="str">
        <f>IF(D155="","",IFERROR(_xlfn.XLOOKUP(D155,客户信息底表!B:B,客户信息底表!Q:Q,,0),IFERROR(_xlfn.XLOOKUP(D155,客户信息底表!BB:BB,客户信息底表!Q:Q,,0),IFERROR(_xlfn.XLOOKUP(D155,客户信息底表!BC:BC,客户信息底表!Q:Q,,0),IFERROR(_xlfn.XLOOKUP(D155,客户信息底表!BD:BD,客户信息底表!Q:Q,,0),"底表未登记")))))</f>
        <v/>
      </c>
      <c r="G155" s="2" t="str">
        <f>IF(D155="","",IFERROR(_xlfn.XLOOKUP(D155,客户信息底表!B:B,客户信息底表!L:L,,0),IFERROR(_xlfn.XLOOKUP(D155,客户信息底表!BB:BB,客户信息底表!L:L,,0),IFERROR(_xlfn.XLOOKUP(D155,客户信息底表!BC:BC,客户信息底表!L:L,,0),IFERROR(_xlfn.XLOOKUP(D155,客户信息底表!BD:BD,客户信息底表!L:L,,0),"底表未登记")))))</f>
        <v/>
      </c>
      <c r="H155" t="str">
        <f>IF(D155="","",IFERROR(_xlfn.XLOOKUP(D155,客户信息底表!B:B,客户信息底表!G:G,,0),IFERROR(_xlfn.XLOOKUP(D155,客户信息底表!BB:BB,客户信息底表!G:G,,0),IFERROR(_xlfn.XLOOKUP(D155,客户信息底表!BC:BC,客户信息底表!G:G,,0),IFERROR(_xlfn.XLOOKUP(D155,客户信息底表!BD:BD,客户信息底表!G:G,,0),"底表未登记")))))</f>
        <v/>
      </c>
      <c r="I155" t="str">
        <f>IF(D155="","","整："&amp;数据输入表!J158&amp;"，散："&amp;数据输入表!K158&amp;"；重量kg："&amp;数据输入表!L158&amp;"，体积："&amp;数据输入表!M158)</f>
        <v/>
      </c>
    </row>
    <row r="156" spans="1:9" x14ac:dyDescent="0.25">
      <c r="A156" t="str">
        <f t="shared" si="5"/>
        <v/>
      </c>
      <c r="C156" t="str">
        <f t="shared" si="4"/>
        <v/>
      </c>
      <c r="E156" t="str">
        <f>IF(D156="","",IFERROR(_xlfn.XLOOKUP(D156,客户信息底表!B:B,客户信息底表!Q:Q,,0),IFERROR(_xlfn.XLOOKUP(D156,客户信息底表!BB:BB,客户信息底表!Q:Q,,0),IFERROR(_xlfn.XLOOKUP(D156,客户信息底表!BC:BC,客户信息底表!Q:Q,,0),IFERROR(_xlfn.XLOOKUP(D156,客户信息底表!BD:BD,客户信息底表!Q:Q,,0),"底表未登记")))))</f>
        <v/>
      </c>
      <c r="G156" s="2" t="str">
        <f>IF(D156="","",IFERROR(_xlfn.XLOOKUP(D156,客户信息底表!B:B,客户信息底表!L:L,,0),IFERROR(_xlfn.XLOOKUP(D156,客户信息底表!BB:BB,客户信息底表!L:L,,0),IFERROR(_xlfn.XLOOKUP(D156,客户信息底表!BC:BC,客户信息底表!L:L,,0),IFERROR(_xlfn.XLOOKUP(D156,客户信息底表!BD:BD,客户信息底表!L:L,,0),"底表未登记")))))</f>
        <v/>
      </c>
      <c r="H156" t="str">
        <f>IF(D156="","",IFERROR(_xlfn.XLOOKUP(D156,客户信息底表!B:B,客户信息底表!G:G,,0),IFERROR(_xlfn.XLOOKUP(D156,客户信息底表!BB:BB,客户信息底表!G:G,,0),IFERROR(_xlfn.XLOOKUP(D156,客户信息底表!BC:BC,客户信息底表!G:G,,0),IFERROR(_xlfn.XLOOKUP(D156,客户信息底表!BD:BD,客户信息底表!G:G,,0),"底表未登记")))))</f>
        <v/>
      </c>
      <c r="I156" t="str">
        <f>IF(D156="","","整："&amp;数据输入表!J159&amp;"，散："&amp;数据输入表!K159&amp;"；重量kg："&amp;数据输入表!L159&amp;"，体积："&amp;数据输入表!M159)</f>
        <v/>
      </c>
    </row>
  </sheetData>
  <autoFilter ref="A1:Q1" xr:uid="{00000000-0001-0000-0000-000000000000}">
    <sortState xmlns:xlrd2="http://schemas.microsoft.com/office/spreadsheetml/2017/richdata2" ref="A2:Q9">
      <sortCondition ref="C1"/>
    </sortState>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CD8F-CBE6-4611-81D6-DDE209683B2C}">
  <dimension ref="A1:AY1"/>
  <sheetViews>
    <sheetView tabSelected="1" workbookViewId="0">
      <selection activeCell="C11" sqref="C11"/>
    </sheetView>
  </sheetViews>
  <sheetFormatPr defaultRowHeight="14" x14ac:dyDescent="0.25"/>
  <sheetData>
    <row r="1" spans="1:51" x14ac:dyDescent="0.25">
      <c r="A1" s="1" t="s">
        <v>5759</v>
      </c>
      <c r="B1" s="1" t="s">
        <v>5758</v>
      </c>
      <c r="C1" s="1" t="s">
        <v>5757</v>
      </c>
      <c r="D1" s="1" t="s">
        <v>37</v>
      </c>
      <c r="E1" s="1" t="s">
        <v>41</v>
      </c>
      <c r="F1" s="1" t="s">
        <v>5756</v>
      </c>
      <c r="G1" s="1" t="s">
        <v>5755</v>
      </c>
      <c r="H1" s="1" t="s">
        <v>5754</v>
      </c>
      <c r="I1" s="1" t="s">
        <v>47</v>
      </c>
      <c r="J1" s="1" t="s">
        <v>49</v>
      </c>
      <c r="K1" s="1" t="s">
        <v>38</v>
      </c>
      <c r="L1" s="1" t="s">
        <v>50</v>
      </c>
      <c r="M1" s="1" t="s">
        <v>54</v>
      </c>
      <c r="N1" s="1" t="s">
        <v>55</v>
      </c>
      <c r="O1" s="1" t="s">
        <v>56</v>
      </c>
      <c r="P1" s="1" t="s">
        <v>57</v>
      </c>
      <c r="Q1" s="1" t="s">
        <v>58</v>
      </c>
      <c r="R1" s="1" t="s">
        <v>5753</v>
      </c>
      <c r="S1" s="1" t="s">
        <v>5752</v>
      </c>
      <c r="T1" s="1" t="s">
        <v>43</v>
      </c>
      <c r="U1" s="1" t="s">
        <v>44</v>
      </c>
      <c r="V1" s="1" t="s">
        <v>45</v>
      </c>
      <c r="W1" s="1" t="s">
        <v>8</v>
      </c>
      <c r="X1" s="1" t="s">
        <v>9</v>
      </c>
      <c r="Y1" s="1" t="s">
        <v>5751</v>
      </c>
      <c r="Z1" s="1" t="s">
        <v>5750</v>
      </c>
      <c r="AA1" s="1" t="s">
        <v>5</v>
      </c>
      <c r="AB1" s="1" t="s">
        <v>5749</v>
      </c>
      <c r="AC1" s="1" t="s">
        <v>5748</v>
      </c>
      <c r="AD1" s="1" t="s">
        <v>5747</v>
      </c>
      <c r="AE1" s="1" t="s">
        <v>5746</v>
      </c>
      <c r="AF1" s="1" t="s">
        <v>5745</v>
      </c>
      <c r="AG1" s="1" t="s">
        <v>5744</v>
      </c>
      <c r="AH1" s="1" t="s">
        <v>5743</v>
      </c>
      <c r="AI1" s="1" t="s">
        <v>72</v>
      </c>
      <c r="AJ1" s="1" t="s">
        <v>73</v>
      </c>
      <c r="AK1" s="1" t="s">
        <v>74</v>
      </c>
      <c r="AL1" s="1" t="s">
        <v>75</v>
      </c>
      <c r="AM1" s="1" t="s">
        <v>5742</v>
      </c>
      <c r="AN1" s="1" t="s">
        <v>76</v>
      </c>
      <c r="AO1" s="1" t="s">
        <v>5741</v>
      </c>
      <c r="AP1" s="1" t="s">
        <v>5740</v>
      </c>
      <c r="AQ1" s="1" t="s">
        <v>5739</v>
      </c>
      <c r="AR1" s="1" t="s">
        <v>5738</v>
      </c>
      <c r="AS1" s="1" t="s">
        <v>5737</v>
      </c>
      <c r="AT1" s="1" t="s">
        <v>5736</v>
      </c>
      <c r="AU1" s="1" t="s">
        <v>5735</v>
      </c>
      <c r="AV1" s="1" t="s">
        <v>5734</v>
      </c>
      <c r="AW1" s="1" t="s">
        <v>5733</v>
      </c>
      <c r="AX1" s="1" t="s">
        <v>5732</v>
      </c>
      <c r="AY1" s="1" t="s">
        <v>5731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247-8202-4313-BDFC-02C8D9A82FE2}">
  <dimension ref="A1:X1"/>
  <sheetViews>
    <sheetView workbookViewId="0">
      <selection activeCell="A2" sqref="A2:XFD4"/>
    </sheetView>
  </sheetViews>
  <sheetFormatPr defaultRowHeight="14" x14ac:dyDescent="0.25"/>
  <sheetData>
    <row r="1" spans="1:24" x14ac:dyDescent="0.25">
      <c r="A1" s="1" t="s">
        <v>5778</v>
      </c>
      <c r="B1" s="1" t="s">
        <v>5759</v>
      </c>
      <c r="C1" s="1" t="s">
        <v>5758</v>
      </c>
      <c r="D1" s="1" t="s">
        <v>5777</v>
      </c>
      <c r="E1" s="1" t="s">
        <v>5776</v>
      </c>
      <c r="F1" s="1" t="s">
        <v>5775</v>
      </c>
      <c r="G1" s="1" t="s">
        <v>5774</v>
      </c>
      <c r="H1" s="1" t="s">
        <v>5773</v>
      </c>
      <c r="I1" s="1" t="s">
        <v>5772</v>
      </c>
      <c r="J1" s="1" t="s">
        <v>5771</v>
      </c>
      <c r="K1" s="1" t="s">
        <v>5770</v>
      </c>
      <c r="L1" s="1" t="s">
        <v>5769</v>
      </c>
      <c r="M1" s="1" t="s">
        <v>5754</v>
      </c>
      <c r="N1" s="1" t="s">
        <v>49</v>
      </c>
      <c r="O1" s="1" t="s">
        <v>47</v>
      </c>
      <c r="P1" s="1" t="s">
        <v>5768</v>
      </c>
      <c r="Q1" s="1" t="s">
        <v>5767</v>
      </c>
      <c r="R1" s="1" t="s">
        <v>5766</v>
      </c>
      <c r="S1" s="1" t="s">
        <v>5765</v>
      </c>
      <c r="T1" s="1" t="s">
        <v>5764</v>
      </c>
      <c r="U1" s="1" t="s">
        <v>5763</v>
      </c>
      <c r="V1" s="1" t="s">
        <v>5762</v>
      </c>
      <c r="W1" s="1" t="s">
        <v>5761</v>
      </c>
      <c r="X1" s="1" t="s">
        <v>5760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4DB75-09B7-47D7-9C36-4A3CBCA869B6}">
  <dimension ref="A1:AG1"/>
  <sheetViews>
    <sheetView workbookViewId="0">
      <selection activeCell="H21" sqref="H21"/>
    </sheetView>
  </sheetViews>
  <sheetFormatPr defaultRowHeight="14" x14ac:dyDescent="0.25"/>
  <sheetData>
    <row r="1" spans="1:33" x14ac:dyDescent="0.25">
      <c r="A1" s="1" t="s">
        <v>5778</v>
      </c>
      <c r="B1" s="1" t="s">
        <v>5810</v>
      </c>
      <c r="C1" s="1" t="s">
        <v>5809</v>
      </c>
      <c r="D1" s="1" t="s">
        <v>5808</v>
      </c>
      <c r="E1" s="1" t="s">
        <v>5807</v>
      </c>
      <c r="F1" s="1" t="s">
        <v>5806</v>
      </c>
      <c r="G1" s="1" t="s">
        <v>5805</v>
      </c>
      <c r="H1" s="1" t="s">
        <v>5804</v>
      </c>
      <c r="I1" s="1" t="s">
        <v>5803</v>
      </c>
      <c r="J1" s="1" t="s">
        <v>5802</v>
      </c>
      <c r="K1" s="1" t="s">
        <v>5801</v>
      </c>
      <c r="L1" s="1" t="s">
        <v>5800</v>
      </c>
      <c r="M1" s="1" t="s">
        <v>5799</v>
      </c>
      <c r="N1" s="1" t="s">
        <v>5798</v>
      </c>
      <c r="O1" s="1" t="s">
        <v>5797</v>
      </c>
      <c r="P1" s="1" t="s">
        <v>5796</v>
      </c>
      <c r="Q1" s="1" t="s">
        <v>5795</v>
      </c>
      <c r="R1" s="1" t="s">
        <v>5794</v>
      </c>
      <c r="S1" s="1" t="s">
        <v>5793</v>
      </c>
      <c r="T1" s="1" t="s">
        <v>5792</v>
      </c>
      <c r="U1" s="1" t="s">
        <v>5791</v>
      </c>
      <c r="V1" s="1" t="s">
        <v>5790</v>
      </c>
      <c r="W1" s="1" t="s">
        <v>5789</v>
      </c>
      <c r="X1" s="1" t="s">
        <v>5788</v>
      </c>
      <c r="Y1" s="1" t="s">
        <v>5787</v>
      </c>
      <c r="Z1" s="1" t="s">
        <v>5786</v>
      </c>
      <c r="AA1" s="1" t="s">
        <v>5785</v>
      </c>
      <c r="AB1" s="1" t="s">
        <v>5784</v>
      </c>
      <c r="AC1" s="1" t="s">
        <v>5783</v>
      </c>
      <c r="AD1" s="1" t="s">
        <v>5782</v>
      </c>
      <c r="AE1" s="1" t="s">
        <v>5781</v>
      </c>
      <c r="AF1" s="1" t="s">
        <v>5780</v>
      </c>
      <c r="AG1" s="1" t="s">
        <v>5779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2E8C-FA8B-48BB-A6DE-4364B17EE02E}">
  <dimension ref="A1:M49"/>
  <sheetViews>
    <sheetView zoomScale="85" zoomScaleNormal="85" workbookViewId="0">
      <selection activeCell="B22" sqref="B22"/>
    </sheetView>
  </sheetViews>
  <sheetFormatPr defaultColWidth="9.08984375" defaultRowHeight="14" x14ac:dyDescent="0.25"/>
  <cols>
    <col min="1" max="1" width="28.81640625" style="15" customWidth="1"/>
    <col min="2" max="2" width="27" style="15" customWidth="1"/>
    <col min="3" max="3" width="9.90625" style="15" customWidth="1"/>
    <col min="4" max="4" width="13.6328125" style="15" customWidth="1"/>
    <col min="5" max="5" width="12.08984375" style="15" customWidth="1"/>
    <col min="6" max="6" width="8" style="15" customWidth="1"/>
    <col min="7" max="7" width="9.08984375" style="15"/>
    <col min="8" max="8" width="38" style="15" customWidth="1"/>
    <col min="9" max="9" width="44.54296875" style="13" customWidth="1"/>
    <col min="10" max="10" width="17.36328125" style="15" customWidth="1"/>
    <col min="11" max="16384" width="9.08984375" style="15"/>
  </cols>
  <sheetData>
    <row r="1" spans="1:13" ht="18" thickBot="1" x14ac:dyDescent="0.3">
      <c r="A1" s="30" t="s">
        <v>5715</v>
      </c>
      <c r="B1" s="31" t="s">
        <v>33</v>
      </c>
    </row>
    <row r="2" spans="1:13" ht="16.5" x14ac:dyDescent="0.25">
      <c r="A2" s="40" t="s">
        <v>5716</v>
      </c>
      <c r="B2" s="41"/>
      <c r="C2" s="42"/>
      <c r="D2" s="42"/>
      <c r="E2" s="42"/>
      <c r="F2" s="43"/>
      <c r="H2" s="44" t="s">
        <v>5685</v>
      </c>
      <c r="I2" s="45"/>
      <c r="J2" s="46"/>
      <c r="K2" s="46"/>
      <c r="L2" s="46"/>
      <c r="M2" s="47"/>
    </row>
    <row r="3" spans="1:13" ht="16.5" x14ac:dyDescent="0.25">
      <c r="A3" s="32" t="s">
        <v>5686</v>
      </c>
      <c r="B3" s="33" t="s">
        <v>5687</v>
      </c>
      <c r="C3" s="48" t="s">
        <v>5688</v>
      </c>
      <c r="D3" s="49"/>
      <c r="E3" s="49"/>
      <c r="F3" s="50"/>
      <c r="H3" s="16" t="s">
        <v>5686</v>
      </c>
      <c r="I3" s="26" t="s">
        <v>5687</v>
      </c>
      <c r="J3" s="51" t="s">
        <v>5688</v>
      </c>
      <c r="K3" s="52"/>
      <c r="L3" s="52"/>
      <c r="M3" s="53"/>
    </row>
    <row r="4" spans="1:13" ht="17" thickBot="1" x14ac:dyDescent="0.3">
      <c r="A4" s="34" t="s">
        <v>5689</v>
      </c>
      <c r="B4" s="35" t="s">
        <v>5690</v>
      </c>
      <c r="C4" s="36" t="s">
        <v>5691</v>
      </c>
      <c r="D4" s="37" t="s">
        <v>5692</v>
      </c>
      <c r="E4" s="38" t="s">
        <v>5693</v>
      </c>
      <c r="F4" s="39" t="s">
        <v>5694</v>
      </c>
      <c r="G4" s="18"/>
      <c r="H4" s="17" t="s">
        <v>5695</v>
      </c>
      <c r="I4" s="27"/>
      <c r="J4" s="19" t="s">
        <v>5696</v>
      </c>
      <c r="K4" s="19" t="s">
        <v>5697</v>
      </c>
      <c r="L4" s="19" t="s">
        <v>5693</v>
      </c>
      <c r="M4" s="20" t="s">
        <v>5694</v>
      </c>
    </row>
    <row r="5" spans="1:13" ht="28" x14ac:dyDescent="0.25">
      <c r="A5" s="28" t="s">
        <v>5714</v>
      </c>
      <c r="B5" s="22" t="s">
        <v>5698</v>
      </c>
      <c r="C5" s="21">
        <v>3</v>
      </c>
      <c r="D5" s="21">
        <v>39</v>
      </c>
      <c r="E5" s="23">
        <v>2.4900000000000002</v>
      </c>
      <c r="F5" s="23">
        <v>0.01</v>
      </c>
      <c r="H5" s="24" t="str" cm="1">
        <f t="array" ref="H5:H16">_xlfn.UNIQUE(_xlfn._xlws.FILTER(SUBSTITUTE(SUBSTITUTE(A5:A10003,CHAR(13),""),CHAR(10),""),SUBSTITUTE(SUBSTITUTE(A5:A10003,CHAR(13),""),CHAR(10),"")&lt;&gt;""))</f>
        <v>熊猫很忙（夏园店-广东广州）（直营）</v>
      </c>
      <c r="I5" s="29" t="str" cm="1">
        <f t="array" ref="I5">IF(H5="","",_xlfn.XLOOKUP(H5,TRIM(SUBSTITUTE(SUBSTITUTE(A5:A10001,CHAR(13),""),CHAR(10),"")),B5:B10001,"报错",0))</f>
        <v>广东省广州市黄埔区夏港街道临江路3号自编
102房熊猫很忙6688</v>
      </c>
      <c r="J5" s="24" cm="1">
        <f t="array" ref="J5">IF(H5="","",SUMPRODUCT((TRIM(SUBSTITUTE(SUBSTITUTE($A$5:$A$10003,CHAR(13),""),CHAR(10),""))=H5)*--$C$5:$C$10003))</f>
        <v>3</v>
      </c>
      <c r="K5" s="24" cm="1">
        <f t="array" ref="K5">IF(H5="","",SUMPRODUCT((TRIM(SUBSTITUTE(SUBSTITUTE($A$5:$A$10003,CHAR(13),""),CHAR(10),""))=H5)*--$D$5:$D$10003))</f>
        <v>39</v>
      </c>
      <c r="L5" s="24" cm="1">
        <f t="array" ref="L5">IF(H5="","",SUMPRODUCT((TRIM(SUBSTITUTE(SUBSTITUTE($A$5:$A$10003,CHAR(13),""),CHAR(10),""))=H5)*IFERROR(--$D$5:$D$10003,0)))</f>
        <v>39</v>
      </c>
      <c r="M5" s="24" cm="1">
        <f t="array" ref="M5">IF(H5="","",SUMPRODUCT((TRIM(SUBSTITUTE(SUBSTITUTE($A$5:$A$10003,CHAR(13),""),CHAR(10),""))=H5)*IFERROR(--$F$5:$F$10003,0)))</f>
        <v>0.01</v>
      </c>
    </row>
    <row r="6" spans="1:13" ht="28" x14ac:dyDescent="0.25">
      <c r="A6" s="23" t="s">
        <v>5699</v>
      </c>
      <c r="B6" s="22" t="s">
        <v>5700</v>
      </c>
      <c r="C6" s="23">
        <v>11</v>
      </c>
      <c r="D6" s="23">
        <v>190</v>
      </c>
      <c r="E6" s="23">
        <v>14.85</v>
      </c>
      <c r="F6" s="23">
        <v>0.03</v>
      </c>
      <c r="H6" s="25" t="str">
        <v>鲸选超市（广州板桥店)</v>
      </c>
      <c r="I6" s="29" t="str" cm="1">
        <f t="array" ref="I6">IF(H6="","",_xlfn.XLOOKUP(H6,TRIM(SUBSTITUTE(SUBSTITUTE(A6:A10002,CHAR(13),""),CHAR(10),"")),B6:B10002,"报错",0))</f>
        <v>广东省广州市番禺区南村镇南村镇兴南大道
902号板桥商务大厦3楼315号</v>
      </c>
      <c r="J6" s="24" cm="1">
        <f t="array" ref="J6">IF(H6="","",SUMPRODUCT((TRIM(SUBSTITUTE(SUBSTITUTE($A$5:$A$10003,CHAR(13),""),CHAR(10),""))=H6)*--$C$5:$C$10003))</f>
        <v>11</v>
      </c>
      <c r="K6" s="24" cm="1">
        <f t="array" ref="K6">IF(H6="","",SUMPRODUCT((TRIM(SUBSTITUTE(SUBSTITUTE($A$5:$A$10003,CHAR(13),""),CHAR(10),""))=H6)*--$D$5:$D$10003))</f>
        <v>190</v>
      </c>
      <c r="L6" s="24" cm="1">
        <f t="array" ref="L6">IF(H6="","",SUMPRODUCT((TRIM(SUBSTITUTE(SUBSTITUTE($A$5:$A$10003,CHAR(13),""),CHAR(10),""))=H6)*IFERROR(--$D$5:$D$10003,0)))</f>
        <v>190</v>
      </c>
      <c r="M6" s="24" cm="1">
        <f t="array" ref="M6">IF(H6="","",SUMPRODUCT((TRIM(SUBSTITUTE(SUBSTITUTE($A$5:$A$10003,CHAR(13),""),CHAR(10),""))=H6)*IFERROR(--$F$5:$F$10003,0)))</f>
        <v>0.03</v>
      </c>
    </row>
    <row r="7" spans="1:13" ht="28" x14ac:dyDescent="0.25">
      <c r="A7" s="23" t="s">
        <v>5701</v>
      </c>
      <c r="B7" s="22" t="s">
        <v>5702</v>
      </c>
      <c r="C7" s="23">
        <v>4</v>
      </c>
      <c r="D7" s="23">
        <v>110</v>
      </c>
      <c r="E7" s="23">
        <v>8.2799999999999994</v>
      </c>
      <c r="F7" s="23">
        <v>0.01</v>
      </c>
      <c r="H7" s="25" t="str">
        <v>鲸选超市（广州番禺店)</v>
      </c>
      <c r="I7" s="29" t="str" cm="1">
        <f t="array" ref="I7">IF(H7="","",_xlfn.XLOOKUP(H7,TRIM(SUBSTITUTE(SUBSTITUTE(A7:A10003,CHAR(13),""),CHAR(10),"")),B7:B10003,"报错",0))</f>
        <v>广东省广州市番禺区南村镇南村镇敏捷上城国
际【2期2座112店铺2楼京东便利店仓库】</v>
      </c>
      <c r="J7" s="24" cm="1">
        <f t="array" ref="J7">IF(H7="","",SUMPRODUCT((TRIM(SUBSTITUTE(SUBSTITUTE($A$5:$A$10003,CHAR(13),""),CHAR(10),""))=H7)*--$C$5:$C$10003))</f>
        <v>4</v>
      </c>
      <c r="K7" s="24" cm="1">
        <f t="array" ref="K7">IF(H7="","",SUMPRODUCT((TRIM(SUBSTITUTE(SUBSTITUTE($A$5:$A$10003,CHAR(13),""),CHAR(10),""))=H7)*--$D$5:$D$10003))</f>
        <v>110</v>
      </c>
      <c r="L7" s="24" cm="1">
        <f t="array" ref="L7">IF(H7="","",SUMPRODUCT((TRIM(SUBSTITUTE(SUBSTITUTE($A$5:$A$10003,CHAR(13),""),CHAR(10),""))=H7)*IFERROR(--$D$5:$D$10003,0)))</f>
        <v>110</v>
      </c>
      <c r="M7" s="24" cm="1">
        <f t="array" ref="M7">IF(H7="","",SUMPRODUCT((TRIM(SUBSTITUTE(SUBSTITUTE($A$5:$A$10003,CHAR(13),""),CHAR(10),""))=H7)*IFERROR(--$F$5:$F$10003,0)))</f>
        <v>0.01</v>
      </c>
    </row>
    <row r="8" spans="1:13" ht="28" x14ac:dyDescent="0.25">
      <c r="A8" s="23" t="s">
        <v>3944</v>
      </c>
      <c r="B8" s="22" t="s">
        <v>5703</v>
      </c>
      <c r="C8" s="23">
        <v>6</v>
      </c>
      <c r="D8" s="23">
        <v>107</v>
      </c>
      <c r="E8" s="23">
        <v>20.02</v>
      </c>
      <c r="F8" s="23">
        <v>0.05</v>
      </c>
      <c r="H8" s="25" t="str">
        <v>时光里便利超市（广州番禺万博店）</v>
      </c>
      <c r="I8" s="29" t="str" cm="1">
        <f t="array" ref="I8">IF(H8="","",_xlfn.XLOOKUP(H8,TRIM(SUBSTITUTE(SUBSTITUTE(A8:A10004,CHAR(13),""),CHAR(10),"")),B8:B10004,"报错",0))</f>
        <v>广东省广州市番禺区南村镇南村镇登云大路
2号之六105房</v>
      </c>
      <c r="J8" s="24" cm="1">
        <f t="array" ref="J8">IF(H8="","",SUMPRODUCT((TRIM(SUBSTITUTE(SUBSTITUTE($A$5:$A$10003,CHAR(13),""),CHAR(10),""))=H8)*--$C$5:$C$10003))</f>
        <v>6</v>
      </c>
      <c r="K8" s="24" cm="1">
        <f t="array" ref="K8">IF(H8="","",SUMPRODUCT((TRIM(SUBSTITUTE(SUBSTITUTE($A$5:$A$10003,CHAR(13),""),CHAR(10),""))=H8)*--$D$5:$D$10003))</f>
        <v>107</v>
      </c>
      <c r="L8" s="24" cm="1">
        <f t="array" ref="L8">IF(H8="","",SUMPRODUCT((TRIM(SUBSTITUTE(SUBSTITUTE($A$5:$A$10003,CHAR(13),""),CHAR(10),""))=H8)*IFERROR(--$D$5:$D$10003,0)))</f>
        <v>107</v>
      </c>
      <c r="M8" s="24" cm="1">
        <f t="array" ref="M8">IF(H8="","",SUMPRODUCT((TRIM(SUBSTITUTE(SUBSTITUTE($A$5:$A$10003,CHAR(13),""),CHAR(10),""))=H8)*IFERROR(--$F$5:$F$10003,0)))</f>
        <v>0.05</v>
      </c>
    </row>
    <row r="9" spans="1:13" ht="28" x14ac:dyDescent="0.25">
      <c r="A9" s="23" t="s">
        <v>2899</v>
      </c>
      <c r="B9" s="22" t="s">
        <v>5704</v>
      </c>
      <c r="C9" s="23">
        <v>2</v>
      </c>
      <c r="D9" s="23">
        <v>125</v>
      </c>
      <c r="E9" s="23">
        <v>4.57</v>
      </c>
      <c r="F9" s="23">
        <v>0.01</v>
      </c>
      <c r="H9" s="25" t="str">
        <v>熊猫很忙（大石店-广东广州）</v>
      </c>
      <c r="I9" s="29" t="str" cm="1">
        <f t="array" ref="I9">IF(H9="","",_xlfn.XLOOKUP(H9,TRIM(SUBSTITUTE(SUBSTITUTE(A9:A10005,CHAR(13),""),CHAR(10),"")),B9:B10005,"报错",0))</f>
        <v>广东省广州市番禺区大石街道大石街大山村富
山路四街1号胜文工业园2栋1楼103室</v>
      </c>
      <c r="J9" s="24" cm="1">
        <f t="array" ref="J9">IF(H9="","",SUMPRODUCT((TRIM(SUBSTITUTE(SUBSTITUTE($A$5:$A$10003,CHAR(13),""),CHAR(10),""))=H9)*--$C$5:$C$10003))</f>
        <v>2</v>
      </c>
      <c r="K9" s="24" cm="1">
        <f t="array" ref="K9">IF(H9="","",SUMPRODUCT((TRIM(SUBSTITUTE(SUBSTITUTE($A$5:$A$10003,CHAR(13),""),CHAR(10),""))=H9)*--$D$5:$D$10003))</f>
        <v>125</v>
      </c>
      <c r="L9" s="24" cm="1">
        <f t="array" ref="L9">IF(H9="","",SUMPRODUCT((TRIM(SUBSTITUTE(SUBSTITUTE($A$5:$A$10003,CHAR(13),""),CHAR(10),""))=H9)*IFERROR(--$D$5:$D$10003,0)))</f>
        <v>125</v>
      </c>
      <c r="M9" s="24" cm="1">
        <f t="array" ref="M9">IF(H9="","",SUMPRODUCT((TRIM(SUBSTITUTE(SUBSTITUTE($A$5:$A$10003,CHAR(13),""),CHAR(10),""))=H9)*IFERROR(--$F$5:$F$10003,0)))</f>
        <v>0.01</v>
      </c>
    </row>
    <row r="10" spans="1:13" ht="42" x14ac:dyDescent="0.25">
      <c r="A10" s="23" t="s">
        <v>3925</v>
      </c>
      <c r="B10" s="22" t="s">
        <v>5705</v>
      </c>
      <c r="C10" s="23">
        <v>3</v>
      </c>
      <c r="D10" s="23">
        <v>60</v>
      </c>
      <c r="E10" s="23">
        <v>5.18</v>
      </c>
      <c r="F10" s="23">
        <v>0.01</v>
      </c>
      <c r="H10" s="25" t="str">
        <v>值小团（广州大石店）</v>
      </c>
      <c r="I10" s="29" t="str" cm="1">
        <f t="array" ref="I10">IF(H10="","",_xlfn.XLOOKUP(H10,TRIM(SUBSTITUTE(SUBSTITUTE(A10:A10006,CHAR(13),""),CHAR(10),"")),B10:B10006,"报错",0))</f>
        <v>广东省广州市番禺区大石街道大石街道大石镇
朝阳东路170号201房值小团超市（原玲丰服饰
)</v>
      </c>
      <c r="J10" s="24" cm="1">
        <f t="array" ref="J10">IF(H10="","",SUMPRODUCT((TRIM(SUBSTITUTE(SUBSTITUTE($A$5:$A$10003,CHAR(13),""),CHAR(10),""))=H10)*--$C$5:$C$10003))</f>
        <v>3</v>
      </c>
      <c r="K10" s="24" cm="1">
        <f t="array" ref="K10">IF(H10="","",SUMPRODUCT((TRIM(SUBSTITUTE(SUBSTITUTE($A$5:$A$10003,CHAR(13),""),CHAR(10),""))=H10)*--$D$5:$D$10003))</f>
        <v>60</v>
      </c>
      <c r="L10" s="24" cm="1">
        <f t="array" ref="L10">IF(H10="","",SUMPRODUCT((TRIM(SUBSTITUTE(SUBSTITUTE($A$5:$A$10003,CHAR(13),""),CHAR(10),""))=H10)*IFERROR(--$D$5:$D$10003,0)))</f>
        <v>60</v>
      </c>
      <c r="M10" s="24" cm="1">
        <f t="array" ref="M10">IF(H10="","",SUMPRODUCT((TRIM(SUBSTITUTE(SUBSTITUTE($A$5:$A$10003,CHAR(13),""),CHAR(10),""))=H10)*IFERROR(--$F$5:$F$10003,0)))</f>
        <v>0.01</v>
      </c>
    </row>
    <row r="11" spans="1:13" ht="28" x14ac:dyDescent="0.25">
      <c r="A11" s="23" t="s">
        <v>5706</v>
      </c>
      <c r="B11" s="22" t="s">
        <v>5707</v>
      </c>
      <c r="C11" s="23">
        <v>9</v>
      </c>
      <c r="D11" s="23">
        <v>207</v>
      </c>
      <c r="E11" s="23">
        <v>15.23</v>
      </c>
      <c r="F11" s="23">
        <v>0.03</v>
      </c>
      <c r="H11" s="25" t="str">
        <v>鲸选超市（广州大石店)</v>
      </c>
      <c r="I11" s="29" t="str" cm="1">
        <f t="array" ref="I11">IF(H11="","",_xlfn.XLOOKUP(H11,TRIM(SUBSTITUTE(SUBSTITUTE(A11:A10007,CHAR(13),""),CHAR(10),"")),B11:B10007,"报错",0))</f>
        <v>广东省广州市番禺区大石街道大石街道大涌路
157号大石伟讯电子数码城4楼421铺</v>
      </c>
      <c r="J11" s="24" cm="1">
        <f t="array" ref="J11">IF(H11="","",SUMPRODUCT((TRIM(SUBSTITUTE(SUBSTITUTE($A$5:$A$10003,CHAR(13),""),CHAR(10),""))=H11)*--$C$5:$C$10003))</f>
        <v>9</v>
      </c>
      <c r="K11" s="24" cm="1">
        <f t="array" ref="K11">IF(H11="","",SUMPRODUCT((TRIM(SUBSTITUTE(SUBSTITUTE($A$5:$A$10003,CHAR(13),""),CHAR(10),""))=H11)*--$D$5:$D$10003))</f>
        <v>207</v>
      </c>
      <c r="L11" s="24" cm="1">
        <f t="array" ref="L11">IF(H11="","",SUMPRODUCT((TRIM(SUBSTITUTE(SUBSTITUTE($A$5:$A$10003,CHAR(13),""),CHAR(10),""))=H11)*IFERROR(--$D$5:$D$10003,0)))</f>
        <v>207</v>
      </c>
      <c r="M11" s="24" cm="1">
        <f t="array" ref="M11">IF(H11="","",SUMPRODUCT((TRIM(SUBSTITUTE(SUBSTITUTE($A$5:$A$10003,CHAR(13),""),CHAR(10),""))=H11)*IFERROR(--$F$5:$F$10003,0)))</f>
        <v>0.03</v>
      </c>
    </row>
    <row r="12" spans="1:13" ht="28" x14ac:dyDescent="0.25">
      <c r="A12" s="23" t="s">
        <v>4814</v>
      </c>
      <c r="B12" s="22" t="s">
        <v>5708</v>
      </c>
      <c r="C12" s="23">
        <v>6</v>
      </c>
      <c r="D12" s="23">
        <v>102</v>
      </c>
      <c r="E12" s="23">
        <v>6.15</v>
      </c>
      <c r="F12" s="23">
        <v>0.01</v>
      </c>
      <c r="H12" s="25" t="str">
        <v>熊猫很忙（鹤洞店-广东广州）（直营）</v>
      </c>
      <c r="I12" s="29" t="str" cm="1">
        <f t="array" ref="I12">IF(H12="","",_xlfn.XLOOKUP(H12,TRIM(SUBSTITUTE(SUBSTITUTE(A12:A10008,CHAR(13),""),CHAR(10),"")),B12:B10008,"报错",0))</f>
        <v>广东省广州市荔湾区白鹤洞街道鹤洞路346号
218室2楼送货上门6688不放驿站</v>
      </c>
      <c r="J12" s="24" cm="1">
        <f t="array" ref="J12">IF(H12="","",SUMPRODUCT((TRIM(SUBSTITUTE(SUBSTITUTE($A$5:$A$10003,CHAR(13),""),CHAR(10),""))=H12)*--$C$5:$C$10003))</f>
        <v>6</v>
      </c>
      <c r="K12" s="24" cm="1">
        <f t="array" ref="K12">IF(H12="","",SUMPRODUCT((TRIM(SUBSTITUTE(SUBSTITUTE($A$5:$A$10003,CHAR(13),""),CHAR(10),""))=H12)*--$D$5:$D$10003))</f>
        <v>102</v>
      </c>
      <c r="L12" s="24" cm="1">
        <f t="array" ref="L12">IF(H12="","",SUMPRODUCT((TRIM(SUBSTITUTE(SUBSTITUTE($A$5:$A$10003,CHAR(13),""),CHAR(10),""))=H12)*IFERROR(--$D$5:$D$10003,0)))</f>
        <v>102</v>
      </c>
      <c r="M12" s="24" cm="1">
        <f t="array" ref="M12">IF(H12="","",SUMPRODUCT((TRIM(SUBSTITUTE(SUBSTITUTE($A$5:$A$10003,CHAR(13),""),CHAR(10),""))=H12)*IFERROR(--$F$5:$F$10003,0)))</f>
        <v>0.01</v>
      </c>
    </row>
    <row r="13" spans="1:13" ht="28" x14ac:dyDescent="0.25">
      <c r="A13" s="23" t="s">
        <v>3911</v>
      </c>
      <c r="B13" s="22" t="s">
        <v>5709</v>
      </c>
      <c r="C13" s="23">
        <v>7</v>
      </c>
      <c r="D13" s="23">
        <v>114</v>
      </c>
      <c r="E13" s="23">
        <v>12.6</v>
      </c>
      <c r="F13" s="23">
        <v>0.03</v>
      </c>
      <c r="H13" s="25" t="str">
        <v>值小团（广州芳村店）</v>
      </c>
      <c r="I13" s="29" t="str" cm="1">
        <f t="array" ref="I13">IF(H13="","",_xlfn.XLOOKUP(H13,TRIM(SUBSTITUTE(SUBSTITUTE(A13:A10009,CHAR(13),""),CHAR(10),"")),B13:B10009,"报错",0))</f>
        <v>广东省广州市荔湾区白鹤洞街道坑口大街 138
号红岗工业区1 号首层 101、102 室</v>
      </c>
      <c r="J13" s="24" cm="1">
        <f t="array" ref="J13">IF(H13="","",SUMPRODUCT((TRIM(SUBSTITUTE(SUBSTITUTE($A$5:$A$10003,CHAR(13),""),CHAR(10),""))=H13)*--$C$5:$C$10003))</f>
        <v>7</v>
      </c>
      <c r="K13" s="24" cm="1">
        <f t="array" ref="K13">IF(H13="","",SUMPRODUCT((TRIM(SUBSTITUTE(SUBSTITUTE($A$5:$A$10003,CHAR(13),""),CHAR(10),""))=H13)*--$D$5:$D$10003))</f>
        <v>114</v>
      </c>
      <c r="L13" s="24" cm="1">
        <f t="array" ref="L13">IF(H13="","",SUMPRODUCT((TRIM(SUBSTITUTE(SUBSTITUTE($A$5:$A$10003,CHAR(13),""),CHAR(10),""))=H13)*IFERROR(--$D$5:$D$10003,0)))</f>
        <v>114</v>
      </c>
      <c r="M13" s="24" cm="1">
        <f t="array" ref="M13">IF(H13="","",SUMPRODUCT((TRIM(SUBSTITUTE(SUBSTITUTE($A$5:$A$10003,CHAR(13),""),CHAR(10),""))=H13)*IFERROR(--$F$5:$F$10003,0)))</f>
        <v>0.03</v>
      </c>
    </row>
    <row r="14" spans="1:13" ht="28" x14ac:dyDescent="0.25">
      <c r="A14" s="23" t="s">
        <v>5710</v>
      </c>
      <c r="B14" s="22" t="s">
        <v>5711</v>
      </c>
      <c r="C14" s="23">
        <v>6</v>
      </c>
      <c r="D14" s="23">
        <v>162</v>
      </c>
      <c r="E14" s="23">
        <v>11.57</v>
      </c>
      <c r="F14" s="23">
        <v>0.02</v>
      </c>
      <c r="H14" s="25" t="str">
        <v>鲸选超市（广州芳村店)</v>
      </c>
      <c r="I14" s="29" t="str" cm="1">
        <f t="array" ref="I14">IF(H14="","",_xlfn.XLOOKUP(H14,TRIM(SUBSTITUTE(SUBSTITUTE(A14:A10010,CHAR(13),""),CHAR(10),"")),B14:B10010,"报错",0))</f>
        <v>广东省广州市荔湾区冲口街道花溪路3号 坑口
工业区1栋2楼215鲸选超市里面(有电梯)</v>
      </c>
      <c r="J14" s="24" cm="1">
        <f t="array" ref="J14">IF(H14="","",SUMPRODUCT((TRIM(SUBSTITUTE(SUBSTITUTE($A$5:$A$10003,CHAR(13),""),CHAR(10),""))=H14)*--$C$5:$C$10003))</f>
        <v>6</v>
      </c>
      <c r="K14" s="24" cm="1">
        <f t="array" ref="K14">IF(H14="","",SUMPRODUCT((TRIM(SUBSTITUTE(SUBSTITUTE($A$5:$A$10003,CHAR(13),""),CHAR(10),""))=H14)*--$D$5:$D$10003))</f>
        <v>162</v>
      </c>
      <c r="L14" s="24" cm="1">
        <f t="array" ref="L14">IF(H14="","",SUMPRODUCT((TRIM(SUBSTITUTE(SUBSTITUTE($A$5:$A$10003,CHAR(13),""),CHAR(10),""))=H14)*IFERROR(--$D$5:$D$10003,0)))</f>
        <v>162</v>
      </c>
      <c r="M14" s="24" cm="1">
        <f t="array" ref="M14">IF(H14="","",SUMPRODUCT((TRIM(SUBSTITUTE(SUBSTITUTE($A$5:$A$10003,CHAR(13),""),CHAR(10),""))=H14)*IFERROR(--$F$5:$F$10003,0)))</f>
        <v>0.02</v>
      </c>
    </row>
    <row r="15" spans="1:13" ht="28" x14ac:dyDescent="0.25">
      <c r="A15" s="23" t="s">
        <v>4399</v>
      </c>
      <c r="B15" s="22" t="s">
        <v>5712</v>
      </c>
      <c r="C15" s="23">
        <v>8</v>
      </c>
      <c r="D15" s="23">
        <v>56</v>
      </c>
      <c r="E15" s="23">
        <v>50.61</v>
      </c>
      <c r="F15" s="23">
        <v>0.1</v>
      </c>
      <c r="H15" s="25" t="str">
        <v>畅盈到家超市（广州海珠店）</v>
      </c>
      <c r="I15" s="29" t="str" cm="1">
        <f t="array" ref="I15">IF(H15="","",_xlfn.XLOOKUP(H15,TRIM(SUBSTITUTE(SUBSTITUTE(A15:A10011,CHAR(13),""),CHAR(10),"")),B15:B10011,"报错",0))</f>
        <v>广东省广州市海珠区南石头街道南石头街道工
业大道中路385号大院11号楼224房</v>
      </c>
      <c r="J15" s="24" cm="1">
        <f t="array" ref="J15">IF(H15="","",SUMPRODUCT((TRIM(SUBSTITUTE(SUBSTITUTE($A$5:$A$10003,CHAR(13),""),CHAR(10),""))=H15)*--$C$5:$C$10003))</f>
        <v>9</v>
      </c>
      <c r="K15" s="24" cm="1">
        <f t="array" ref="K15">IF(H15="","",SUMPRODUCT((TRIM(SUBSTITUTE(SUBSTITUTE($A$5:$A$10003,CHAR(13),""),CHAR(10),""))=H15)*--$D$5:$D$10003))</f>
        <v>178</v>
      </c>
      <c r="L15" s="24" cm="1">
        <f t="array" ref="L15">IF(H15="","",SUMPRODUCT((TRIM(SUBSTITUTE(SUBSTITUTE($A$5:$A$10003,CHAR(13),""),CHAR(10),""))=H15)*IFERROR(--$D$5:$D$10003,0)))</f>
        <v>178</v>
      </c>
      <c r="M15" s="24" cm="1">
        <f t="array" ref="M15">IF(H15="","",SUMPRODUCT((TRIM(SUBSTITUTE(SUBSTITUTE($A$5:$A$10003,CHAR(13),""),CHAR(10),""))=H15)*IFERROR(--$F$5:$F$10003,0)))</f>
        <v>0.12000000000000001</v>
      </c>
    </row>
    <row r="16" spans="1:13" x14ac:dyDescent="0.25">
      <c r="A16" s="23" t="s">
        <v>4399</v>
      </c>
      <c r="B16" s="22" t="s">
        <v>5712</v>
      </c>
      <c r="C16" s="23">
        <v>1</v>
      </c>
      <c r="D16" s="23">
        <v>122</v>
      </c>
      <c r="E16" s="23">
        <v>8.26</v>
      </c>
      <c r="F16" s="23">
        <v>0.02</v>
      </c>
      <c r="H16" s="25" t="str">
        <v>值小团（广州海珠店）</v>
      </c>
      <c r="I16" s="29" t="str" cm="1">
        <f t="array" ref="I16">IF(H16="","",_xlfn.XLOOKUP(H16,TRIM(SUBSTITUTE(SUBSTITUTE(A16:A10012,CHAR(13),""),CHAR(10),"")),B16:B10012,"报错",0))</f>
        <v>广东省广州市海珠区昌岗街道信雅路54</v>
      </c>
      <c r="J16" s="24" cm="1">
        <f t="array" ref="J16">IF(H16="","",SUMPRODUCT((TRIM(SUBSTITUTE(SUBSTITUTE($A$5:$A$10003,CHAR(13),""),CHAR(10),""))=H16)*--$C$5:$C$10003))</f>
        <v>12</v>
      </c>
      <c r="K16" s="24" cm="1">
        <f t="array" ref="K16">IF(H16="","",SUMPRODUCT((TRIM(SUBSTITUTE(SUBSTITUTE($A$5:$A$10003,CHAR(13),""),CHAR(10),""))=H16)*--$D$5:$D$10003))</f>
        <v>135</v>
      </c>
      <c r="L16" s="24" cm="1">
        <f t="array" ref="L16">IF(H16="","",SUMPRODUCT((TRIM(SUBSTITUTE(SUBSTITUTE($A$5:$A$10003,CHAR(13),""),CHAR(10),""))=H16)*IFERROR(--$D$5:$D$10003,0)))</f>
        <v>135</v>
      </c>
      <c r="M16" s="24" cm="1">
        <f t="array" ref="M16">IF(H16="","",SUMPRODUCT((TRIM(SUBSTITUTE(SUBSTITUTE($A$5:$A$10003,CHAR(13),""),CHAR(10),""))=H16)*IFERROR(--$F$5:$F$10003,0)))</f>
        <v>0.16999999999999998</v>
      </c>
    </row>
    <row r="17" spans="1:13" x14ac:dyDescent="0.25">
      <c r="A17" s="23" t="s">
        <v>3907</v>
      </c>
      <c r="B17" s="22" t="s">
        <v>5713</v>
      </c>
      <c r="C17" s="23">
        <v>7</v>
      </c>
      <c r="D17" s="23">
        <v>15</v>
      </c>
      <c r="E17" s="23">
        <v>31.75</v>
      </c>
      <c r="F17" s="23">
        <v>0.15</v>
      </c>
      <c r="H17" s="25"/>
      <c r="I17" s="29" t="str" cm="1">
        <f t="array" ref="I17">IF(H17="","",_xlfn.XLOOKUP(H17,TRIM(SUBSTITUTE(SUBSTITUTE(A17:A10013,CHAR(13),""),CHAR(10),"")),B17:B10013,"报错",0))</f>
        <v/>
      </c>
      <c r="J17" s="24" t="str" cm="1">
        <f t="array" ref="J17">IF(H17="","",SUMPRODUCT((TRIM(SUBSTITUTE(SUBSTITUTE($A$5:$A$10003,CHAR(13),""),CHAR(10),""))=H17)*--$C$5:$C$10003))</f>
        <v/>
      </c>
      <c r="K17" s="24" t="str" cm="1">
        <f t="array" ref="K17">IF(H17="","",SUMPRODUCT((TRIM(SUBSTITUTE(SUBSTITUTE($A$5:$A$10003,CHAR(13),""),CHAR(10),""))=H17)*--$D$5:$D$10003))</f>
        <v/>
      </c>
      <c r="L17" s="24" t="str" cm="1">
        <f t="array" ref="L17">IF(H17="","",SUMPRODUCT((TRIM(SUBSTITUTE(SUBSTITUTE($A$5:$A$10003,CHAR(13),""),CHAR(10),""))=H17)*IFERROR(--$D$5:$D$10003,0)))</f>
        <v/>
      </c>
      <c r="M17" s="24" t="str" cm="1">
        <f t="array" ref="M17">IF(H17="","",SUMPRODUCT((TRIM(SUBSTITUTE(SUBSTITUTE($A$5:$A$10003,CHAR(13),""),CHAR(10),""))=H17)*IFERROR(--$F$5:$F$10003,0)))</f>
        <v/>
      </c>
    </row>
    <row r="18" spans="1:13" x14ac:dyDescent="0.25">
      <c r="A18" s="23" t="s">
        <v>3907</v>
      </c>
      <c r="B18" s="22" t="s">
        <v>5713</v>
      </c>
      <c r="C18" s="23">
        <v>5</v>
      </c>
      <c r="D18" s="23">
        <v>120</v>
      </c>
      <c r="E18" s="23">
        <v>9.85</v>
      </c>
      <c r="F18" s="23">
        <v>0.02</v>
      </c>
      <c r="H18" s="25"/>
      <c r="I18" s="29" t="str" cm="1">
        <f t="array" ref="I18">IF(H18="","",_xlfn.XLOOKUP(H18,TRIM(SUBSTITUTE(SUBSTITUTE(A18:A10014,CHAR(13),""),CHAR(10),"")),B18:B10014,"报错",0))</f>
        <v/>
      </c>
      <c r="J18" s="24" t="str" cm="1">
        <f t="array" ref="J18">IF(H18="","",SUMPRODUCT((TRIM(SUBSTITUTE(SUBSTITUTE($A$5:$A$10003,CHAR(13),""),CHAR(10),""))=H18)*--$C$5:$C$10003))</f>
        <v/>
      </c>
      <c r="K18" s="24" t="str" cm="1">
        <f t="array" ref="K18">IF(H18="","",SUMPRODUCT((TRIM(SUBSTITUTE(SUBSTITUTE($A$5:$A$10003,CHAR(13),""),CHAR(10),""))=H18)*--$D$5:$D$10003))</f>
        <v/>
      </c>
      <c r="L18" s="24" t="str" cm="1">
        <f t="array" ref="L18">IF(H18="","",SUMPRODUCT((TRIM(SUBSTITUTE(SUBSTITUTE($A$5:$A$10003,CHAR(13),""),CHAR(10),""))=H18)*IFERROR(--$D$5:$D$10003,0)))</f>
        <v/>
      </c>
      <c r="M18" s="24" t="str" cm="1">
        <f t="array" ref="M18">IF(H18="","",SUMPRODUCT((TRIM(SUBSTITUTE(SUBSTITUTE($A$5:$A$10003,CHAR(13),""),CHAR(10),""))=H18)*IFERROR(--$F$5:$F$10003,0)))</f>
        <v/>
      </c>
    </row>
    <row r="19" spans="1:13" x14ac:dyDescent="0.25">
      <c r="A19" s="25"/>
      <c r="B19" s="25"/>
      <c r="C19" s="25"/>
      <c r="D19" s="25"/>
      <c r="E19" s="25"/>
      <c r="F19" s="25"/>
      <c r="H19" s="25"/>
      <c r="I19" s="29" t="str" cm="1">
        <f t="array" ref="I19">IF(H19="","",_xlfn.XLOOKUP(H19,TRIM(SUBSTITUTE(SUBSTITUTE(A19:A10015,CHAR(13),""),CHAR(10),"")),B19:B10015,"报错",0))</f>
        <v/>
      </c>
      <c r="J19" s="24" t="str" cm="1">
        <f t="array" ref="J19">IF(H19="","",SUMPRODUCT((TRIM(SUBSTITUTE(SUBSTITUTE($A$5:$A$10003,CHAR(13),""),CHAR(10),""))=H19)*--$C$5:$C$10003))</f>
        <v/>
      </c>
      <c r="K19" s="24" t="str" cm="1">
        <f t="array" ref="K19">IF(H19="","",SUMPRODUCT((TRIM(SUBSTITUTE(SUBSTITUTE($A$5:$A$10003,CHAR(13),""),CHAR(10),""))=H19)*--$D$5:$D$10003))</f>
        <v/>
      </c>
      <c r="L19" s="24" t="str" cm="1">
        <f t="array" ref="L19">IF(H19="","",SUMPRODUCT((TRIM(SUBSTITUTE(SUBSTITUTE($A$5:$A$10003,CHAR(13),""),CHAR(10),""))=H19)*IFERROR(--$D$5:$D$10003,0)))</f>
        <v/>
      </c>
      <c r="M19" s="24" t="str" cm="1">
        <f t="array" ref="M19">IF(H19="","",SUMPRODUCT((TRIM(SUBSTITUTE(SUBSTITUTE($A$5:$A$10003,CHAR(13),""),CHAR(10),""))=H19)*IFERROR(--$F$5:$F$10003,0)))</f>
        <v/>
      </c>
    </row>
    <row r="20" spans="1:13" x14ac:dyDescent="0.25">
      <c r="A20" s="25"/>
      <c r="B20" s="25"/>
      <c r="C20" s="25"/>
      <c r="D20" s="25"/>
      <c r="E20" s="25"/>
      <c r="F20" s="25"/>
      <c r="H20" s="25"/>
      <c r="I20" s="29" t="str" cm="1">
        <f t="array" ref="I20">IF(H20="","",_xlfn.XLOOKUP(H20,TRIM(SUBSTITUTE(SUBSTITUTE(A20:A10016,CHAR(13),""),CHAR(10),"")),B20:B10016,"报错",0))</f>
        <v/>
      </c>
      <c r="J20" s="24" t="str" cm="1">
        <f t="array" ref="J20">IF(H20="","",SUMPRODUCT((TRIM(SUBSTITUTE(SUBSTITUTE($A$5:$A$10003,CHAR(13),""),CHAR(10),""))=H20)*--$C$5:$C$10003))</f>
        <v/>
      </c>
      <c r="K20" s="24" t="str" cm="1">
        <f t="array" ref="K20">IF(H20="","",SUMPRODUCT((TRIM(SUBSTITUTE(SUBSTITUTE($A$5:$A$10003,CHAR(13),""),CHAR(10),""))=H20)*--$D$5:$D$10003))</f>
        <v/>
      </c>
      <c r="L20" s="24" t="str" cm="1">
        <f t="array" ref="L20">IF(H20="","",SUMPRODUCT((TRIM(SUBSTITUTE(SUBSTITUTE($A$5:$A$10003,CHAR(13),""),CHAR(10),""))=H20)*IFERROR(--$D$5:$D$10003,0)))</f>
        <v/>
      </c>
      <c r="M20" s="24" t="str" cm="1">
        <f t="array" ref="M20">IF(H20="","",SUMPRODUCT((TRIM(SUBSTITUTE(SUBSTITUTE($A$5:$A$10003,CHAR(13),""),CHAR(10),""))=H20)*IFERROR(--$F$5:$F$10003,0)))</f>
        <v/>
      </c>
    </row>
    <row r="21" spans="1:13" x14ac:dyDescent="0.25">
      <c r="A21" s="25"/>
      <c r="B21" s="25"/>
      <c r="C21" s="25"/>
      <c r="D21" s="25"/>
      <c r="E21" s="25"/>
      <c r="F21" s="25"/>
      <c r="H21" s="25"/>
      <c r="I21" s="29" t="str" cm="1">
        <f t="array" ref="I21">IF(H21="","",_xlfn.XLOOKUP(H21,TRIM(SUBSTITUTE(SUBSTITUTE(A21:A10017,CHAR(13),""),CHAR(10),"")),B21:B10017,"报错",0))</f>
        <v/>
      </c>
      <c r="J21" s="24" t="str" cm="1">
        <f t="array" ref="J21">IF(H21="","",SUMPRODUCT((TRIM(SUBSTITUTE(SUBSTITUTE($A$5:$A$10003,CHAR(13),""),CHAR(10),""))=H21)*--$C$5:$C$10003))</f>
        <v/>
      </c>
      <c r="K21" s="24" t="str" cm="1">
        <f t="array" ref="K21">IF(H21="","",SUMPRODUCT((TRIM(SUBSTITUTE(SUBSTITUTE($A$5:$A$10003,CHAR(13),""),CHAR(10),""))=H21)*--$D$5:$D$10003))</f>
        <v/>
      </c>
      <c r="L21" s="24" t="str" cm="1">
        <f t="array" ref="L21">IF(H21="","",SUMPRODUCT((TRIM(SUBSTITUTE(SUBSTITUTE($A$5:$A$10003,CHAR(13),""),CHAR(10),""))=H21)*IFERROR(--$D$5:$D$10003,0)))</f>
        <v/>
      </c>
      <c r="M21" s="24" t="str" cm="1">
        <f t="array" ref="M21">IF(H21="","",SUMPRODUCT((TRIM(SUBSTITUTE(SUBSTITUTE($A$5:$A$10003,CHAR(13),""),CHAR(10),""))=H21)*IFERROR(--$F$5:$F$10003,0)))</f>
        <v/>
      </c>
    </row>
    <row r="22" spans="1:13" x14ac:dyDescent="0.25">
      <c r="A22" s="25"/>
      <c r="B22" s="25"/>
      <c r="C22" s="25"/>
      <c r="D22" s="25"/>
      <c r="E22" s="25"/>
      <c r="F22" s="25"/>
      <c r="H22" s="25"/>
      <c r="I22" s="29" t="str" cm="1">
        <f t="array" ref="I22">IF(H22="","",_xlfn.XLOOKUP(H22,TRIM(SUBSTITUTE(SUBSTITUTE(A22:A10018,CHAR(13),""),CHAR(10),"")),B22:B10018,"报错",0))</f>
        <v/>
      </c>
      <c r="J22" s="24" t="str" cm="1">
        <f t="array" ref="J22">IF(H22="","",SUMPRODUCT((TRIM(SUBSTITUTE(SUBSTITUTE($A$5:$A$10003,CHAR(13),""),CHAR(10),""))=H22)*--$C$5:$C$10003))</f>
        <v/>
      </c>
      <c r="K22" s="24" t="str" cm="1">
        <f t="array" ref="K22">IF(H22="","",SUMPRODUCT((TRIM(SUBSTITUTE(SUBSTITUTE($A$5:$A$10003,CHAR(13),""),CHAR(10),""))=H22)*--$D$5:$D$10003))</f>
        <v/>
      </c>
      <c r="L22" s="24" t="str" cm="1">
        <f t="array" ref="L22">IF(H22="","",SUMPRODUCT((TRIM(SUBSTITUTE(SUBSTITUTE($A$5:$A$10003,CHAR(13),""),CHAR(10),""))=H22)*IFERROR(--$D$5:$D$10003,0)))</f>
        <v/>
      </c>
      <c r="M22" s="24" t="str" cm="1">
        <f t="array" ref="M22">IF(H22="","",SUMPRODUCT((TRIM(SUBSTITUTE(SUBSTITUTE($A$5:$A$10003,CHAR(13),""),CHAR(10),""))=H22)*IFERROR(--$F$5:$F$10003,0)))</f>
        <v/>
      </c>
    </row>
    <row r="23" spans="1:13" x14ac:dyDescent="0.25">
      <c r="A23" s="25"/>
      <c r="B23" s="25"/>
      <c r="C23" s="25"/>
      <c r="D23" s="25"/>
      <c r="E23" s="25"/>
      <c r="F23" s="25"/>
      <c r="H23" s="25"/>
      <c r="I23" s="29" t="str" cm="1">
        <f t="array" ref="I23">IF(H23="","",_xlfn.XLOOKUP(H23,TRIM(SUBSTITUTE(SUBSTITUTE(A23:A10019,CHAR(13),""),CHAR(10),"")),B23:B10019,"报错",0))</f>
        <v/>
      </c>
      <c r="J23" s="24" t="str" cm="1">
        <f t="array" ref="J23">IF(H23="","",SUMPRODUCT((TRIM(SUBSTITUTE(SUBSTITUTE($A$5:$A$10003,CHAR(13),""),CHAR(10),""))=H23)*--$C$5:$C$10003))</f>
        <v/>
      </c>
      <c r="K23" s="24" t="str" cm="1">
        <f t="array" ref="K23">IF(H23="","",SUMPRODUCT((TRIM(SUBSTITUTE(SUBSTITUTE($A$5:$A$10003,CHAR(13),""),CHAR(10),""))=H23)*--$D$5:$D$10003))</f>
        <v/>
      </c>
      <c r="L23" s="24" t="str" cm="1">
        <f t="array" ref="L23">IF(H23="","",SUMPRODUCT((TRIM(SUBSTITUTE(SUBSTITUTE($A$5:$A$10003,CHAR(13),""),CHAR(10),""))=H23)*IFERROR(--$D$5:$D$10003,0)))</f>
        <v/>
      </c>
      <c r="M23" s="24" t="str" cm="1">
        <f t="array" ref="M23">IF(H23="","",SUMPRODUCT((TRIM(SUBSTITUTE(SUBSTITUTE($A$5:$A$10003,CHAR(13),""),CHAR(10),""))=H23)*IFERROR(--$F$5:$F$10003,0)))</f>
        <v/>
      </c>
    </row>
    <row r="24" spans="1:13" x14ac:dyDescent="0.25">
      <c r="A24" s="25"/>
      <c r="B24" s="25"/>
      <c r="C24" s="25"/>
      <c r="D24" s="25"/>
      <c r="E24" s="25"/>
      <c r="F24" s="25"/>
      <c r="H24" s="25"/>
      <c r="I24" s="29" t="str" cm="1">
        <f t="array" ref="I24">IF(H24="","",_xlfn.XLOOKUP(H24,TRIM(SUBSTITUTE(SUBSTITUTE(A24:A10020,CHAR(13),""),CHAR(10),"")),B24:B10020,"报错",0))</f>
        <v/>
      </c>
      <c r="J24" s="24" t="str" cm="1">
        <f t="array" ref="J24">IF(H24="","",SUMPRODUCT((TRIM(SUBSTITUTE(SUBSTITUTE($A$5:$A$10003,CHAR(13),""),CHAR(10),""))=H24)*--$C$5:$C$10003))</f>
        <v/>
      </c>
      <c r="K24" s="24" t="str" cm="1">
        <f t="array" ref="K24">IF(H24="","",SUMPRODUCT((TRIM(SUBSTITUTE(SUBSTITUTE($A$5:$A$10003,CHAR(13),""),CHAR(10),""))=H24)*--$D$5:$D$10003))</f>
        <v/>
      </c>
      <c r="L24" s="24" t="str" cm="1">
        <f t="array" ref="L24">IF(H24="","",SUMPRODUCT((TRIM(SUBSTITUTE(SUBSTITUTE($A$5:$A$10003,CHAR(13),""),CHAR(10),""))=H24)*IFERROR(--$D$5:$D$10003,0)))</f>
        <v/>
      </c>
      <c r="M24" s="24" t="str" cm="1">
        <f t="array" ref="M24">IF(H24="","",SUMPRODUCT((TRIM(SUBSTITUTE(SUBSTITUTE($A$5:$A$10003,CHAR(13),""),CHAR(10),""))=H24)*IFERROR(--$F$5:$F$10003,0)))</f>
        <v/>
      </c>
    </row>
    <row r="25" spans="1:13" x14ac:dyDescent="0.25">
      <c r="A25" s="25"/>
      <c r="B25" s="25"/>
      <c r="C25" s="25"/>
      <c r="D25" s="25"/>
      <c r="E25" s="25"/>
      <c r="F25" s="25"/>
      <c r="H25" s="25"/>
      <c r="I25" s="29" t="str" cm="1">
        <f t="array" ref="I25">IF(H25="","",_xlfn.XLOOKUP(H25,TRIM(SUBSTITUTE(SUBSTITUTE(A25:A10021,CHAR(13),""),CHAR(10),"")),B25:B10021,"报错",0))</f>
        <v/>
      </c>
      <c r="J25" s="24" t="str" cm="1">
        <f t="array" ref="J25">IF(H25="","",SUMPRODUCT((TRIM(SUBSTITUTE(SUBSTITUTE($A$5:$A$10003,CHAR(13),""),CHAR(10),""))=H25)*--$C$5:$C$10003))</f>
        <v/>
      </c>
      <c r="K25" s="24" t="str" cm="1">
        <f t="array" ref="K25">IF(H25="","",SUMPRODUCT((TRIM(SUBSTITUTE(SUBSTITUTE($A$5:$A$10003,CHAR(13),""),CHAR(10),""))=H25)*--$D$5:$D$10003))</f>
        <v/>
      </c>
      <c r="L25" s="24" t="str" cm="1">
        <f t="array" ref="L25">IF(H25="","",SUMPRODUCT((TRIM(SUBSTITUTE(SUBSTITUTE($A$5:$A$10003,CHAR(13),""),CHAR(10),""))=H25)*IFERROR(--$D$5:$D$10003,0)))</f>
        <v/>
      </c>
      <c r="M25" s="24" t="str" cm="1">
        <f t="array" ref="M25">IF(H25="","",SUMPRODUCT((TRIM(SUBSTITUTE(SUBSTITUTE($A$5:$A$10003,CHAR(13),""),CHAR(10),""))=H25)*IFERROR(--$F$5:$F$10003,0)))</f>
        <v/>
      </c>
    </row>
    <row r="26" spans="1:13" x14ac:dyDescent="0.25">
      <c r="A26" s="25"/>
      <c r="B26" s="25"/>
      <c r="C26" s="25"/>
      <c r="D26" s="25"/>
      <c r="E26" s="25"/>
      <c r="F26" s="25"/>
      <c r="H26" s="25"/>
      <c r="I26" s="29" t="str" cm="1">
        <f t="array" ref="I26">IF(H26="","",_xlfn.XLOOKUP(H26,TRIM(SUBSTITUTE(SUBSTITUTE(A26:A10022,CHAR(13),""),CHAR(10),"")),B26:B10022,"报错",0))</f>
        <v/>
      </c>
      <c r="J26" s="24" t="str" cm="1">
        <f t="array" ref="J26">IF(H26="","",SUMPRODUCT((TRIM(SUBSTITUTE(SUBSTITUTE($A$5:$A$10003,CHAR(13),""),CHAR(10),""))=H26)*--$C$5:$C$10003))</f>
        <v/>
      </c>
      <c r="K26" s="24" t="str" cm="1">
        <f t="array" ref="K26">IF(H26="","",SUMPRODUCT((TRIM(SUBSTITUTE(SUBSTITUTE($A$5:$A$10003,CHAR(13),""),CHAR(10),""))=H26)*--$D$5:$D$10003))</f>
        <v/>
      </c>
      <c r="L26" s="24" t="str" cm="1">
        <f t="array" ref="L26">IF(H26="","",SUMPRODUCT((TRIM(SUBSTITUTE(SUBSTITUTE($A$5:$A$10003,CHAR(13),""),CHAR(10),""))=H26)*IFERROR(--$D$5:$D$10003,0)))</f>
        <v/>
      </c>
      <c r="M26" s="24" t="str" cm="1">
        <f t="array" ref="M26">IF(H26="","",SUMPRODUCT((TRIM(SUBSTITUTE(SUBSTITUTE($A$5:$A$10003,CHAR(13),""),CHAR(10),""))=H26)*IFERROR(--$F$5:$F$10003,0)))</f>
        <v/>
      </c>
    </row>
    <row r="27" spans="1:13" x14ac:dyDescent="0.25">
      <c r="A27" s="25"/>
      <c r="B27" s="25"/>
      <c r="C27" s="25"/>
      <c r="D27" s="25"/>
      <c r="E27" s="25"/>
      <c r="F27" s="25"/>
      <c r="H27" s="25"/>
      <c r="I27" s="29" t="str" cm="1">
        <f t="array" ref="I27">IF(H27="","",_xlfn.XLOOKUP(H27,TRIM(SUBSTITUTE(SUBSTITUTE(A27:A10023,CHAR(13),""),CHAR(10),"")),B27:B10023,"报错",0))</f>
        <v/>
      </c>
      <c r="J27" s="24" t="str" cm="1">
        <f t="array" ref="J27">IF(H27="","",SUMPRODUCT((TRIM(SUBSTITUTE(SUBSTITUTE($A$5:$A$10003,CHAR(13),""),CHAR(10),""))=H27)*--$C$5:$C$10003))</f>
        <v/>
      </c>
      <c r="K27" s="24" t="str" cm="1">
        <f t="array" ref="K27">IF(H27="","",SUMPRODUCT((TRIM(SUBSTITUTE(SUBSTITUTE($A$5:$A$10003,CHAR(13),""),CHAR(10),""))=H27)*--$D$5:$D$10003))</f>
        <v/>
      </c>
      <c r="L27" s="24" t="str" cm="1">
        <f t="array" ref="L27">IF(H27="","",SUMPRODUCT((TRIM(SUBSTITUTE(SUBSTITUTE($A$5:$A$10003,CHAR(13),""),CHAR(10),""))=H27)*IFERROR(--$D$5:$D$10003,0)))</f>
        <v/>
      </c>
      <c r="M27" s="24" t="str" cm="1">
        <f t="array" ref="M27">IF(H27="","",SUMPRODUCT((TRIM(SUBSTITUTE(SUBSTITUTE($A$5:$A$10003,CHAR(13),""),CHAR(10),""))=H27)*IFERROR(--$F$5:$F$10003,0)))</f>
        <v/>
      </c>
    </row>
    <row r="28" spans="1:13" x14ac:dyDescent="0.25">
      <c r="A28" s="25"/>
      <c r="B28" s="25"/>
      <c r="C28" s="25"/>
      <c r="D28" s="25"/>
      <c r="E28" s="25"/>
      <c r="F28" s="25"/>
      <c r="H28" s="25"/>
      <c r="I28" s="29" t="str" cm="1">
        <f t="array" ref="I28">IF(H28="","",_xlfn.XLOOKUP(H28,TRIM(SUBSTITUTE(SUBSTITUTE(A28:A10024,CHAR(13),""),CHAR(10),"")),B28:B10024,"报错",0))</f>
        <v/>
      </c>
      <c r="J28" s="24" t="str" cm="1">
        <f t="array" ref="J28">IF(H28="","",SUMPRODUCT((TRIM(SUBSTITUTE(SUBSTITUTE($A$5:$A$10003,CHAR(13),""),CHAR(10),""))=H28)*--$C$5:$C$10003))</f>
        <v/>
      </c>
      <c r="K28" s="24" t="str" cm="1">
        <f t="array" ref="K28">IF(H28="","",SUMPRODUCT((TRIM(SUBSTITUTE(SUBSTITUTE($A$5:$A$10003,CHAR(13),""),CHAR(10),""))=H28)*--$D$5:$D$10003))</f>
        <v/>
      </c>
      <c r="L28" s="24" t="str" cm="1">
        <f t="array" ref="L28">IF(H28="","",SUMPRODUCT((TRIM(SUBSTITUTE(SUBSTITUTE($A$5:$A$10003,CHAR(13),""),CHAR(10),""))=H28)*IFERROR(--$D$5:$D$10003,0)))</f>
        <v/>
      </c>
      <c r="M28" s="24" t="str" cm="1">
        <f t="array" ref="M28">IF(H28="","",SUMPRODUCT((TRIM(SUBSTITUTE(SUBSTITUTE($A$5:$A$10003,CHAR(13),""),CHAR(10),""))=H28)*IFERROR(--$F$5:$F$10003,0)))</f>
        <v/>
      </c>
    </row>
    <row r="29" spans="1:13" x14ac:dyDescent="0.25">
      <c r="A29" s="25"/>
      <c r="B29" s="25"/>
      <c r="C29" s="25"/>
      <c r="D29" s="25"/>
      <c r="E29" s="25"/>
      <c r="F29" s="25"/>
      <c r="H29" s="25"/>
      <c r="I29" s="29" t="str" cm="1">
        <f t="array" ref="I29">IF(H29="","",_xlfn.XLOOKUP(H29,TRIM(SUBSTITUTE(SUBSTITUTE(A29:A10025,CHAR(13),""),CHAR(10),"")),B29:B10025,"报错",0))</f>
        <v/>
      </c>
      <c r="J29" s="24" t="str" cm="1">
        <f t="array" ref="J29">IF(H29="","",SUMPRODUCT((TRIM(SUBSTITUTE(SUBSTITUTE($A$5:$A$10003,CHAR(13),""),CHAR(10),""))=H29)*--$C$5:$C$10003))</f>
        <v/>
      </c>
      <c r="K29" s="24" t="str" cm="1">
        <f t="array" ref="K29">IF(H29="","",SUMPRODUCT((TRIM(SUBSTITUTE(SUBSTITUTE($A$5:$A$10003,CHAR(13),""),CHAR(10),""))=H29)*--$D$5:$D$10003))</f>
        <v/>
      </c>
      <c r="L29" s="24" t="str" cm="1">
        <f t="array" ref="L29">IF(H29="","",SUMPRODUCT((TRIM(SUBSTITUTE(SUBSTITUTE($A$5:$A$10003,CHAR(13),""),CHAR(10),""))=H29)*IFERROR(--$D$5:$D$10003,0)))</f>
        <v/>
      </c>
      <c r="M29" s="24" t="str" cm="1">
        <f t="array" ref="M29">IF(H29="","",SUMPRODUCT((TRIM(SUBSTITUTE(SUBSTITUTE($A$5:$A$10003,CHAR(13),""),CHAR(10),""))=H29)*IFERROR(--$F$5:$F$10003,0)))</f>
        <v/>
      </c>
    </row>
    <row r="30" spans="1:13" x14ac:dyDescent="0.25">
      <c r="A30" s="25"/>
      <c r="B30" s="25"/>
      <c r="C30" s="25"/>
      <c r="D30" s="25"/>
      <c r="E30" s="25"/>
      <c r="F30" s="25"/>
      <c r="H30" s="25"/>
      <c r="I30" s="29" t="str" cm="1">
        <f t="array" ref="I30">IF(H30="","",_xlfn.XLOOKUP(H30,TRIM(SUBSTITUTE(SUBSTITUTE(A30:A10026,CHAR(13),""),CHAR(10),"")),B30:B10026,"报错",0))</f>
        <v/>
      </c>
      <c r="J30" s="24" t="str" cm="1">
        <f t="array" ref="J30">IF(H30="","",SUMPRODUCT((TRIM(SUBSTITUTE(SUBSTITUTE($A$5:$A$10003,CHAR(13),""),CHAR(10),""))=H30)*--$C$5:$C$10003))</f>
        <v/>
      </c>
      <c r="K30" s="24" t="str" cm="1">
        <f t="array" ref="K30">IF(H30="","",SUMPRODUCT((TRIM(SUBSTITUTE(SUBSTITUTE($A$5:$A$10003,CHAR(13),""),CHAR(10),""))=H30)*--$D$5:$D$10003))</f>
        <v/>
      </c>
      <c r="L30" s="24" t="str" cm="1">
        <f t="array" ref="L30">IF(H30="","",SUMPRODUCT((TRIM(SUBSTITUTE(SUBSTITUTE($A$5:$A$10003,CHAR(13),""),CHAR(10),""))=H30)*IFERROR(--$D$5:$D$10003,0)))</f>
        <v/>
      </c>
      <c r="M30" s="24" t="str" cm="1">
        <f t="array" ref="M30">IF(H30="","",SUMPRODUCT((TRIM(SUBSTITUTE(SUBSTITUTE($A$5:$A$10003,CHAR(13),""),CHAR(10),""))=H30)*IFERROR(--$F$5:$F$10003,0)))</f>
        <v/>
      </c>
    </row>
    <row r="31" spans="1:13" x14ac:dyDescent="0.25">
      <c r="A31" s="25"/>
      <c r="B31" s="25"/>
      <c r="C31" s="25"/>
      <c r="D31" s="25"/>
      <c r="E31" s="25"/>
      <c r="F31" s="25"/>
      <c r="H31" s="25"/>
      <c r="I31" s="29" t="str" cm="1">
        <f t="array" ref="I31">IF(H31="","",_xlfn.XLOOKUP(H31,TRIM(SUBSTITUTE(SUBSTITUTE(A31:A10027,CHAR(13),""),CHAR(10),"")),B31:B10027,"报错",0))</f>
        <v/>
      </c>
      <c r="J31" s="24" t="str" cm="1">
        <f t="array" ref="J31">IF(H31="","",SUMPRODUCT((TRIM(SUBSTITUTE(SUBSTITUTE($A$5:$A$10003,CHAR(13),""),CHAR(10),""))=H31)*--$C$5:$C$10003))</f>
        <v/>
      </c>
      <c r="K31" s="24" t="str" cm="1">
        <f t="array" ref="K31">IF(H31="","",SUMPRODUCT((TRIM(SUBSTITUTE(SUBSTITUTE($A$5:$A$10003,CHAR(13),""),CHAR(10),""))=H31)*--$D$5:$D$10003))</f>
        <v/>
      </c>
      <c r="L31" s="24" t="str" cm="1">
        <f t="array" ref="L31">IF(H31="","",SUMPRODUCT((TRIM(SUBSTITUTE(SUBSTITUTE($A$5:$A$10003,CHAR(13),""),CHAR(10),""))=H31)*IFERROR(--$D$5:$D$10003,0)))</f>
        <v/>
      </c>
      <c r="M31" s="24" t="str" cm="1">
        <f t="array" ref="M31">IF(H31="","",SUMPRODUCT((TRIM(SUBSTITUTE(SUBSTITUTE($A$5:$A$10003,CHAR(13),""),CHAR(10),""))=H31)*IFERROR(--$F$5:$F$10003,0)))</f>
        <v/>
      </c>
    </row>
    <row r="32" spans="1:13" x14ac:dyDescent="0.25">
      <c r="A32" s="25"/>
      <c r="B32" s="25"/>
      <c r="C32" s="25"/>
      <c r="D32" s="25"/>
      <c r="E32" s="25"/>
      <c r="F32" s="25"/>
      <c r="H32" s="25"/>
      <c r="I32" s="29" t="str" cm="1">
        <f t="array" ref="I32">IF(H32="","",_xlfn.XLOOKUP(H32,TRIM(SUBSTITUTE(SUBSTITUTE(A32:A10028,CHAR(13),""),CHAR(10),"")),B32:B10028,"报错",0))</f>
        <v/>
      </c>
      <c r="J32" s="24" t="str" cm="1">
        <f t="array" ref="J32">IF(H32="","",SUMPRODUCT((TRIM(SUBSTITUTE(SUBSTITUTE($A$5:$A$10003,CHAR(13),""),CHAR(10),""))=H32)*--$C$5:$C$10003))</f>
        <v/>
      </c>
      <c r="K32" s="24" t="str" cm="1">
        <f t="array" ref="K32">IF(H32="","",SUMPRODUCT((TRIM(SUBSTITUTE(SUBSTITUTE($A$5:$A$10003,CHAR(13),""),CHAR(10),""))=H32)*--$D$5:$D$10003))</f>
        <v/>
      </c>
      <c r="L32" s="24" t="str" cm="1">
        <f t="array" ref="L32">IF(H32="","",SUMPRODUCT((TRIM(SUBSTITUTE(SUBSTITUTE($A$5:$A$10003,CHAR(13),""),CHAR(10),""))=H32)*IFERROR(--$D$5:$D$10003,0)))</f>
        <v/>
      </c>
      <c r="M32" s="24" t="str" cm="1">
        <f t="array" ref="M32">IF(H32="","",SUMPRODUCT((TRIM(SUBSTITUTE(SUBSTITUTE($A$5:$A$10003,CHAR(13),""),CHAR(10),""))=H32)*IFERROR(--$F$5:$F$10003,0)))</f>
        <v/>
      </c>
    </row>
    <row r="33" spans="1:13" x14ac:dyDescent="0.25">
      <c r="A33" s="25"/>
      <c r="B33" s="25"/>
      <c r="C33" s="25"/>
      <c r="D33" s="25"/>
      <c r="E33" s="25"/>
      <c r="F33" s="25"/>
      <c r="H33" s="25"/>
      <c r="I33" s="29" t="str" cm="1">
        <f t="array" ref="I33">IF(H33="","",_xlfn.XLOOKUP(H33,TRIM(SUBSTITUTE(SUBSTITUTE(A33:A10029,CHAR(13),""),CHAR(10),"")),B33:B10029,"报错",0))</f>
        <v/>
      </c>
      <c r="J33" s="24" t="str" cm="1">
        <f t="array" ref="J33">IF(H33="","",SUMPRODUCT((TRIM(SUBSTITUTE(SUBSTITUTE($A$5:$A$10003,CHAR(13),""),CHAR(10),""))=H33)*--$C$5:$C$10003))</f>
        <v/>
      </c>
      <c r="K33" s="24" t="str" cm="1">
        <f t="array" ref="K33">IF(H33="","",SUMPRODUCT((TRIM(SUBSTITUTE(SUBSTITUTE($A$5:$A$10003,CHAR(13),""),CHAR(10),""))=H33)*--$D$5:$D$10003))</f>
        <v/>
      </c>
      <c r="L33" s="24" t="str" cm="1">
        <f t="array" ref="L33">IF(H33="","",SUMPRODUCT((TRIM(SUBSTITUTE(SUBSTITUTE($A$5:$A$10003,CHAR(13),""),CHAR(10),""))=H33)*IFERROR(--$D$5:$D$10003,0)))</f>
        <v/>
      </c>
      <c r="M33" s="24" t="str" cm="1">
        <f t="array" ref="M33">IF(H33="","",SUMPRODUCT((TRIM(SUBSTITUTE(SUBSTITUTE($A$5:$A$10003,CHAR(13),""),CHAR(10),""))=H33)*IFERROR(--$F$5:$F$10003,0)))</f>
        <v/>
      </c>
    </row>
    <row r="34" spans="1:13" x14ac:dyDescent="0.25">
      <c r="A34" s="25"/>
      <c r="B34" s="25"/>
      <c r="C34" s="25"/>
      <c r="D34" s="25"/>
      <c r="E34" s="25"/>
      <c r="F34" s="25"/>
      <c r="H34" s="25"/>
      <c r="I34" s="29" t="str" cm="1">
        <f t="array" ref="I34">IF(H34="","",_xlfn.XLOOKUP(H34,TRIM(SUBSTITUTE(SUBSTITUTE(A34:A10030,CHAR(13),""),CHAR(10),"")),B34:B10030,"报错",0))</f>
        <v/>
      </c>
      <c r="J34" s="24" t="str" cm="1">
        <f t="array" ref="J34">IF(H34="","",SUMPRODUCT((TRIM(SUBSTITUTE(SUBSTITUTE($A$5:$A$10003,CHAR(13),""),CHAR(10),""))=H34)*--$C$5:$C$10003))</f>
        <v/>
      </c>
      <c r="K34" s="24" t="str" cm="1">
        <f t="array" ref="K34">IF(H34="","",SUMPRODUCT((TRIM(SUBSTITUTE(SUBSTITUTE($A$5:$A$10003,CHAR(13),""),CHAR(10),""))=H34)*--$D$5:$D$10003))</f>
        <v/>
      </c>
      <c r="L34" s="24" t="str" cm="1">
        <f t="array" ref="L34">IF(H34="","",SUMPRODUCT((TRIM(SUBSTITUTE(SUBSTITUTE($A$5:$A$10003,CHAR(13),""),CHAR(10),""))=H34)*IFERROR(--$D$5:$D$10003,0)))</f>
        <v/>
      </c>
      <c r="M34" s="24" t="str" cm="1">
        <f t="array" ref="M34">IF(H34="","",SUMPRODUCT((TRIM(SUBSTITUTE(SUBSTITUTE($A$5:$A$10003,CHAR(13),""),CHAR(10),""))=H34)*IFERROR(--$F$5:$F$10003,0)))</f>
        <v/>
      </c>
    </row>
    <row r="35" spans="1:13" x14ac:dyDescent="0.25">
      <c r="A35" s="25"/>
      <c r="B35" s="25"/>
      <c r="C35" s="25"/>
      <c r="D35" s="25"/>
      <c r="E35" s="25"/>
      <c r="F35" s="25"/>
      <c r="H35" s="25"/>
      <c r="I35" s="29" t="str" cm="1">
        <f t="array" ref="I35">IF(H35="","",_xlfn.XLOOKUP(H35,TRIM(SUBSTITUTE(SUBSTITUTE(A35:A10031,CHAR(13),""),CHAR(10),"")),B35:B10031,"报错",0))</f>
        <v/>
      </c>
      <c r="J35" s="24" t="str" cm="1">
        <f t="array" ref="J35">IF(H35="","",SUMPRODUCT((TRIM(SUBSTITUTE(SUBSTITUTE($A$5:$A$10003,CHAR(13),""),CHAR(10),""))=H35)*--$C$5:$C$10003))</f>
        <v/>
      </c>
      <c r="K35" s="24" t="str" cm="1">
        <f t="array" ref="K35">IF(H35="","",SUMPRODUCT((TRIM(SUBSTITUTE(SUBSTITUTE($A$5:$A$10003,CHAR(13),""),CHAR(10),""))=H35)*--$D$5:$D$10003))</f>
        <v/>
      </c>
      <c r="L35" s="24" t="str" cm="1">
        <f t="array" ref="L35">IF(H35="","",SUMPRODUCT((TRIM(SUBSTITUTE(SUBSTITUTE($A$5:$A$10003,CHAR(13),""),CHAR(10),""))=H35)*IFERROR(--$D$5:$D$10003,0)))</f>
        <v/>
      </c>
      <c r="M35" s="24" t="str" cm="1">
        <f t="array" ref="M35">IF(H35="","",SUMPRODUCT((TRIM(SUBSTITUTE(SUBSTITUTE($A$5:$A$10003,CHAR(13),""),CHAR(10),""))=H35)*IFERROR(--$F$5:$F$10003,0)))</f>
        <v/>
      </c>
    </row>
    <row r="36" spans="1:13" x14ac:dyDescent="0.25">
      <c r="A36" s="25"/>
      <c r="B36" s="25"/>
      <c r="C36" s="25"/>
      <c r="D36" s="25"/>
      <c r="E36" s="25"/>
      <c r="F36" s="25"/>
      <c r="H36" s="25"/>
      <c r="I36" s="29" t="str" cm="1">
        <f t="array" ref="I36">IF(H36="","",_xlfn.XLOOKUP(H36,TRIM(SUBSTITUTE(SUBSTITUTE(A36:A10032,CHAR(13),""),CHAR(10),"")),B36:B10032,"报错",0))</f>
        <v/>
      </c>
      <c r="J36" s="24" t="str" cm="1">
        <f t="array" ref="J36">IF(H36="","",SUMPRODUCT((TRIM(SUBSTITUTE(SUBSTITUTE($A$5:$A$10003,CHAR(13),""),CHAR(10),""))=H36)*--$C$5:$C$10003))</f>
        <v/>
      </c>
      <c r="K36" s="24" t="str" cm="1">
        <f t="array" ref="K36">IF(H36="","",SUMPRODUCT((TRIM(SUBSTITUTE(SUBSTITUTE($A$5:$A$10003,CHAR(13),""),CHAR(10),""))=H36)*--$D$5:$D$10003))</f>
        <v/>
      </c>
      <c r="L36" s="24" t="str" cm="1">
        <f t="array" ref="L36">IF(H36="","",SUMPRODUCT((TRIM(SUBSTITUTE(SUBSTITUTE($A$5:$A$10003,CHAR(13),""),CHAR(10),""))=H36)*IFERROR(--$D$5:$D$10003,0)))</f>
        <v/>
      </c>
      <c r="M36" s="24" t="str" cm="1">
        <f t="array" ref="M36">IF(H36="","",SUMPRODUCT((TRIM(SUBSTITUTE(SUBSTITUTE($A$5:$A$10003,CHAR(13),""),CHAR(10),""))=H36)*IFERROR(--$F$5:$F$10003,0)))</f>
        <v/>
      </c>
    </row>
    <row r="37" spans="1:13" x14ac:dyDescent="0.25">
      <c r="A37" s="25"/>
      <c r="B37" s="25"/>
      <c r="C37" s="25"/>
      <c r="D37" s="25"/>
      <c r="E37" s="25"/>
      <c r="F37" s="25"/>
      <c r="H37" s="25"/>
      <c r="I37" s="29" t="str" cm="1">
        <f t="array" ref="I37">IF(H37="","",_xlfn.XLOOKUP(H37,TRIM(SUBSTITUTE(SUBSTITUTE(A37:A10033,CHAR(13),""),CHAR(10),"")),B37:B10033,"报错",0))</f>
        <v/>
      </c>
      <c r="J37" s="24" t="str" cm="1">
        <f t="array" ref="J37">IF(H37="","",SUMPRODUCT((TRIM(SUBSTITUTE(SUBSTITUTE($A$5:$A$10003,CHAR(13),""),CHAR(10),""))=H37)*--$C$5:$C$10003))</f>
        <v/>
      </c>
      <c r="K37" s="24" t="str" cm="1">
        <f t="array" ref="K37">IF(H37="","",SUMPRODUCT((TRIM(SUBSTITUTE(SUBSTITUTE($A$5:$A$10003,CHAR(13),""),CHAR(10),""))=H37)*--$D$5:$D$10003))</f>
        <v/>
      </c>
      <c r="L37" s="24" t="str" cm="1">
        <f t="array" ref="L37">IF(H37="","",SUMPRODUCT((TRIM(SUBSTITUTE(SUBSTITUTE($A$5:$A$10003,CHAR(13),""),CHAR(10),""))=H37)*IFERROR(--$D$5:$D$10003,0)))</f>
        <v/>
      </c>
      <c r="M37" s="24" t="str" cm="1">
        <f t="array" ref="M37">IF(H37="","",SUMPRODUCT((TRIM(SUBSTITUTE(SUBSTITUTE($A$5:$A$10003,CHAR(13),""),CHAR(10),""))=H37)*IFERROR(--$F$5:$F$10003,0)))</f>
        <v/>
      </c>
    </row>
    <row r="38" spans="1:13" x14ac:dyDescent="0.25">
      <c r="A38" s="25"/>
      <c r="B38" s="25"/>
      <c r="C38" s="25"/>
      <c r="D38" s="25"/>
      <c r="E38" s="25"/>
      <c r="F38" s="25"/>
      <c r="H38" s="25"/>
      <c r="I38" s="29" t="str" cm="1">
        <f t="array" ref="I38">IF(H38="","",_xlfn.XLOOKUP(H38,TRIM(SUBSTITUTE(SUBSTITUTE(A38:A10034,CHAR(13),""),CHAR(10),"")),B38:B10034,"报错",0))</f>
        <v/>
      </c>
      <c r="J38" s="24" t="str" cm="1">
        <f t="array" ref="J38">IF(H38="","",SUMPRODUCT((TRIM(SUBSTITUTE(SUBSTITUTE($A$5:$A$10003,CHAR(13),""),CHAR(10),""))=H38)*--$C$5:$C$10003))</f>
        <v/>
      </c>
      <c r="K38" s="24" t="str" cm="1">
        <f t="array" ref="K38">IF(H38="","",SUMPRODUCT((TRIM(SUBSTITUTE(SUBSTITUTE($A$5:$A$10003,CHAR(13),""),CHAR(10),""))=H38)*--$D$5:$D$10003))</f>
        <v/>
      </c>
      <c r="L38" s="24" t="str" cm="1">
        <f t="array" ref="L38">IF(H38="","",SUMPRODUCT((TRIM(SUBSTITUTE(SUBSTITUTE($A$5:$A$10003,CHAR(13),""),CHAR(10),""))=H38)*IFERROR(--$D$5:$D$10003,0)))</f>
        <v/>
      </c>
      <c r="M38" s="24" t="str" cm="1">
        <f t="array" ref="M38">IF(H38="","",SUMPRODUCT((TRIM(SUBSTITUTE(SUBSTITUTE($A$5:$A$10003,CHAR(13),""),CHAR(10),""))=H38)*IFERROR(--$F$5:$F$10003,0)))</f>
        <v/>
      </c>
    </row>
    <row r="39" spans="1:13" x14ac:dyDescent="0.25">
      <c r="A39" s="25"/>
      <c r="B39" s="25"/>
      <c r="C39" s="25"/>
      <c r="D39" s="25"/>
      <c r="E39" s="25"/>
      <c r="F39" s="25"/>
    </row>
    <row r="40" spans="1:13" x14ac:dyDescent="0.25">
      <c r="A40" s="25"/>
      <c r="B40" s="25"/>
      <c r="C40" s="25"/>
      <c r="D40" s="25"/>
      <c r="E40" s="25"/>
      <c r="F40" s="25"/>
    </row>
    <row r="41" spans="1:13" x14ac:dyDescent="0.25">
      <c r="A41" s="25"/>
      <c r="B41" s="25"/>
      <c r="C41" s="25"/>
      <c r="D41" s="25"/>
      <c r="E41" s="25"/>
      <c r="F41" s="25"/>
    </row>
    <row r="42" spans="1:13" x14ac:dyDescent="0.25">
      <c r="A42" s="25"/>
      <c r="B42" s="25"/>
      <c r="C42" s="25"/>
      <c r="D42" s="25"/>
      <c r="E42" s="25"/>
      <c r="F42" s="25"/>
    </row>
    <row r="43" spans="1:13" x14ac:dyDescent="0.25">
      <c r="A43" s="25"/>
      <c r="B43" s="25"/>
      <c r="C43" s="25"/>
      <c r="D43" s="25"/>
      <c r="E43" s="25"/>
      <c r="F43" s="25"/>
    </row>
    <row r="44" spans="1:13" x14ac:dyDescent="0.25">
      <c r="A44" s="25"/>
      <c r="B44" s="25"/>
      <c r="C44" s="25"/>
      <c r="D44" s="25"/>
      <c r="E44" s="25"/>
      <c r="F44" s="25"/>
    </row>
    <row r="45" spans="1:13" x14ac:dyDescent="0.25">
      <c r="A45" s="25"/>
      <c r="B45" s="25"/>
      <c r="C45" s="25"/>
      <c r="D45" s="25"/>
      <c r="E45" s="25"/>
      <c r="F45" s="25"/>
    </row>
    <row r="46" spans="1:13" x14ac:dyDescent="0.25">
      <c r="A46" s="25"/>
      <c r="B46" s="25"/>
      <c r="C46" s="25"/>
      <c r="D46" s="25"/>
      <c r="E46" s="25"/>
      <c r="F46" s="25"/>
    </row>
    <row r="47" spans="1:13" x14ac:dyDescent="0.25">
      <c r="A47" s="25"/>
      <c r="B47" s="25"/>
      <c r="C47" s="25"/>
      <c r="D47" s="25"/>
      <c r="E47" s="25"/>
      <c r="F47" s="25"/>
    </row>
    <row r="48" spans="1:13" x14ac:dyDescent="0.25">
      <c r="A48" s="25"/>
      <c r="B48" s="25"/>
      <c r="C48" s="25"/>
      <c r="D48" s="25"/>
      <c r="E48" s="25"/>
      <c r="F48" s="25"/>
    </row>
    <row r="49" spans="1:6" x14ac:dyDescent="0.25">
      <c r="A49" s="25"/>
      <c r="B49" s="25"/>
      <c r="C49" s="25"/>
      <c r="D49" s="25"/>
      <c r="E49" s="25"/>
      <c r="F49" s="25"/>
    </row>
  </sheetData>
  <mergeCells count="4">
    <mergeCell ref="A2:F2"/>
    <mergeCell ref="H2:M2"/>
    <mergeCell ref="C3:F3"/>
    <mergeCell ref="J3:M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09AA-0FA6-4D67-AB1F-093CC286F163}">
  <dimension ref="A1:BD1110"/>
  <sheetViews>
    <sheetView workbookViewId="0">
      <selection sqref="A1:BD1110"/>
    </sheetView>
  </sheetViews>
  <sheetFormatPr defaultRowHeight="14" x14ac:dyDescent="0.25"/>
  <cols>
    <col min="12" max="12" width="21.453125" customWidth="1"/>
  </cols>
  <sheetData>
    <row r="1" spans="1:56" ht="42" x14ac:dyDescent="0.25">
      <c r="A1" s="3" t="s">
        <v>36</v>
      </c>
      <c r="B1" s="4" t="s">
        <v>37</v>
      </c>
      <c r="C1" s="4" t="s">
        <v>38</v>
      </c>
      <c r="D1" s="4" t="s">
        <v>39</v>
      </c>
      <c r="E1" s="4" t="s">
        <v>40</v>
      </c>
      <c r="F1" s="4" t="s">
        <v>41</v>
      </c>
      <c r="G1" s="4" t="s">
        <v>42</v>
      </c>
      <c r="H1" s="4" t="s">
        <v>43</v>
      </c>
      <c r="I1" s="4" t="s">
        <v>44</v>
      </c>
      <c r="J1" s="4" t="s">
        <v>45</v>
      </c>
      <c r="K1" s="4" t="s">
        <v>46</v>
      </c>
      <c r="L1" s="4" t="s">
        <v>7</v>
      </c>
      <c r="M1" s="4" t="s">
        <v>47</v>
      </c>
      <c r="N1" s="4" t="s">
        <v>48</v>
      </c>
      <c r="O1" s="4" t="s">
        <v>49</v>
      </c>
      <c r="P1" s="4" t="s">
        <v>50</v>
      </c>
      <c r="Q1" s="4" t="s">
        <v>8</v>
      </c>
      <c r="R1" s="4" t="s">
        <v>9</v>
      </c>
      <c r="S1" s="4" t="s">
        <v>51</v>
      </c>
      <c r="T1" s="4" t="s">
        <v>52</v>
      </c>
      <c r="U1" s="4" t="s">
        <v>53</v>
      </c>
      <c r="V1" s="4" t="s">
        <v>54</v>
      </c>
      <c r="W1" s="4" t="s">
        <v>55</v>
      </c>
      <c r="X1" s="4" t="s">
        <v>56</v>
      </c>
      <c r="Y1" s="4" t="s">
        <v>57</v>
      </c>
      <c r="Z1" s="4" t="s">
        <v>58</v>
      </c>
      <c r="AA1" s="5" t="s">
        <v>59</v>
      </c>
      <c r="AB1" s="6" t="s">
        <v>60</v>
      </c>
      <c r="AC1" s="6" t="s">
        <v>61</v>
      </c>
      <c r="AD1" s="7" t="s">
        <v>62</v>
      </c>
      <c r="AE1" s="7" t="s">
        <v>63</v>
      </c>
      <c r="AF1" s="7" t="s">
        <v>64</v>
      </c>
      <c r="AG1" s="7" t="s">
        <v>65</v>
      </c>
      <c r="AH1" s="7" t="s">
        <v>66</v>
      </c>
      <c r="AI1" s="7" t="s">
        <v>67</v>
      </c>
      <c r="AJ1" s="8" t="s">
        <v>68</v>
      </c>
      <c r="AK1" s="8" t="s">
        <v>69</v>
      </c>
      <c r="AL1" s="7" t="s">
        <v>70</v>
      </c>
      <c r="AM1" s="7" t="s">
        <v>71</v>
      </c>
      <c r="AN1" s="9" t="s">
        <v>72</v>
      </c>
      <c r="AO1" s="9" t="s">
        <v>73</v>
      </c>
      <c r="AP1" s="9" t="s">
        <v>74</v>
      </c>
      <c r="AQ1" s="9" t="s">
        <v>75</v>
      </c>
      <c r="AR1" s="9" t="s">
        <v>76</v>
      </c>
      <c r="AS1" s="10" t="s">
        <v>77</v>
      </c>
      <c r="AT1" s="10" t="s">
        <v>78</v>
      </c>
      <c r="AU1" s="9" t="s">
        <v>79</v>
      </c>
      <c r="AV1" s="9" t="s">
        <v>80</v>
      </c>
      <c r="AW1" s="9" t="s">
        <v>81</v>
      </c>
      <c r="AX1" s="9" t="s">
        <v>82</v>
      </c>
      <c r="AY1" s="9" t="s">
        <v>83</v>
      </c>
      <c r="AZ1" s="9" t="s">
        <v>84</v>
      </c>
      <c r="BA1" s="9" t="s">
        <v>85</v>
      </c>
      <c r="BB1" s="9" t="s">
        <v>86</v>
      </c>
      <c r="BC1" s="9" t="s">
        <v>87</v>
      </c>
      <c r="BD1" s="9" t="s">
        <v>88</v>
      </c>
    </row>
    <row r="2" spans="1:56" ht="42" x14ac:dyDescent="0.25">
      <c r="A2" s="11" t="s">
        <v>89</v>
      </c>
      <c r="B2" s="11" t="s">
        <v>90</v>
      </c>
      <c r="C2" s="11"/>
      <c r="D2" s="11" t="s">
        <v>91</v>
      </c>
      <c r="E2" s="11" t="s">
        <v>92</v>
      </c>
      <c r="F2" s="11" t="s">
        <v>90</v>
      </c>
      <c r="G2" s="11" t="s">
        <v>93</v>
      </c>
      <c r="H2" s="11" t="s">
        <v>94</v>
      </c>
      <c r="I2" s="11" t="s">
        <v>95</v>
      </c>
      <c r="J2" s="11" t="s">
        <v>96</v>
      </c>
      <c r="K2" s="11" t="s">
        <v>97</v>
      </c>
      <c r="L2" s="11" t="s">
        <v>98</v>
      </c>
      <c r="M2" s="11" t="s">
        <v>99</v>
      </c>
      <c r="N2" s="11" t="s">
        <v>100</v>
      </c>
      <c r="O2" s="11" t="s">
        <v>101</v>
      </c>
      <c r="P2" s="11" t="s">
        <v>102</v>
      </c>
      <c r="Q2" s="12" t="s">
        <v>103</v>
      </c>
      <c r="R2" s="13" t="s">
        <v>103</v>
      </c>
      <c r="S2" s="11"/>
      <c r="T2" s="11"/>
      <c r="U2" s="11" t="s">
        <v>104</v>
      </c>
      <c r="V2" s="11" t="s">
        <v>105</v>
      </c>
      <c r="W2" s="11" t="s">
        <v>106</v>
      </c>
      <c r="X2" s="11"/>
      <c r="Y2" s="11"/>
      <c r="Z2" s="11"/>
      <c r="AA2" s="12">
        <v>1</v>
      </c>
      <c r="AB2" s="12"/>
      <c r="AC2" s="11" t="s">
        <v>107</v>
      </c>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row>
    <row r="3" spans="1:56" ht="56" x14ac:dyDescent="0.25">
      <c r="A3" s="11" t="s">
        <v>108</v>
      </c>
      <c r="B3" s="11" t="s">
        <v>109</v>
      </c>
      <c r="C3" s="11"/>
      <c r="D3" s="11" t="s">
        <v>91</v>
      </c>
      <c r="E3" s="11" t="s">
        <v>92</v>
      </c>
      <c r="F3" s="11" t="s">
        <v>110</v>
      </c>
      <c r="G3" s="11" t="s">
        <v>111</v>
      </c>
      <c r="H3" s="11" t="s">
        <v>94</v>
      </c>
      <c r="I3" s="11" t="s">
        <v>112</v>
      </c>
      <c r="J3" s="11" t="s">
        <v>112</v>
      </c>
      <c r="K3" s="11" t="s">
        <v>113</v>
      </c>
      <c r="L3" s="11" t="s">
        <v>114</v>
      </c>
      <c r="M3" s="11" t="s">
        <v>115</v>
      </c>
      <c r="N3" s="11" t="s">
        <v>100</v>
      </c>
      <c r="O3" s="11" t="s">
        <v>101</v>
      </c>
      <c r="P3" s="11" t="s">
        <v>102</v>
      </c>
      <c r="Q3" s="12" t="s">
        <v>103</v>
      </c>
      <c r="R3" s="13" t="s">
        <v>103</v>
      </c>
      <c r="S3" s="11"/>
      <c r="T3" s="11"/>
      <c r="U3" s="11" t="s">
        <v>104</v>
      </c>
      <c r="V3" s="11" t="s">
        <v>105</v>
      </c>
      <c r="W3" s="11" t="s">
        <v>106</v>
      </c>
      <c r="X3" s="11"/>
      <c r="Y3" s="11"/>
      <c r="Z3" s="11"/>
      <c r="AA3" s="12">
        <v>2</v>
      </c>
      <c r="AB3" s="12"/>
      <c r="AC3" s="11" t="s">
        <v>116</v>
      </c>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row>
    <row r="4" spans="1:56" ht="42" x14ac:dyDescent="0.25">
      <c r="A4" s="11" t="s">
        <v>117</v>
      </c>
      <c r="B4" s="11" t="s">
        <v>118</v>
      </c>
      <c r="C4" s="11"/>
      <c r="D4" s="11" t="s">
        <v>91</v>
      </c>
      <c r="E4" s="11"/>
      <c r="F4" s="11" t="s">
        <v>119</v>
      </c>
      <c r="G4" s="11" t="s">
        <v>120</v>
      </c>
      <c r="H4" s="11" t="s">
        <v>94</v>
      </c>
      <c r="I4" s="11" t="s">
        <v>121</v>
      </c>
      <c r="J4" s="11" t="s">
        <v>122</v>
      </c>
      <c r="K4" s="11" t="s">
        <v>123</v>
      </c>
      <c r="L4" s="11" t="s">
        <v>124</v>
      </c>
      <c r="M4" s="11" t="s">
        <v>125</v>
      </c>
      <c r="N4" s="11" t="s">
        <v>100</v>
      </c>
      <c r="O4" s="11" t="s">
        <v>126</v>
      </c>
      <c r="P4" s="11" t="s">
        <v>102</v>
      </c>
      <c r="Q4" s="12" t="s">
        <v>103</v>
      </c>
      <c r="R4" s="13" t="s">
        <v>103</v>
      </c>
      <c r="S4" s="11"/>
      <c r="T4" s="11"/>
      <c r="U4" s="11" t="s">
        <v>104</v>
      </c>
      <c r="V4" s="11" t="s">
        <v>105</v>
      </c>
      <c r="W4" s="11" t="s">
        <v>106</v>
      </c>
      <c r="X4" s="11"/>
      <c r="Y4" s="11"/>
      <c r="Z4" s="11"/>
      <c r="AA4" s="12">
        <v>3</v>
      </c>
      <c r="AB4" s="12"/>
      <c r="AC4" s="11" t="s">
        <v>118</v>
      </c>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row>
    <row r="5" spans="1:56" ht="56" x14ac:dyDescent="0.25">
      <c r="A5" s="11" t="s">
        <v>127</v>
      </c>
      <c r="B5" s="11" t="s">
        <v>128</v>
      </c>
      <c r="C5" s="11"/>
      <c r="D5" s="11" t="s">
        <v>91</v>
      </c>
      <c r="E5" s="11" t="s">
        <v>92</v>
      </c>
      <c r="F5" s="11" t="s">
        <v>129</v>
      </c>
      <c r="G5" s="11" t="s">
        <v>130</v>
      </c>
      <c r="H5" s="11" t="s">
        <v>94</v>
      </c>
      <c r="I5" s="11" t="s">
        <v>121</v>
      </c>
      <c r="J5" s="11" t="s">
        <v>131</v>
      </c>
      <c r="K5" s="11" t="s">
        <v>123</v>
      </c>
      <c r="L5" s="11" t="s">
        <v>132</v>
      </c>
      <c r="M5" s="11" t="s">
        <v>133</v>
      </c>
      <c r="N5" s="11" t="s">
        <v>100</v>
      </c>
      <c r="O5" s="11" t="s">
        <v>101</v>
      </c>
      <c r="P5" s="11" t="s">
        <v>102</v>
      </c>
      <c r="Q5" s="12"/>
      <c r="R5" s="13"/>
      <c r="S5" s="11"/>
      <c r="T5" s="11"/>
      <c r="U5" s="11" t="s">
        <v>104</v>
      </c>
      <c r="V5" s="11" t="s">
        <v>105</v>
      </c>
      <c r="W5" s="11" t="s">
        <v>106</v>
      </c>
      <c r="X5" s="11"/>
      <c r="Y5" s="11"/>
      <c r="Z5" s="11"/>
      <c r="AA5" s="12">
        <v>4</v>
      </c>
      <c r="AB5" s="12"/>
      <c r="AC5" s="11" t="s">
        <v>134</v>
      </c>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row>
    <row r="6" spans="1:56" ht="42" x14ac:dyDescent="0.25">
      <c r="A6" s="11" t="s">
        <v>135</v>
      </c>
      <c r="B6" s="11" t="s">
        <v>136</v>
      </c>
      <c r="C6" s="11"/>
      <c r="D6" s="11" t="s">
        <v>91</v>
      </c>
      <c r="E6" s="11" t="s">
        <v>92</v>
      </c>
      <c r="F6" s="11" t="s">
        <v>136</v>
      </c>
      <c r="G6" s="11" t="s">
        <v>137</v>
      </c>
      <c r="H6" s="11" t="s">
        <v>94</v>
      </c>
      <c r="I6" s="11" t="s">
        <v>121</v>
      </c>
      <c r="J6" s="11" t="s">
        <v>122</v>
      </c>
      <c r="K6" s="11" t="s">
        <v>123</v>
      </c>
      <c r="L6" s="11" t="s">
        <v>138</v>
      </c>
      <c r="M6" s="11" t="s">
        <v>139</v>
      </c>
      <c r="N6" s="11" t="s">
        <v>100</v>
      </c>
      <c r="O6" s="11" t="s">
        <v>140</v>
      </c>
      <c r="P6" s="11" t="s">
        <v>102</v>
      </c>
      <c r="Q6" s="12" t="s">
        <v>103</v>
      </c>
      <c r="R6" s="13" t="s">
        <v>103</v>
      </c>
      <c r="S6" s="11"/>
      <c r="T6" s="11"/>
      <c r="U6" s="11" t="s">
        <v>104</v>
      </c>
      <c r="V6" s="11" t="s">
        <v>105</v>
      </c>
      <c r="W6" s="11" t="s">
        <v>106</v>
      </c>
      <c r="X6" s="11"/>
      <c r="Y6" s="11"/>
      <c r="Z6" s="11"/>
      <c r="AA6" s="12">
        <v>5</v>
      </c>
      <c r="AB6" s="12"/>
      <c r="AC6" s="11" t="s">
        <v>136</v>
      </c>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row>
    <row r="7" spans="1:56" ht="70" x14ac:dyDescent="0.25">
      <c r="A7" s="11" t="s">
        <v>141</v>
      </c>
      <c r="B7" s="11" t="s">
        <v>142</v>
      </c>
      <c r="C7" s="11"/>
      <c r="D7" s="11" t="s">
        <v>91</v>
      </c>
      <c r="E7" s="11" t="s">
        <v>92</v>
      </c>
      <c r="F7" s="11" t="s">
        <v>143</v>
      </c>
      <c r="G7" s="11" t="s">
        <v>144</v>
      </c>
      <c r="H7" s="11" t="s">
        <v>94</v>
      </c>
      <c r="I7" s="11" t="s">
        <v>121</v>
      </c>
      <c r="J7" s="11" t="s">
        <v>145</v>
      </c>
      <c r="K7" s="11" t="s">
        <v>123</v>
      </c>
      <c r="L7" s="11" t="s">
        <v>146</v>
      </c>
      <c r="M7" s="11" t="s">
        <v>133</v>
      </c>
      <c r="N7" s="11" t="s">
        <v>100</v>
      </c>
      <c r="O7" s="11" t="s">
        <v>101</v>
      </c>
      <c r="P7" s="11" t="s">
        <v>102</v>
      </c>
      <c r="Q7" s="12" t="s">
        <v>103</v>
      </c>
      <c r="R7" s="13" t="s">
        <v>103</v>
      </c>
      <c r="S7" s="11"/>
      <c r="T7" s="11"/>
      <c r="U7" s="11" t="s">
        <v>104</v>
      </c>
      <c r="V7" s="11" t="s">
        <v>105</v>
      </c>
      <c r="W7" s="11" t="s">
        <v>106</v>
      </c>
      <c r="X7" s="11"/>
      <c r="Y7" s="11"/>
      <c r="Z7" s="11"/>
      <c r="AA7" s="12">
        <v>6</v>
      </c>
      <c r="AB7" s="12"/>
      <c r="AC7" s="11" t="s">
        <v>143</v>
      </c>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row>
    <row r="8" spans="1:56" ht="70" x14ac:dyDescent="0.25">
      <c r="A8" s="11" t="s">
        <v>147</v>
      </c>
      <c r="B8" s="11" t="s">
        <v>148</v>
      </c>
      <c r="C8" s="11"/>
      <c r="D8" s="11" t="s">
        <v>91</v>
      </c>
      <c r="E8" s="11" t="s">
        <v>92</v>
      </c>
      <c r="F8" s="11" t="s">
        <v>143</v>
      </c>
      <c r="G8" s="11" t="s">
        <v>149</v>
      </c>
      <c r="H8" s="11" t="s">
        <v>94</v>
      </c>
      <c r="I8" s="11" t="s">
        <v>121</v>
      </c>
      <c r="J8" s="11" t="s">
        <v>145</v>
      </c>
      <c r="K8" s="11" t="s">
        <v>123</v>
      </c>
      <c r="L8" s="11" t="s">
        <v>150</v>
      </c>
      <c r="M8" s="11" t="s">
        <v>133</v>
      </c>
      <c r="N8" s="11" t="s">
        <v>100</v>
      </c>
      <c r="O8" s="11" t="s">
        <v>101</v>
      </c>
      <c r="P8" s="11" t="s">
        <v>102</v>
      </c>
      <c r="Q8" s="12" t="s">
        <v>103</v>
      </c>
      <c r="R8" s="13" t="s">
        <v>103</v>
      </c>
      <c r="S8" s="11"/>
      <c r="T8" s="11"/>
      <c r="U8" s="11" t="s">
        <v>104</v>
      </c>
      <c r="V8" s="11" t="s">
        <v>105</v>
      </c>
      <c r="W8" s="11" t="s">
        <v>106</v>
      </c>
      <c r="X8" s="11"/>
      <c r="Y8" s="11"/>
      <c r="Z8" s="11"/>
      <c r="AA8" s="12">
        <v>7</v>
      </c>
      <c r="AB8" s="12"/>
      <c r="AC8" s="11" t="s">
        <v>143</v>
      </c>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row>
    <row r="9" spans="1:56" ht="42" x14ac:dyDescent="0.25">
      <c r="A9" s="11" t="s">
        <v>151</v>
      </c>
      <c r="B9" s="11" t="s">
        <v>152</v>
      </c>
      <c r="C9" s="11"/>
      <c r="D9" s="11" t="s">
        <v>91</v>
      </c>
      <c r="E9" s="11" t="s">
        <v>92</v>
      </c>
      <c r="F9" s="11" t="s">
        <v>152</v>
      </c>
      <c r="G9" s="11" t="s">
        <v>153</v>
      </c>
      <c r="H9" s="11" t="s">
        <v>94</v>
      </c>
      <c r="I9" s="11" t="s">
        <v>121</v>
      </c>
      <c r="J9" s="11" t="s">
        <v>122</v>
      </c>
      <c r="K9" s="11" t="s">
        <v>123</v>
      </c>
      <c r="L9" s="11" t="s">
        <v>154</v>
      </c>
      <c r="M9" s="11" t="s">
        <v>139</v>
      </c>
      <c r="N9" s="11" t="s">
        <v>100</v>
      </c>
      <c r="O9" s="11" t="s">
        <v>155</v>
      </c>
      <c r="P9" s="11" t="s">
        <v>102</v>
      </c>
      <c r="Q9" s="12" t="s">
        <v>103</v>
      </c>
      <c r="R9" s="13" t="s">
        <v>103</v>
      </c>
      <c r="S9" s="11"/>
      <c r="T9" s="11"/>
      <c r="U9" s="11" t="s">
        <v>104</v>
      </c>
      <c r="V9" s="11" t="s">
        <v>105</v>
      </c>
      <c r="W9" s="11" t="s">
        <v>106</v>
      </c>
      <c r="X9" s="11"/>
      <c r="Y9" s="11"/>
      <c r="Z9" s="11"/>
      <c r="AA9" s="12">
        <v>8</v>
      </c>
      <c r="AB9" s="12"/>
      <c r="AC9" s="11" t="s">
        <v>107</v>
      </c>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row>
    <row r="10" spans="1:56" ht="56" x14ac:dyDescent="0.25">
      <c r="A10" s="11" t="s">
        <v>156</v>
      </c>
      <c r="B10" s="11" t="s">
        <v>157</v>
      </c>
      <c r="C10" s="11"/>
      <c r="D10" s="11" t="s">
        <v>91</v>
      </c>
      <c r="E10" s="11"/>
      <c r="F10" s="11" t="s">
        <v>158</v>
      </c>
      <c r="G10" s="11" t="s">
        <v>159</v>
      </c>
      <c r="H10" s="11" t="s">
        <v>94</v>
      </c>
      <c r="I10" s="11" t="s">
        <v>160</v>
      </c>
      <c r="J10" s="11" t="s">
        <v>161</v>
      </c>
      <c r="K10" s="11" t="s">
        <v>123</v>
      </c>
      <c r="L10" s="11" t="s">
        <v>162</v>
      </c>
      <c r="M10" s="11" t="s">
        <v>125</v>
      </c>
      <c r="N10" s="11" t="s">
        <v>100</v>
      </c>
      <c r="O10" s="11" t="s">
        <v>101</v>
      </c>
      <c r="P10" s="11" t="s">
        <v>102</v>
      </c>
      <c r="Q10" s="12" t="s">
        <v>103</v>
      </c>
      <c r="R10" s="13" t="s">
        <v>103</v>
      </c>
      <c r="S10" s="11"/>
      <c r="T10" s="11"/>
      <c r="U10" s="11" t="s">
        <v>104</v>
      </c>
      <c r="V10" s="11" t="s">
        <v>105</v>
      </c>
      <c r="W10" s="11" t="s">
        <v>106</v>
      </c>
      <c r="X10" s="11"/>
      <c r="Y10" s="11"/>
      <c r="Z10" s="11"/>
      <c r="AA10" s="12">
        <v>9</v>
      </c>
      <c r="AB10" s="12"/>
      <c r="AC10" s="11" t="s">
        <v>116</v>
      </c>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row>
    <row r="11" spans="1:56" ht="56" x14ac:dyDescent="0.25">
      <c r="A11" s="11" t="s">
        <v>163</v>
      </c>
      <c r="B11" s="11" t="s">
        <v>164</v>
      </c>
      <c r="C11" s="11"/>
      <c r="D11" s="11" t="s">
        <v>91</v>
      </c>
      <c r="E11" s="11"/>
      <c r="F11" s="11" t="s">
        <v>165</v>
      </c>
      <c r="G11" s="11" t="s">
        <v>166</v>
      </c>
      <c r="H11" s="11" t="s">
        <v>94</v>
      </c>
      <c r="I11" s="11" t="s">
        <v>160</v>
      </c>
      <c r="J11" s="11" t="s">
        <v>167</v>
      </c>
      <c r="K11" s="11" t="s">
        <v>123</v>
      </c>
      <c r="L11" s="11" t="s">
        <v>168</v>
      </c>
      <c r="M11" s="11" t="s">
        <v>125</v>
      </c>
      <c r="N11" s="11" t="s">
        <v>100</v>
      </c>
      <c r="O11" s="11" t="s">
        <v>101</v>
      </c>
      <c r="P11" s="11" t="s">
        <v>102</v>
      </c>
      <c r="Q11" s="12" t="s">
        <v>103</v>
      </c>
      <c r="R11" s="13" t="s">
        <v>103</v>
      </c>
      <c r="S11" s="11"/>
      <c r="T11" s="11"/>
      <c r="U11" s="11" t="s">
        <v>104</v>
      </c>
      <c r="V11" s="11" t="s">
        <v>105</v>
      </c>
      <c r="W11" s="11" t="s">
        <v>106</v>
      </c>
      <c r="X11" s="11"/>
      <c r="Y11" s="11"/>
      <c r="Z11" s="11"/>
      <c r="AA11" s="12">
        <v>10</v>
      </c>
      <c r="AB11" s="12"/>
      <c r="AC11" s="11" t="s">
        <v>116</v>
      </c>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row>
    <row r="12" spans="1:56" ht="56" x14ac:dyDescent="0.25">
      <c r="A12" s="11" t="s">
        <v>169</v>
      </c>
      <c r="B12" s="11" t="s">
        <v>170</v>
      </c>
      <c r="C12" s="11"/>
      <c r="D12" s="11" t="s">
        <v>91</v>
      </c>
      <c r="E12" s="11" t="s">
        <v>92</v>
      </c>
      <c r="F12" s="11" t="s">
        <v>171</v>
      </c>
      <c r="G12" s="11" t="s">
        <v>172</v>
      </c>
      <c r="H12" s="11" t="s">
        <v>94</v>
      </c>
      <c r="I12" s="11" t="s">
        <v>95</v>
      </c>
      <c r="J12" s="11" t="s">
        <v>96</v>
      </c>
      <c r="K12" s="11" t="s">
        <v>123</v>
      </c>
      <c r="L12" s="11" t="s">
        <v>173</v>
      </c>
      <c r="M12" s="11" t="s">
        <v>139</v>
      </c>
      <c r="N12" s="11" t="s">
        <v>174</v>
      </c>
      <c r="O12" s="11" t="s">
        <v>175</v>
      </c>
      <c r="P12" s="11" t="s">
        <v>102</v>
      </c>
      <c r="Q12" s="12"/>
      <c r="R12" s="13"/>
      <c r="S12" s="11"/>
      <c r="T12" s="11"/>
      <c r="U12" s="11" t="s">
        <v>104</v>
      </c>
      <c r="V12" s="11" t="s">
        <v>105</v>
      </c>
      <c r="W12" s="11" t="s">
        <v>106</v>
      </c>
      <c r="X12" s="11"/>
      <c r="Y12" s="11"/>
      <c r="Z12" s="11"/>
      <c r="AA12" s="12">
        <v>11</v>
      </c>
      <c r="AB12" s="12"/>
      <c r="AC12" s="11" t="s">
        <v>171</v>
      </c>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row>
    <row r="13" spans="1:56" ht="56" x14ac:dyDescent="0.25">
      <c r="A13" s="11" t="s">
        <v>176</v>
      </c>
      <c r="B13" s="11" t="s">
        <v>177</v>
      </c>
      <c r="C13" s="11"/>
      <c r="D13" s="11" t="s">
        <v>91</v>
      </c>
      <c r="E13" s="11"/>
      <c r="F13" s="11" t="s">
        <v>178</v>
      </c>
      <c r="G13" s="11" t="s">
        <v>179</v>
      </c>
      <c r="H13" s="11" t="s">
        <v>94</v>
      </c>
      <c r="I13" s="11" t="s">
        <v>180</v>
      </c>
      <c r="J13" s="11" t="s">
        <v>181</v>
      </c>
      <c r="K13" s="11"/>
      <c r="L13" s="11" t="s">
        <v>182</v>
      </c>
      <c r="M13" s="11" t="s">
        <v>183</v>
      </c>
      <c r="N13" s="11" t="s">
        <v>100</v>
      </c>
      <c r="O13" s="11" t="s">
        <v>101</v>
      </c>
      <c r="P13" s="11" t="s">
        <v>102</v>
      </c>
      <c r="Q13" s="12" t="s">
        <v>103</v>
      </c>
      <c r="R13" s="13" t="s">
        <v>103</v>
      </c>
      <c r="S13" s="11"/>
      <c r="T13" s="11"/>
      <c r="U13" s="11" t="s">
        <v>104</v>
      </c>
      <c r="V13" s="11" t="s">
        <v>105</v>
      </c>
      <c r="W13" s="11" t="s">
        <v>106</v>
      </c>
      <c r="X13" s="11"/>
      <c r="Y13" s="11"/>
      <c r="Z13" s="11"/>
      <c r="AA13" s="12">
        <v>12</v>
      </c>
      <c r="AB13" s="12"/>
      <c r="AC13" s="11" t="s">
        <v>184</v>
      </c>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row>
    <row r="14" spans="1:56" ht="70" x14ac:dyDescent="0.25">
      <c r="A14" s="11" t="s">
        <v>185</v>
      </c>
      <c r="B14" s="11" t="s">
        <v>186</v>
      </c>
      <c r="C14" s="11"/>
      <c r="D14" s="11" t="s">
        <v>91</v>
      </c>
      <c r="E14" s="11"/>
      <c r="F14" s="11" t="s">
        <v>187</v>
      </c>
      <c r="G14" s="11" t="s">
        <v>188</v>
      </c>
      <c r="H14" s="11" t="s">
        <v>94</v>
      </c>
      <c r="I14" s="11" t="s">
        <v>180</v>
      </c>
      <c r="J14" s="11" t="s">
        <v>181</v>
      </c>
      <c r="K14" s="11"/>
      <c r="L14" s="11" t="s">
        <v>189</v>
      </c>
      <c r="M14" s="11" t="s">
        <v>183</v>
      </c>
      <c r="N14" s="11" t="s">
        <v>100</v>
      </c>
      <c r="O14" s="11" t="s">
        <v>101</v>
      </c>
      <c r="P14" s="11" t="s">
        <v>102</v>
      </c>
      <c r="Q14" s="12" t="s">
        <v>103</v>
      </c>
      <c r="R14" s="13" t="s">
        <v>103</v>
      </c>
      <c r="S14" s="11"/>
      <c r="T14" s="11"/>
      <c r="U14" s="11" t="s">
        <v>104</v>
      </c>
      <c r="V14" s="11" t="s">
        <v>105</v>
      </c>
      <c r="W14" s="11" t="s">
        <v>106</v>
      </c>
      <c r="X14" s="11"/>
      <c r="Y14" s="11"/>
      <c r="Z14" s="11"/>
      <c r="AA14" s="12">
        <v>13</v>
      </c>
      <c r="AB14" s="12"/>
      <c r="AC14" s="11" t="s">
        <v>184</v>
      </c>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row>
    <row r="15" spans="1:56" ht="70" x14ac:dyDescent="0.25">
      <c r="A15" s="11" t="s">
        <v>190</v>
      </c>
      <c r="B15" s="11" t="s">
        <v>191</v>
      </c>
      <c r="C15" s="11"/>
      <c r="D15" s="11" t="s">
        <v>91</v>
      </c>
      <c r="E15" s="11"/>
      <c r="F15" s="11" t="s">
        <v>192</v>
      </c>
      <c r="G15" s="11" t="s">
        <v>193</v>
      </c>
      <c r="H15" s="11" t="s">
        <v>94</v>
      </c>
      <c r="I15" s="11" t="s">
        <v>180</v>
      </c>
      <c r="J15" s="11" t="s">
        <v>181</v>
      </c>
      <c r="K15" s="11"/>
      <c r="L15" s="11" t="s">
        <v>194</v>
      </c>
      <c r="M15" s="11" t="s">
        <v>183</v>
      </c>
      <c r="N15" s="11" t="s">
        <v>100</v>
      </c>
      <c r="O15" s="11" t="s">
        <v>101</v>
      </c>
      <c r="P15" s="11" t="s">
        <v>102</v>
      </c>
      <c r="Q15" s="12" t="s">
        <v>103</v>
      </c>
      <c r="R15" s="13" t="s">
        <v>103</v>
      </c>
      <c r="S15" s="11"/>
      <c r="T15" s="11"/>
      <c r="U15" s="11" t="s">
        <v>104</v>
      </c>
      <c r="V15" s="11" t="s">
        <v>105</v>
      </c>
      <c r="W15" s="11" t="s">
        <v>106</v>
      </c>
      <c r="X15" s="11"/>
      <c r="Y15" s="11"/>
      <c r="Z15" s="11"/>
      <c r="AA15" s="12">
        <v>14</v>
      </c>
      <c r="AB15" s="12"/>
      <c r="AC15" s="11" t="s">
        <v>184</v>
      </c>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row>
    <row r="16" spans="1:56" ht="70" x14ac:dyDescent="0.25">
      <c r="A16" s="11" t="s">
        <v>195</v>
      </c>
      <c r="B16" s="11" t="s">
        <v>196</v>
      </c>
      <c r="C16" s="11"/>
      <c r="D16" s="11" t="s">
        <v>91</v>
      </c>
      <c r="E16" s="11"/>
      <c r="F16" s="11" t="s">
        <v>197</v>
      </c>
      <c r="G16" s="11" t="s">
        <v>198</v>
      </c>
      <c r="H16" s="11" t="s">
        <v>94</v>
      </c>
      <c r="I16" s="11" t="s">
        <v>180</v>
      </c>
      <c r="J16" s="11" t="s">
        <v>181</v>
      </c>
      <c r="K16" s="11"/>
      <c r="L16" s="11" t="s">
        <v>199</v>
      </c>
      <c r="M16" s="11" t="s">
        <v>183</v>
      </c>
      <c r="N16" s="11" t="s">
        <v>100</v>
      </c>
      <c r="O16" s="11" t="s">
        <v>101</v>
      </c>
      <c r="P16" s="11" t="s">
        <v>102</v>
      </c>
      <c r="Q16" s="12" t="s">
        <v>103</v>
      </c>
      <c r="R16" s="13" t="s">
        <v>103</v>
      </c>
      <c r="S16" s="11"/>
      <c r="T16" s="11"/>
      <c r="U16" s="11" t="s">
        <v>104</v>
      </c>
      <c r="V16" s="11" t="s">
        <v>105</v>
      </c>
      <c r="W16" s="11" t="s">
        <v>106</v>
      </c>
      <c r="X16" s="11"/>
      <c r="Y16" s="11"/>
      <c r="Z16" s="11"/>
      <c r="AA16" s="12">
        <v>15</v>
      </c>
      <c r="AB16" s="12"/>
      <c r="AC16" s="11" t="s">
        <v>184</v>
      </c>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row>
    <row r="17" spans="1:56" ht="56" x14ac:dyDescent="0.25">
      <c r="A17" s="11" t="s">
        <v>200</v>
      </c>
      <c r="B17" s="11" t="s">
        <v>201</v>
      </c>
      <c r="C17" s="11"/>
      <c r="D17" s="11" t="s">
        <v>91</v>
      </c>
      <c r="E17" s="11"/>
      <c r="F17" s="11" t="s">
        <v>202</v>
      </c>
      <c r="G17" s="11" t="s">
        <v>203</v>
      </c>
      <c r="H17" s="11" t="s">
        <v>94</v>
      </c>
      <c r="I17" s="11" t="s">
        <v>112</v>
      </c>
      <c r="J17" s="11" t="s">
        <v>112</v>
      </c>
      <c r="K17" s="11"/>
      <c r="L17" s="11" t="s">
        <v>204</v>
      </c>
      <c r="M17" s="11" t="s">
        <v>183</v>
      </c>
      <c r="N17" s="11" t="s">
        <v>100</v>
      </c>
      <c r="O17" s="11" t="s">
        <v>101</v>
      </c>
      <c r="P17" s="11" t="s">
        <v>102</v>
      </c>
      <c r="Q17" s="12" t="s">
        <v>103</v>
      </c>
      <c r="R17" s="13" t="s">
        <v>103</v>
      </c>
      <c r="S17" s="11"/>
      <c r="T17" s="11"/>
      <c r="U17" s="11" t="s">
        <v>104</v>
      </c>
      <c r="V17" s="11" t="s">
        <v>105</v>
      </c>
      <c r="W17" s="11" t="s">
        <v>106</v>
      </c>
      <c r="X17" s="11"/>
      <c r="Y17" s="11"/>
      <c r="Z17" s="11"/>
      <c r="AA17" s="12">
        <v>16</v>
      </c>
      <c r="AB17" s="12"/>
      <c r="AC17" s="11" t="s">
        <v>184</v>
      </c>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row>
    <row r="18" spans="1:56" ht="56" x14ac:dyDescent="0.25">
      <c r="A18" s="11" t="s">
        <v>205</v>
      </c>
      <c r="B18" s="11" t="s">
        <v>206</v>
      </c>
      <c r="C18" s="11"/>
      <c r="D18" s="11" t="s">
        <v>91</v>
      </c>
      <c r="E18" s="11"/>
      <c r="F18" s="11" t="s">
        <v>207</v>
      </c>
      <c r="G18" s="11" t="s">
        <v>208</v>
      </c>
      <c r="H18" s="11" t="s">
        <v>94</v>
      </c>
      <c r="I18" s="11" t="s">
        <v>112</v>
      </c>
      <c r="J18" s="11" t="s">
        <v>112</v>
      </c>
      <c r="K18" s="11"/>
      <c r="L18" s="11" t="s">
        <v>209</v>
      </c>
      <c r="M18" s="11" t="s">
        <v>183</v>
      </c>
      <c r="N18" s="11" t="s">
        <v>100</v>
      </c>
      <c r="O18" s="11" t="s">
        <v>101</v>
      </c>
      <c r="P18" s="11" t="s">
        <v>102</v>
      </c>
      <c r="Q18" s="12" t="s">
        <v>103</v>
      </c>
      <c r="R18" s="13" t="s">
        <v>103</v>
      </c>
      <c r="S18" s="11"/>
      <c r="T18" s="11"/>
      <c r="U18" s="11" t="s">
        <v>104</v>
      </c>
      <c r="V18" s="11" t="s">
        <v>105</v>
      </c>
      <c r="W18" s="11" t="s">
        <v>106</v>
      </c>
      <c r="X18" s="11"/>
      <c r="Y18" s="11"/>
      <c r="Z18" s="11"/>
      <c r="AA18" s="12">
        <v>17</v>
      </c>
      <c r="AB18" s="12"/>
      <c r="AC18" s="11" t="s">
        <v>184</v>
      </c>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row>
    <row r="19" spans="1:56" ht="84" x14ac:dyDescent="0.25">
      <c r="A19" s="11" t="s">
        <v>210</v>
      </c>
      <c r="B19" s="11" t="s">
        <v>211</v>
      </c>
      <c r="C19" s="11"/>
      <c r="D19" s="11" t="s">
        <v>91</v>
      </c>
      <c r="E19" s="11"/>
      <c r="F19" s="11" t="s">
        <v>212</v>
      </c>
      <c r="G19" s="11" t="s">
        <v>213</v>
      </c>
      <c r="H19" s="11" t="s">
        <v>94</v>
      </c>
      <c r="I19" s="11" t="s">
        <v>112</v>
      </c>
      <c r="J19" s="11" t="s">
        <v>112</v>
      </c>
      <c r="K19" s="11"/>
      <c r="L19" s="11" t="s">
        <v>214</v>
      </c>
      <c r="M19" s="11" t="s">
        <v>183</v>
      </c>
      <c r="N19" s="11" t="s">
        <v>100</v>
      </c>
      <c r="O19" s="11" t="s">
        <v>101</v>
      </c>
      <c r="P19" s="11" t="s">
        <v>102</v>
      </c>
      <c r="Q19" s="12" t="s">
        <v>103</v>
      </c>
      <c r="R19" s="13" t="s">
        <v>103</v>
      </c>
      <c r="S19" s="11"/>
      <c r="T19" s="11"/>
      <c r="U19" s="11" t="s">
        <v>104</v>
      </c>
      <c r="V19" s="11" t="s">
        <v>105</v>
      </c>
      <c r="W19" s="11" t="s">
        <v>106</v>
      </c>
      <c r="X19" s="11"/>
      <c r="Y19" s="11"/>
      <c r="Z19" s="11"/>
      <c r="AA19" s="12">
        <v>18</v>
      </c>
      <c r="AB19" s="12"/>
      <c r="AC19" s="11" t="s">
        <v>184</v>
      </c>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row>
    <row r="20" spans="1:56" ht="56" x14ac:dyDescent="0.25">
      <c r="A20" s="11" t="s">
        <v>215</v>
      </c>
      <c r="B20" s="11" t="s">
        <v>216</v>
      </c>
      <c r="C20" s="11"/>
      <c r="D20" s="11" t="s">
        <v>91</v>
      </c>
      <c r="E20" s="11"/>
      <c r="F20" s="11" t="s">
        <v>217</v>
      </c>
      <c r="G20" s="11" t="s">
        <v>218</v>
      </c>
      <c r="H20" s="11" t="s">
        <v>94</v>
      </c>
      <c r="I20" s="11" t="s">
        <v>112</v>
      </c>
      <c r="J20" s="11" t="s">
        <v>112</v>
      </c>
      <c r="K20" s="11"/>
      <c r="L20" s="11" t="s">
        <v>219</v>
      </c>
      <c r="M20" s="11" t="s">
        <v>183</v>
      </c>
      <c r="N20" s="11" t="s">
        <v>100</v>
      </c>
      <c r="O20" s="11" t="s">
        <v>101</v>
      </c>
      <c r="P20" s="11" t="s">
        <v>102</v>
      </c>
      <c r="Q20" s="12" t="s">
        <v>103</v>
      </c>
      <c r="R20" s="13" t="s">
        <v>103</v>
      </c>
      <c r="S20" s="11"/>
      <c r="T20" s="11"/>
      <c r="U20" s="11" t="s">
        <v>104</v>
      </c>
      <c r="V20" s="11" t="s">
        <v>105</v>
      </c>
      <c r="W20" s="11" t="s">
        <v>106</v>
      </c>
      <c r="X20" s="11"/>
      <c r="Y20" s="11"/>
      <c r="Z20" s="11"/>
      <c r="AA20" s="12">
        <v>19</v>
      </c>
      <c r="AB20" s="12"/>
      <c r="AC20" s="11" t="s">
        <v>184</v>
      </c>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row>
    <row r="21" spans="1:56" ht="56" x14ac:dyDescent="0.25">
      <c r="A21" s="11" t="s">
        <v>220</v>
      </c>
      <c r="B21" s="11" t="s">
        <v>221</v>
      </c>
      <c r="C21" s="11"/>
      <c r="D21" s="11" t="s">
        <v>91</v>
      </c>
      <c r="E21" s="11"/>
      <c r="F21" s="11" t="s">
        <v>222</v>
      </c>
      <c r="G21" s="11" t="s">
        <v>223</v>
      </c>
      <c r="H21" s="11" t="s">
        <v>94</v>
      </c>
      <c r="I21" s="11" t="s">
        <v>112</v>
      </c>
      <c r="J21" s="11" t="s">
        <v>112</v>
      </c>
      <c r="K21" s="11"/>
      <c r="L21" s="11" t="s">
        <v>224</v>
      </c>
      <c r="M21" s="11" t="s">
        <v>183</v>
      </c>
      <c r="N21" s="11" t="s">
        <v>100</v>
      </c>
      <c r="O21" s="11" t="s">
        <v>101</v>
      </c>
      <c r="P21" s="11" t="s">
        <v>102</v>
      </c>
      <c r="Q21" s="12" t="s">
        <v>103</v>
      </c>
      <c r="R21" s="13" t="s">
        <v>103</v>
      </c>
      <c r="S21" s="11"/>
      <c r="T21" s="11"/>
      <c r="U21" s="11" t="s">
        <v>104</v>
      </c>
      <c r="V21" s="11" t="s">
        <v>105</v>
      </c>
      <c r="W21" s="11" t="s">
        <v>106</v>
      </c>
      <c r="X21" s="11"/>
      <c r="Y21" s="11"/>
      <c r="Z21" s="11"/>
      <c r="AA21" s="12">
        <v>20</v>
      </c>
      <c r="AB21" s="12"/>
      <c r="AC21" s="11" t="s">
        <v>184</v>
      </c>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row>
    <row r="22" spans="1:56" ht="56" x14ac:dyDescent="0.25">
      <c r="A22" s="11" t="s">
        <v>225</v>
      </c>
      <c r="B22" s="11" t="s">
        <v>226</v>
      </c>
      <c r="C22" s="11"/>
      <c r="D22" s="11" t="s">
        <v>91</v>
      </c>
      <c r="E22" s="11" t="s">
        <v>92</v>
      </c>
      <c r="F22" s="11" t="s">
        <v>226</v>
      </c>
      <c r="G22" s="11" t="s">
        <v>227</v>
      </c>
      <c r="H22" s="11" t="s">
        <v>94</v>
      </c>
      <c r="I22" s="11" t="s">
        <v>112</v>
      </c>
      <c r="J22" s="11" t="s">
        <v>112</v>
      </c>
      <c r="K22" s="11" t="s">
        <v>123</v>
      </c>
      <c r="L22" s="11" t="s">
        <v>228</v>
      </c>
      <c r="M22" s="11" t="s">
        <v>115</v>
      </c>
      <c r="N22" s="11" t="s">
        <v>100</v>
      </c>
      <c r="O22" s="11" t="s">
        <v>101</v>
      </c>
      <c r="P22" s="11" t="s">
        <v>102</v>
      </c>
      <c r="Q22" s="12" t="s">
        <v>103</v>
      </c>
      <c r="R22" s="13" t="s">
        <v>103</v>
      </c>
      <c r="S22" s="11"/>
      <c r="T22" s="11"/>
      <c r="U22" s="11" t="s">
        <v>104</v>
      </c>
      <c r="V22" s="11" t="s">
        <v>105</v>
      </c>
      <c r="W22" s="11" t="s">
        <v>106</v>
      </c>
      <c r="X22" s="11"/>
      <c r="Y22" s="11"/>
      <c r="Z22" s="11"/>
      <c r="AA22" s="12">
        <v>21</v>
      </c>
      <c r="AB22" s="12"/>
      <c r="AC22" s="11" t="s">
        <v>116</v>
      </c>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row>
    <row r="23" spans="1:56" ht="56" x14ac:dyDescent="0.25">
      <c r="A23" s="11" t="s">
        <v>229</v>
      </c>
      <c r="B23" s="11" t="s">
        <v>230</v>
      </c>
      <c r="C23" s="11"/>
      <c r="D23" s="11" t="s">
        <v>91</v>
      </c>
      <c r="E23" s="11" t="s">
        <v>92</v>
      </c>
      <c r="F23" s="11" t="s">
        <v>231</v>
      </c>
      <c r="G23" s="11" t="s">
        <v>232</v>
      </c>
      <c r="H23" s="11" t="s">
        <v>94</v>
      </c>
      <c r="I23" s="11" t="s">
        <v>180</v>
      </c>
      <c r="J23" s="11" t="s">
        <v>233</v>
      </c>
      <c r="K23" s="11" t="s">
        <v>123</v>
      </c>
      <c r="L23" s="11" t="s">
        <v>234</v>
      </c>
      <c r="M23" s="11" t="s">
        <v>183</v>
      </c>
      <c r="N23" s="11" t="s">
        <v>174</v>
      </c>
      <c r="O23" s="11" t="s">
        <v>101</v>
      </c>
      <c r="P23" s="11" t="s">
        <v>102</v>
      </c>
      <c r="Q23" s="12">
        <v>114.29</v>
      </c>
      <c r="R23" s="13">
        <v>22.7</v>
      </c>
      <c r="S23" s="11"/>
      <c r="T23" s="11"/>
      <c r="U23" s="11" t="s">
        <v>104</v>
      </c>
      <c r="V23" s="11" t="s">
        <v>105</v>
      </c>
      <c r="W23" s="11" t="s">
        <v>106</v>
      </c>
      <c r="X23" s="11"/>
      <c r="Y23" s="11"/>
      <c r="Z23" s="11"/>
      <c r="AA23" s="12">
        <v>22</v>
      </c>
      <c r="AB23" s="14" t="s">
        <v>235</v>
      </c>
      <c r="AC23" s="11" t="s">
        <v>107</v>
      </c>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row>
    <row r="24" spans="1:56" ht="56" x14ac:dyDescent="0.25">
      <c r="A24" s="11" t="s">
        <v>236</v>
      </c>
      <c r="B24" s="11" t="s">
        <v>237</v>
      </c>
      <c r="C24" s="11"/>
      <c r="D24" s="11" t="s">
        <v>91</v>
      </c>
      <c r="E24" s="11" t="s">
        <v>92</v>
      </c>
      <c r="F24" s="11" t="s">
        <v>238</v>
      </c>
      <c r="G24" s="11" t="s">
        <v>239</v>
      </c>
      <c r="H24" s="11" t="s">
        <v>94</v>
      </c>
      <c r="I24" s="11" t="s">
        <v>240</v>
      </c>
      <c r="J24" s="11" t="s">
        <v>241</v>
      </c>
      <c r="K24" s="11"/>
      <c r="L24" s="11" t="s">
        <v>242</v>
      </c>
      <c r="M24" s="11" t="s">
        <v>99</v>
      </c>
      <c r="N24" s="11" t="s">
        <v>100</v>
      </c>
      <c r="O24" s="11" t="s">
        <v>101</v>
      </c>
      <c r="P24" s="11" t="s">
        <v>102</v>
      </c>
      <c r="Q24" s="12">
        <v>110.323599</v>
      </c>
      <c r="R24" s="13">
        <v>21.320903999999999</v>
      </c>
      <c r="S24" s="11" t="s">
        <v>243</v>
      </c>
      <c r="T24" s="11"/>
      <c r="U24" s="11" t="s">
        <v>104</v>
      </c>
      <c r="V24" s="11" t="s">
        <v>105</v>
      </c>
      <c r="W24" s="11" t="s">
        <v>106</v>
      </c>
      <c r="X24" s="11"/>
      <c r="Y24" s="11"/>
      <c r="Z24" s="11"/>
      <c r="AA24" s="12">
        <v>23</v>
      </c>
      <c r="AB24" s="12"/>
      <c r="AC24" s="11" t="s">
        <v>244</v>
      </c>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row>
    <row r="25" spans="1:56" ht="56" x14ac:dyDescent="0.25">
      <c r="A25" s="11" t="s">
        <v>245</v>
      </c>
      <c r="B25" s="11" t="s">
        <v>246</v>
      </c>
      <c r="C25" s="11"/>
      <c r="D25" s="11" t="s">
        <v>91</v>
      </c>
      <c r="E25" s="11" t="s">
        <v>92</v>
      </c>
      <c r="F25" s="11" t="s">
        <v>247</v>
      </c>
      <c r="G25" s="11" t="s">
        <v>248</v>
      </c>
      <c r="H25" s="11" t="s">
        <v>94</v>
      </c>
      <c r="I25" s="11" t="s">
        <v>240</v>
      </c>
      <c r="J25" s="11" t="s">
        <v>241</v>
      </c>
      <c r="K25" s="11"/>
      <c r="L25" s="11" t="s">
        <v>249</v>
      </c>
      <c r="M25" s="11" t="s">
        <v>99</v>
      </c>
      <c r="N25" s="11" t="s">
        <v>100</v>
      </c>
      <c r="O25" s="11" t="s">
        <v>101</v>
      </c>
      <c r="P25" s="11" t="s">
        <v>102</v>
      </c>
      <c r="Q25" s="12">
        <v>110.25684800000001</v>
      </c>
      <c r="R25" s="13">
        <v>21.377718000000002</v>
      </c>
      <c r="S25" s="11" t="s">
        <v>250</v>
      </c>
      <c r="T25" s="11"/>
      <c r="U25" s="11" t="s">
        <v>104</v>
      </c>
      <c r="V25" s="11" t="s">
        <v>105</v>
      </c>
      <c r="W25" s="11" t="s">
        <v>106</v>
      </c>
      <c r="X25" s="11"/>
      <c r="Y25" s="11"/>
      <c r="Z25" s="11"/>
      <c r="AA25" s="12">
        <v>24</v>
      </c>
      <c r="AB25" s="12"/>
      <c r="AC25" s="11" t="s">
        <v>244</v>
      </c>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row>
    <row r="26" spans="1:56" ht="56" x14ac:dyDescent="0.25">
      <c r="A26" s="11" t="s">
        <v>251</v>
      </c>
      <c r="B26" s="11" t="s">
        <v>252</v>
      </c>
      <c r="C26" s="11"/>
      <c r="D26" s="11" t="s">
        <v>91</v>
      </c>
      <c r="E26" s="11" t="s">
        <v>92</v>
      </c>
      <c r="F26" s="11" t="s">
        <v>247</v>
      </c>
      <c r="G26" s="11" t="s">
        <v>253</v>
      </c>
      <c r="H26" s="11" t="s">
        <v>94</v>
      </c>
      <c r="I26" s="11" t="s">
        <v>240</v>
      </c>
      <c r="J26" s="11" t="s">
        <v>241</v>
      </c>
      <c r="K26" s="11"/>
      <c r="L26" s="11" t="s">
        <v>254</v>
      </c>
      <c r="M26" s="11" t="s">
        <v>99</v>
      </c>
      <c r="N26" s="11" t="s">
        <v>100</v>
      </c>
      <c r="O26" s="11" t="s">
        <v>101</v>
      </c>
      <c r="P26" s="11" t="s">
        <v>102</v>
      </c>
      <c r="Q26" s="12">
        <v>110.248718</v>
      </c>
      <c r="R26" s="13">
        <v>21.366958</v>
      </c>
      <c r="S26" s="11" t="s">
        <v>255</v>
      </c>
      <c r="T26" s="11"/>
      <c r="U26" s="11" t="s">
        <v>104</v>
      </c>
      <c r="V26" s="11" t="s">
        <v>105</v>
      </c>
      <c r="W26" s="11" t="s">
        <v>106</v>
      </c>
      <c r="X26" s="11"/>
      <c r="Y26" s="11"/>
      <c r="Z26" s="11"/>
      <c r="AA26" s="12">
        <v>25</v>
      </c>
      <c r="AB26" s="12"/>
      <c r="AC26" s="11" t="s">
        <v>244</v>
      </c>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row>
    <row r="27" spans="1:56" ht="56" x14ac:dyDescent="0.25">
      <c r="A27" s="11" t="s">
        <v>256</v>
      </c>
      <c r="B27" s="11" t="s">
        <v>257</v>
      </c>
      <c r="C27" s="11"/>
      <c r="D27" s="11" t="s">
        <v>91</v>
      </c>
      <c r="E27" s="11" t="s">
        <v>92</v>
      </c>
      <c r="F27" s="11" t="s">
        <v>258</v>
      </c>
      <c r="G27" s="11" t="s">
        <v>259</v>
      </c>
      <c r="H27" s="11" t="s">
        <v>94</v>
      </c>
      <c r="I27" s="11" t="s">
        <v>240</v>
      </c>
      <c r="J27" s="11" t="s">
        <v>260</v>
      </c>
      <c r="K27" s="11"/>
      <c r="L27" s="11" t="s">
        <v>261</v>
      </c>
      <c r="M27" s="11" t="s">
        <v>99</v>
      </c>
      <c r="N27" s="11" t="s">
        <v>100</v>
      </c>
      <c r="O27" s="11" t="s">
        <v>101</v>
      </c>
      <c r="P27" s="11" t="s">
        <v>102</v>
      </c>
      <c r="Q27" s="12">
        <v>110.378651</v>
      </c>
      <c r="R27" s="13">
        <v>21.275911000000001</v>
      </c>
      <c r="S27" s="11" t="s">
        <v>262</v>
      </c>
      <c r="T27" s="11"/>
      <c r="U27" s="11" t="s">
        <v>104</v>
      </c>
      <c r="V27" s="11" t="s">
        <v>105</v>
      </c>
      <c r="W27" s="11" t="s">
        <v>106</v>
      </c>
      <c r="X27" s="11"/>
      <c r="Y27" s="11"/>
      <c r="Z27" s="11"/>
      <c r="AA27" s="12">
        <v>26</v>
      </c>
      <c r="AB27" s="12"/>
      <c r="AC27" s="11" t="s">
        <v>244</v>
      </c>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row>
    <row r="28" spans="1:56" ht="56" x14ac:dyDescent="0.25">
      <c r="A28" s="11" t="s">
        <v>263</v>
      </c>
      <c r="B28" s="11" t="s">
        <v>264</v>
      </c>
      <c r="C28" s="11"/>
      <c r="D28" s="11" t="s">
        <v>91</v>
      </c>
      <c r="E28" s="11" t="s">
        <v>92</v>
      </c>
      <c r="F28" s="11" t="s">
        <v>247</v>
      </c>
      <c r="G28" s="11" t="s">
        <v>265</v>
      </c>
      <c r="H28" s="11" t="s">
        <v>94</v>
      </c>
      <c r="I28" s="11" t="s">
        <v>240</v>
      </c>
      <c r="J28" s="11" t="s">
        <v>241</v>
      </c>
      <c r="K28" s="11"/>
      <c r="L28" s="11" t="s">
        <v>266</v>
      </c>
      <c r="M28" s="11" t="s">
        <v>99</v>
      </c>
      <c r="N28" s="11" t="s">
        <v>100</v>
      </c>
      <c r="O28" s="11" t="s">
        <v>101</v>
      </c>
      <c r="P28" s="11" t="s">
        <v>102</v>
      </c>
      <c r="Q28" s="12">
        <v>110.264477</v>
      </c>
      <c r="R28" s="13">
        <v>21.386206999999999</v>
      </c>
      <c r="S28" s="11" t="s">
        <v>267</v>
      </c>
      <c r="T28" s="11"/>
      <c r="U28" s="11" t="s">
        <v>104</v>
      </c>
      <c r="V28" s="11" t="s">
        <v>105</v>
      </c>
      <c r="W28" s="11" t="s">
        <v>106</v>
      </c>
      <c r="X28" s="11"/>
      <c r="Y28" s="11"/>
      <c r="Z28" s="11"/>
      <c r="AA28" s="12">
        <v>27</v>
      </c>
      <c r="AB28" s="12"/>
      <c r="AC28" s="11" t="s">
        <v>244</v>
      </c>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row>
    <row r="29" spans="1:56" ht="56" x14ac:dyDescent="0.25">
      <c r="A29" s="11" t="s">
        <v>268</v>
      </c>
      <c r="B29" s="11" t="s">
        <v>269</v>
      </c>
      <c r="C29" s="11"/>
      <c r="D29" s="11" t="s">
        <v>91</v>
      </c>
      <c r="E29" s="11" t="s">
        <v>92</v>
      </c>
      <c r="F29" s="11" t="s">
        <v>270</v>
      </c>
      <c r="G29" s="11" t="s">
        <v>271</v>
      </c>
      <c r="H29" s="11" t="s">
        <v>94</v>
      </c>
      <c r="I29" s="11" t="s">
        <v>240</v>
      </c>
      <c r="J29" s="11" t="s">
        <v>241</v>
      </c>
      <c r="K29" s="11"/>
      <c r="L29" s="11" t="s">
        <v>272</v>
      </c>
      <c r="M29" s="11" t="s">
        <v>99</v>
      </c>
      <c r="N29" s="11" t="s">
        <v>100</v>
      </c>
      <c r="O29" s="11" t="s">
        <v>101</v>
      </c>
      <c r="P29" s="11" t="s">
        <v>102</v>
      </c>
      <c r="Q29" s="12">
        <v>110.245642</v>
      </c>
      <c r="R29" s="13">
        <v>21.357351999999999</v>
      </c>
      <c r="S29" s="11" t="s">
        <v>273</v>
      </c>
      <c r="T29" s="11"/>
      <c r="U29" s="11" t="s">
        <v>104</v>
      </c>
      <c r="V29" s="11" t="s">
        <v>105</v>
      </c>
      <c r="W29" s="11" t="s">
        <v>106</v>
      </c>
      <c r="X29" s="11"/>
      <c r="Y29" s="11"/>
      <c r="Z29" s="11"/>
      <c r="AA29" s="12">
        <v>28</v>
      </c>
      <c r="AB29" s="12"/>
      <c r="AC29" s="11" t="s">
        <v>244</v>
      </c>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row>
    <row r="30" spans="1:56" ht="56" x14ac:dyDescent="0.25">
      <c r="A30" s="11" t="s">
        <v>274</v>
      </c>
      <c r="B30" s="11" t="s">
        <v>275</v>
      </c>
      <c r="C30" s="11"/>
      <c r="D30" s="11" t="s">
        <v>91</v>
      </c>
      <c r="E30" s="11" t="s">
        <v>92</v>
      </c>
      <c r="F30" s="11" t="s">
        <v>276</v>
      </c>
      <c r="G30" s="11" t="s">
        <v>277</v>
      </c>
      <c r="H30" s="11" t="s">
        <v>94</v>
      </c>
      <c r="I30" s="11" t="s">
        <v>278</v>
      </c>
      <c r="J30" s="11" t="s">
        <v>279</v>
      </c>
      <c r="K30" s="11"/>
      <c r="L30" s="11" t="s">
        <v>280</v>
      </c>
      <c r="M30" s="11" t="s">
        <v>99</v>
      </c>
      <c r="N30" s="11" t="s">
        <v>100</v>
      </c>
      <c r="O30" s="11" t="s">
        <v>101</v>
      </c>
      <c r="P30" s="11" t="s">
        <v>102</v>
      </c>
      <c r="Q30" s="12">
        <v>112.706588</v>
      </c>
      <c r="R30" s="13">
        <v>22.346869999999999</v>
      </c>
      <c r="S30" s="11" t="s">
        <v>281</v>
      </c>
      <c r="T30" s="11"/>
      <c r="U30" s="11" t="s">
        <v>104</v>
      </c>
      <c r="V30" s="11" t="s">
        <v>105</v>
      </c>
      <c r="W30" s="11" t="s">
        <v>106</v>
      </c>
      <c r="X30" s="11"/>
      <c r="Y30" s="11"/>
      <c r="Z30" s="11"/>
      <c r="AA30" s="12">
        <v>29</v>
      </c>
      <c r="AB30" s="12"/>
      <c r="AC30" s="11" t="s">
        <v>244</v>
      </c>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row>
    <row r="31" spans="1:56" ht="56" x14ac:dyDescent="0.25">
      <c r="A31" s="11" t="s">
        <v>282</v>
      </c>
      <c r="B31" s="11" t="s">
        <v>283</v>
      </c>
      <c r="C31" s="11"/>
      <c r="D31" s="11" t="s">
        <v>91</v>
      </c>
      <c r="E31" s="11" t="s">
        <v>92</v>
      </c>
      <c r="F31" s="11" t="s">
        <v>284</v>
      </c>
      <c r="G31" s="11" t="s">
        <v>285</v>
      </c>
      <c r="H31" s="11" t="s">
        <v>94</v>
      </c>
      <c r="I31" s="11" t="s">
        <v>278</v>
      </c>
      <c r="J31" s="11" t="s">
        <v>286</v>
      </c>
      <c r="K31" s="11"/>
      <c r="L31" s="11" t="s">
        <v>287</v>
      </c>
      <c r="M31" s="11" t="s">
        <v>99</v>
      </c>
      <c r="N31" s="11" t="s">
        <v>100</v>
      </c>
      <c r="O31" s="11" t="s">
        <v>101</v>
      </c>
      <c r="P31" s="11" t="s">
        <v>102</v>
      </c>
      <c r="Q31" s="12">
        <v>112.818956</v>
      </c>
      <c r="R31" s="13">
        <v>22.228124999999999</v>
      </c>
      <c r="S31" s="11" t="s">
        <v>288</v>
      </c>
      <c r="T31" s="11"/>
      <c r="U31" s="11" t="s">
        <v>104</v>
      </c>
      <c r="V31" s="11" t="s">
        <v>105</v>
      </c>
      <c r="W31" s="11" t="s">
        <v>106</v>
      </c>
      <c r="X31" s="11"/>
      <c r="Y31" s="11"/>
      <c r="Z31" s="11"/>
      <c r="AA31" s="12">
        <v>30</v>
      </c>
      <c r="AB31" s="12"/>
      <c r="AC31" s="11" t="s">
        <v>244</v>
      </c>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row>
    <row r="32" spans="1:56" ht="56" x14ac:dyDescent="0.25">
      <c r="A32" s="11" t="s">
        <v>289</v>
      </c>
      <c r="B32" s="11" t="s">
        <v>290</v>
      </c>
      <c r="C32" s="11"/>
      <c r="D32" s="11" t="s">
        <v>91</v>
      </c>
      <c r="E32" s="11" t="s">
        <v>92</v>
      </c>
      <c r="F32" s="11" t="s">
        <v>291</v>
      </c>
      <c r="G32" s="11" t="s">
        <v>292</v>
      </c>
      <c r="H32" s="11" t="s">
        <v>94</v>
      </c>
      <c r="I32" s="11" t="s">
        <v>278</v>
      </c>
      <c r="J32" s="11" t="s">
        <v>286</v>
      </c>
      <c r="K32" s="11"/>
      <c r="L32" s="11" t="s">
        <v>293</v>
      </c>
      <c r="M32" s="11" t="s">
        <v>99</v>
      </c>
      <c r="N32" s="11" t="s">
        <v>100</v>
      </c>
      <c r="O32" s="11" t="s">
        <v>101</v>
      </c>
      <c r="P32" s="11" t="s">
        <v>102</v>
      </c>
      <c r="Q32" s="12">
        <v>112.814498</v>
      </c>
      <c r="R32" s="13">
        <v>22.218710999999999</v>
      </c>
      <c r="S32" s="11" t="s">
        <v>294</v>
      </c>
      <c r="T32" s="11"/>
      <c r="U32" s="11" t="s">
        <v>104</v>
      </c>
      <c r="V32" s="11" t="s">
        <v>105</v>
      </c>
      <c r="W32" s="11" t="s">
        <v>106</v>
      </c>
      <c r="X32" s="11"/>
      <c r="Y32" s="11"/>
      <c r="Z32" s="11"/>
      <c r="AA32" s="12">
        <v>31</v>
      </c>
      <c r="AB32" s="12"/>
      <c r="AC32" s="11" t="s">
        <v>244</v>
      </c>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row>
    <row r="33" spans="1:56" ht="56" x14ac:dyDescent="0.25">
      <c r="A33" s="11" t="s">
        <v>295</v>
      </c>
      <c r="B33" s="11" t="s">
        <v>296</v>
      </c>
      <c r="C33" s="11"/>
      <c r="D33" s="11" t="s">
        <v>91</v>
      </c>
      <c r="E33" s="11" t="s">
        <v>92</v>
      </c>
      <c r="F33" s="11" t="s">
        <v>297</v>
      </c>
      <c r="G33" s="11" t="s">
        <v>298</v>
      </c>
      <c r="H33" s="11" t="s">
        <v>94</v>
      </c>
      <c r="I33" s="11" t="s">
        <v>278</v>
      </c>
      <c r="J33" s="11" t="s">
        <v>279</v>
      </c>
      <c r="K33" s="11"/>
      <c r="L33" s="11" t="s">
        <v>299</v>
      </c>
      <c r="M33" s="11" t="s">
        <v>99</v>
      </c>
      <c r="N33" s="11" t="s">
        <v>100</v>
      </c>
      <c r="O33" s="11" t="s">
        <v>101</v>
      </c>
      <c r="P33" s="11" t="s">
        <v>102</v>
      </c>
      <c r="Q33" s="12">
        <v>112.70411799999999</v>
      </c>
      <c r="R33" s="13">
        <v>22.349543000000001</v>
      </c>
      <c r="S33" s="11" t="s">
        <v>300</v>
      </c>
      <c r="T33" s="11"/>
      <c r="U33" s="11" t="s">
        <v>104</v>
      </c>
      <c r="V33" s="11" t="s">
        <v>105</v>
      </c>
      <c r="W33" s="11" t="s">
        <v>106</v>
      </c>
      <c r="X33" s="11"/>
      <c r="Y33" s="11"/>
      <c r="Z33" s="11"/>
      <c r="AA33" s="12">
        <v>32</v>
      </c>
      <c r="AB33" s="12"/>
      <c r="AC33" s="11" t="s">
        <v>244</v>
      </c>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row>
    <row r="34" spans="1:56" ht="56" x14ac:dyDescent="0.25">
      <c r="A34" s="11" t="s">
        <v>301</v>
      </c>
      <c r="B34" s="11" t="s">
        <v>302</v>
      </c>
      <c r="C34" s="11"/>
      <c r="D34" s="11" t="s">
        <v>91</v>
      </c>
      <c r="E34" s="11" t="s">
        <v>92</v>
      </c>
      <c r="F34" s="11" t="s">
        <v>303</v>
      </c>
      <c r="G34" s="11" t="s">
        <v>304</v>
      </c>
      <c r="H34" s="11" t="s">
        <v>94</v>
      </c>
      <c r="I34" s="11" t="s">
        <v>278</v>
      </c>
      <c r="J34" s="11" t="s">
        <v>279</v>
      </c>
      <c r="K34" s="11"/>
      <c r="L34" s="11" t="s">
        <v>305</v>
      </c>
      <c r="M34" s="11" t="s">
        <v>99</v>
      </c>
      <c r="N34" s="11" t="s">
        <v>100</v>
      </c>
      <c r="O34" s="11" t="s">
        <v>101</v>
      </c>
      <c r="P34" s="11" t="s">
        <v>102</v>
      </c>
      <c r="Q34" s="12">
        <v>112.773591</v>
      </c>
      <c r="R34" s="13">
        <v>22.460643999999998</v>
      </c>
      <c r="S34" s="11" t="s">
        <v>306</v>
      </c>
      <c r="T34" s="11"/>
      <c r="U34" s="11" t="s">
        <v>104</v>
      </c>
      <c r="V34" s="11" t="s">
        <v>105</v>
      </c>
      <c r="W34" s="11" t="s">
        <v>106</v>
      </c>
      <c r="X34" s="11"/>
      <c r="Y34" s="11"/>
      <c r="Z34" s="11"/>
      <c r="AA34" s="12">
        <v>33</v>
      </c>
      <c r="AB34" s="12"/>
      <c r="AC34" s="11" t="s">
        <v>244</v>
      </c>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row>
    <row r="35" spans="1:56" ht="56" x14ac:dyDescent="0.25">
      <c r="A35" s="11" t="s">
        <v>307</v>
      </c>
      <c r="B35" s="11" t="s">
        <v>308</v>
      </c>
      <c r="C35" s="11"/>
      <c r="D35" s="11" t="s">
        <v>91</v>
      </c>
      <c r="E35" s="11" t="s">
        <v>92</v>
      </c>
      <c r="F35" s="11" t="s">
        <v>309</v>
      </c>
      <c r="G35" s="11" t="s">
        <v>310</v>
      </c>
      <c r="H35" s="11" t="s">
        <v>94</v>
      </c>
      <c r="I35" s="11" t="s">
        <v>278</v>
      </c>
      <c r="J35" s="11" t="s">
        <v>279</v>
      </c>
      <c r="K35" s="11"/>
      <c r="L35" s="11" t="s">
        <v>311</v>
      </c>
      <c r="M35" s="11" t="s">
        <v>99</v>
      </c>
      <c r="N35" s="11" t="s">
        <v>100</v>
      </c>
      <c r="O35" s="11" t="s">
        <v>101</v>
      </c>
      <c r="P35" s="11" t="s">
        <v>102</v>
      </c>
      <c r="Q35" s="12">
        <v>112.70724300000001</v>
      </c>
      <c r="R35" s="13">
        <v>22.375526000000001</v>
      </c>
      <c r="S35" s="11" t="s">
        <v>312</v>
      </c>
      <c r="T35" s="11"/>
      <c r="U35" s="11" t="s">
        <v>104</v>
      </c>
      <c r="V35" s="11" t="s">
        <v>105</v>
      </c>
      <c r="W35" s="11" t="s">
        <v>106</v>
      </c>
      <c r="X35" s="11"/>
      <c r="Y35" s="11"/>
      <c r="Z35" s="11"/>
      <c r="AA35" s="12">
        <v>34</v>
      </c>
      <c r="AB35" s="12"/>
      <c r="AC35" s="11" t="s">
        <v>244</v>
      </c>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row>
    <row r="36" spans="1:56" ht="56" x14ac:dyDescent="0.25">
      <c r="A36" s="11" t="s">
        <v>313</v>
      </c>
      <c r="B36" s="11" t="s">
        <v>314</v>
      </c>
      <c r="C36" s="11"/>
      <c r="D36" s="11" t="s">
        <v>91</v>
      </c>
      <c r="E36" s="11" t="s">
        <v>92</v>
      </c>
      <c r="F36" s="11" t="s">
        <v>315</v>
      </c>
      <c r="G36" s="11" t="s">
        <v>316</v>
      </c>
      <c r="H36" s="11" t="s">
        <v>94</v>
      </c>
      <c r="I36" s="11" t="s">
        <v>278</v>
      </c>
      <c r="J36" s="11" t="s">
        <v>279</v>
      </c>
      <c r="K36" s="11"/>
      <c r="L36" s="11" t="s">
        <v>317</v>
      </c>
      <c r="M36" s="11" t="s">
        <v>99</v>
      </c>
      <c r="N36" s="11" t="s">
        <v>100</v>
      </c>
      <c r="O36" s="11" t="s">
        <v>101</v>
      </c>
      <c r="P36" s="11" t="s">
        <v>102</v>
      </c>
      <c r="Q36" s="12">
        <v>112.771675</v>
      </c>
      <c r="R36" s="13">
        <v>22.452438000000001</v>
      </c>
      <c r="S36" s="11" t="s">
        <v>318</v>
      </c>
      <c r="T36" s="11"/>
      <c r="U36" s="11" t="s">
        <v>104</v>
      </c>
      <c r="V36" s="11" t="s">
        <v>105</v>
      </c>
      <c r="W36" s="11" t="s">
        <v>106</v>
      </c>
      <c r="X36" s="11"/>
      <c r="Y36" s="11"/>
      <c r="Z36" s="11"/>
      <c r="AA36" s="12">
        <v>35</v>
      </c>
      <c r="AB36" s="12"/>
      <c r="AC36" s="11" t="s">
        <v>244</v>
      </c>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row>
    <row r="37" spans="1:56" ht="56" x14ac:dyDescent="0.25">
      <c r="A37" s="11" t="s">
        <v>319</v>
      </c>
      <c r="B37" s="11" t="s">
        <v>320</v>
      </c>
      <c r="C37" s="11"/>
      <c r="D37" s="11" t="s">
        <v>91</v>
      </c>
      <c r="E37" s="11" t="s">
        <v>92</v>
      </c>
      <c r="F37" s="11" t="s">
        <v>321</v>
      </c>
      <c r="G37" s="11" t="s">
        <v>322</v>
      </c>
      <c r="H37" s="11" t="s">
        <v>94</v>
      </c>
      <c r="I37" s="11" t="s">
        <v>278</v>
      </c>
      <c r="J37" s="11" t="s">
        <v>279</v>
      </c>
      <c r="K37" s="11"/>
      <c r="L37" s="11" t="s">
        <v>323</v>
      </c>
      <c r="M37" s="11" t="s">
        <v>99</v>
      </c>
      <c r="N37" s="11" t="s">
        <v>100</v>
      </c>
      <c r="O37" s="11" t="s">
        <v>101</v>
      </c>
      <c r="P37" s="11" t="s">
        <v>102</v>
      </c>
      <c r="Q37" s="12">
        <v>112.708956</v>
      </c>
      <c r="R37" s="13">
        <v>22.358765999999999</v>
      </c>
      <c r="S37" s="11" t="s">
        <v>324</v>
      </c>
      <c r="T37" s="11"/>
      <c r="U37" s="11" t="s">
        <v>104</v>
      </c>
      <c r="V37" s="11" t="s">
        <v>105</v>
      </c>
      <c r="W37" s="11" t="s">
        <v>106</v>
      </c>
      <c r="X37" s="11"/>
      <c r="Y37" s="11"/>
      <c r="Z37" s="11"/>
      <c r="AA37" s="12">
        <v>36</v>
      </c>
      <c r="AB37" s="12"/>
      <c r="AC37" s="11" t="s">
        <v>107</v>
      </c>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row>
    <row r="38" spans="1:56" ht="56" x14ac:dyDescent="0.25">
      <c r="A38" s="11" t="s">
        <v>325</v>
      </c>
      <c r="B38" s="11" t="s">
        <v>326</v>
      </c>
      <c r="C38" s="11"/>
      <c r="D38" s="11" t="s">
        <v>91</v>
      </c>
      <c r="E38" s="11" t="s">
        <v>92</v>
      </c>
      <c r="F38" s="11" t="s">
        <v>327</v>
      </c>
      <c r="G38" s="11" t="s">
        <v>328</v>
      </c>
      <c r="H38" s="11" t="s">
        <v>94</v>
      </c>
      <c r="I38" s="11" t="s">
        <v>278</v>
      </c>
      <c r="J38" s="11" t="s">
        <v>279</v>
      </c>
      <c r="K38" s="11"/>
      <c r="L38" s="11" t="s">
        <v>329</v>
      </c>
      <c r="M38" s="11" t="s">
        <v>99</v>
      </c>
      <c r="N38" s="11" t="s">
        <v>100</v>
      </c>
      <c r="O38" s="11" t="s">
        <v>101</v>
      </c>
      <c r="P38" s="11" t="s">
        <v>102</v>
      </c>
      <c r="Q38" s="12">
        <v>112.686469</v>
      </c>
      <c r="R38" s="13">
        <v>22.375311</v>
      </c>
      <c r="S38" s="11" t="s">
        <v>330</v>
      </c>
      <c r="T38" s="11"/>
      <c r="U38" s="11" t="s">
        <v>104</v>
      </c>
      <c r="V38" s="11" t="s">
        <v>105</v>
      </c>
      <c r="W38" s="11" t="s">
        <v>106</v>
      </c>
      <c r="X38" s="11"/>
      <c r="Y38" s="11"/>
      <c r="Z38" s="11"/>
      <c r="AA38" s="12">
        <v>37</v>
      </c>
      <c r="AB38" s="12"/>
      <c r="AC38" s="11" t="s">
        <v>107</v>
      </c>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row>
    <row r="39" spans="1:56" ht="56" x14ac:dyDescent="0.25">
      <c r="A39" s="11" t="s">
        <v>331</v>
      </c>
      <c r="B39" s="11" t="s">
        <v>332</v>
      </c>
      <c r="C39" s="11"/>
      <c r="D39" s="11" t="s">
        <v>91</v>
      </c>
      <c r="E39" s="11" t="s">
        <v>92</v>
      </c>
      <c r="F39" s="11" t="s">
        <v>333</v>
      </c>
      <c r="G39" s="11" t="s">
        <v>334</v>
      </c>
      <c r="H39" s="11" t="s">
        <v>94</v>
      </c>
      <c r="I39" s="11" t="s">
        <v>335</v>
      </c>
      <c r="J39" s="11" t="s">
        <v>336</v>
      </c>
      <c r="K39" s="11"/>
      <c r="L39" s="11" t="s">
        <v>337</v>
      </c>
      <c r="M39" s="11" t="s">
        <v>99</v>
      </c>
      <c r="N39" s="11" t="s">
        <v>100</v>
      </c>
      <c r="O39" s="11" t="s">
        <v>101</v>
      </c>
      <c r="P39" s="11" t="s">
        <v>102</v>
      </c>
      <c r="Q39" s="12">
        <v>110.951617</v>
      </c>
      <c r="R39" s="13">
        <v>21.663454000000002</v>
      </c>
      <c r="S39" s="11" t="s">
        <v>338</v>
      </c>
      <c r="T39" s="11"/>
      <c r="U39" s="11" t="s">
        <v>104</v>
      </c>
      <c r="V39" s="11" t="s">
        <v>105</v>
      </c>
      <c r="W39" s="11" t="s">
        <v>106</v>
      </c>
      <c r="X39" s="11"/>
      <c r="Y39" s="11"/>
      <c r="Z39" s="11"/>
      <c r="AA39" s="12">
        <v>38</v>
      </c>
      <c r="AB39" s="12"/>
      <c r="AC39" s="11" t="s">
        <v>244</v>
      </c>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row>
    <row r="40" spans="1:56" ht="84" x14ac:dyDescent="0.25">
      <c r="A40" s="11" t="s">
        <v>339</v>
      </c>
      <c r="B40" s="11" t="s">
        <v>340</v>
      </c>
      <c r="C40" s="11"/>
      <c r="D40" s="11" t="s">
        <v>91</v>
      </c>
      <c r="E40" s="11" t="s">
        <v>92</v>
      </c>
      <c r="F40" s="11" t="s">
        <v>341</v>
      </c>
      <c r="G40" s="11" t="s">
        <v>342</v>
      </c>
      <c r="H40" s="11" t="s">
        <v>94</v>
      </c>
      <c r="I40" s="11" t="s">
        <v>343</v>
      </c>
      <c r="J40" s="11" t="s">
        <v>344</v>
      </c>
      <c r="K40" s="11"/>
      <c r="L40" s="11" t="s">
        <v>345</v>
      </c>
      <c r="M40" s="11" t="s">
        <v>99</v>
      </c>
      <c r="N40" s="11" t="s">
        <v>100</v>
      </c>
      <c r="O40" s="11" t="s">
        <v>101</v>
      </c>
      <c r="P40" s="11" t="s">
        <v>102</v>
      </c>
      <c r="Q40" s="12">
        <v>113.521418</v>
      </c>
      <c r="R40" s="13">
        <v>22.255365000000001</v>
      </c>
      <c r="S40" s="11" t="s">
        <v>346</v>
      </c>
      <c r="T40" s="11"/>
      <c r="U40" s="11" t="s">
        <v>104</v>
      </c>
      <c r="V40" s="11" t="s">
        <v>105</v>
      </c>
      <c r="W40" s="11" t="s">
        <v>106</v>
      </c>
      <c r="X40" s="11"/>
      <c r="Y40" s="11"/>
      <c r="Z40" s="11"/>
      <c r="AA40" s="12">
        <v>39</v>
      </c>
      <c r="AB40" s="12"/>
      <c r="AC40" s="11" t="s">
        <v>244</v>
      </c>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row>
    <row r="41" spans="1:56" ht="84" x14ac:dyDescent="0.25">
      <c r="A41" s="11" t="s">
        <v>347</v>
      </c>
      <c r="B41" s="11" t="s">
        <v>348</v>
      </c>
      <c r="C41" s="11"/>
      <c r="D41" s="11" t="s">
        <v>91</v>
      </c>
      <c r="E41" s="11" t="s">
        <v>92</v>
      </c>
      <c r="F41" s="11" t="s">
        <v>349</v>
      </c>
      <c r="G41" s="11" t="s">
        <v>350</v>
      </c>
      <c r="H41" s="11" t="s">
        <v>94</v>
      </c>
      <c r="I41" s="11" t="s">
        <v>351</v>
      </c>
      <c r="J41" s="11" t="s">
        <v>351</v>
      </c>
      <c r="K41" s="11" t="s">
        <v>352</v>
      </c>
      <c r="L41" s="11" t="s">
        <v>353</v>
      </c>
      <c r="M41" s="11" t="s">
        <v>99</v>
      </c>
      <c r="N41" s="11" t="s">
        <v>100</v>
      </c>
      <c r="O41" s="11" t="s">
        <v>101</v>
      </c>
      <c r="P41" s="11" t="s">
        <v>102</v>
      </c>
      <c r="Q41" s="12">
        <v>113.458827</v>
      </c>
      <c r="R41" s="13">
        <v>22.333864999999999</v>
      </c>
      <c r="S41" s="11" t="s">
        <v>354</v>
      </c>
      <c r="T41" s="11"/>
      <c r="U41" s="11" t="s">
        <v>104</v>
      </c>
      <c r="V41" s="11" t="s">
        <v>105</v>
      </c>
      <c r="W41" s="11" t="s">
        <v>106</v>
      </c>
      <c r="X41" s="11"/>
      <c r="Y41" s="11"/>
      <c r="Z41" s="11"/>
      <c r="AA41" s="12">
        <v>40</v>
      </c>
      <c r="AB41" s="12"/>
      <c r="AC41" s="11" t="s">
        <v>244</v>
      </c>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row>
    <row r="42" spans="1:56" ht="56" x14ac:dyDescent="0.25">
      <c r="A42" s="11" t="s">
        <v>355</v>
      </c>
      <c r="B42" s="11" t="s">
        <v>356</v>
      </c>
      <c r="C42" s="11"/>
      <c r="D42" s="11" t="s">
        <v>91</v>
      </c>
      <c r="E42" s="11" t="s">
        <v>92</v>
      </c>
      <c r="F42" s="11" t="s">
        <v>357</v>
      </c>
      <c r="G42" s="11" t="s">
        <v>358</v>
      </c>
      <c r="H42" s="11" t="s">
        <v>94</v>
      </c>
      <c r="I42" s="11" t="s">
        <v>343</v>
      </c>
      <c r="J42" s="11" t="s">
        <v>344</v>
      </c>
      <c r="K42" s="11"/>
      <c r="L42" s="11" t="s">
        <v>359</v>
      </c>
      <c r="M42" s="11" t="s">
        <v>99</v>
      </c>
      <c r="N42" s="11" t="s">
        <v>100</v>
      </c>
      <c r="O42" s="11" t="s">
        <v>101</v>
      </c>
      <c r="P42" s="11" t="s">
        <v>102</v>
      </c>
      <c r="Q42" s="12">
        <v>113.54012299999999</v>
      </c>
      <c r="R42" s="13">
        <v>22.380030000000001</v>
      </c>
      <c r="S42" s="11" t="s">
        <v>360</v>
      </c>
      <c r="T42" s="11"/>
      <c r="U42" s="11" t="s">
        <v>104</v>
      </c>
      <c r="V42" s="11" t="s">
        <v>105</v>
      </c>
      <c r="W42" s="11" t="s">
        <v>106</v>
      </c>
      <c r="X42" s="11"/>
      <c r="Y42" s="11"/>
      <c r="Z42" s="11"/>
      <c r="AA42" s="12">
        <v>41</v>
      </c>
      <c r="AB42" s="12"/>
      <c r="AC42" s="11" t="s">
        <v>244</v>
      </c>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row>
    <row r="43" spans="1:56" ht="56" x14ac:dyDescent="0.25">
      <c r="A43" s="11" t="s">
        <v>361</v>
      </c>
      <c r="B43" s="11" t="s">
        <v>362</v>
      </c>
      <c r="C43" s="11"/>
      <c r="D43" s="11" t="s">
        <v>91</v>
      </c>
      <c r="E43" s="11" t="s">
        <v>92</v>
      </c>
      <c r="F43" s="11" t="s">
        <v>363</v>
      </c>
      <c r="G43" s="11" t="s">
        <v>364</v>
      </c>
      <c r="H43" s="11" t="s">
        <v>94</v>
      </c>
      <c r="I43" s="11" t="s">
        <v>351</v>
      </c>
      <c r="J43" s="11" t="s">
        <v>351</v>
      </c>
      <c r="K43" s="11" t="s">
        <v>352</v>
      </c>
      <c r="L43" s="11" t="s">
        <v>365</v>
      </c>
      <c r="M43" s="11" t="s">
        <v>99</v>
      </c>
      <c r="N43" s="11" t="s">
        <v>100</v>
      </c>
      <c r="O43" s="11" t="s">
        <v>101</v>
      </c>
      <c r="P43" s="11" t="s">
        <v>102</v>
      </c>
      <c r="Q43" s="12">
        <v>113.45893700000001</v>
      </c>
      <c r="R43" s="13">
        <v>22.339414000000001</v>
      </c>
      <c r="S43" s="11" t="s">
        <v>366</v>
      </c>
      <c r="T43" s="11"/>
      <c r="U43" s="11" t="s">
        <v>104</v>
      </c>
      <c r="V43" s="11" t="s">
        <v>105</v>
      </c>
      <c r="W43" s="11" t="s">
        <v>106</v>
      </c>
      <c r="X43" s="11"/>
      <c r="Y43" s="11"/>
      <c r="Z43" s="11"/>
      <c r="AA43" s="12">
        <v>42</v>
      </c>
      <c r="AB43" s="12"/>
      <c r="AC43" s="11" t="s">
        <v>244</v>
      </c>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row>
    <row r="44" spans="1:56" ht="70" x14ac:dyDescent="0.25">
      <c r="A44" s="11" t="s">
        <v>367</v>
      </c>
      <c r="B44" s="11" t="s">
        <v>368</v>
      </c>
      <c r="C44" s="11"/>
      <c r="D44" s="11" t="s">
        <v>91</v>
      </c>
      <c r="E44" s="11" t="s">
        <v>92</v>
      </c>
      <c r="F44" s="11" t="s">
        <v>369</v>
      </c>
      <c r="G44" s="11" t="s">
        <v>370</v>
      </c>
      <c r="H44" s="11" t="s">
        <v>94</v>
      </c>
      <c r="I44" s="11" t="s">
        <v>343</v>
      </c>
      <c r="J44" s="11" t="s">
        <v>344</v>
      </c>
      <c r="K44" s="11"/>
      <c r="L44" s="11" t="s">
        <v>371</v>
      </c>
      <c r="M44" s="11" t="s">
        <v>99</v>
      </c>
      <c r="N44" s="11" t="s">
        <v>100</v>
      </c>
      <c r="O44" s="11" t="s">
        <v>101</v>
      </c>
      <c r="P44" s="11" t="s">
        <v>102</v>
      </c>
      <c r="Q44" s="12">
        <v>113.55112</v>
      </c>
      <c r="R44" s="13">
        <v>22.217372999999998</v>
      </c>
      <c r="S44" s="11" t="s">
        <v>372</v>
      </c>
      <c r="T44" s="11"/>
      <c r="U44" s="11" t="s">
        <v>104</v>
      </c>
      <c r="V44" s="11" t="s">
        <v>105</v>
      </c>
      <c r="W44" s="11" t="s">
        <v>106</v>
      </c>
      <c r="X44" s="11"/>
      <c r="Y44" s="11"/>
      <c r="Z44" s="11"/>
      <c r="AA44" s="12">
        <v>43</v>
      </c>
      <c r="AB44" s="12"/>
      <c r="AC44" s="11" t="s">
        <v>244</v>
      </c>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row>
    <row r="45" spans="1:56" ht="84" x14ac:dyDescent="0.25">
      <c r="A45" s="11" t="s">
        <v>373</v>
      </c>
      <c r="B45" s="11" t="s">
        <v>374</v>
      </c>
      <c r="C45" s="11"/>
      <c r="D45" s="11" t="s">
        <v>91</v>
      </c>
      <c r="E45" s="11" t="s">
        <v>92</v>
      </c>
      <c r="F45" s="11" t="s">
        <v>375</v>
      </c>
      <c r="G45" s="11" t="s">
        <v>376</v>
      </c>
      <c r="H45" s="11" t="s">
        <v>94</v>
      </c>
      <c r="I45" s="11" t="s">
        <v>343</v>
      </c>
      <c r="J45" s="11" t="s">
        <v>344</v>
      </c>
      <c r="K45" s="11"/>
      <c r="L45" s="11" t="s">
        <v>377</v>
      </c>
      <c r="M45" s="11" t="s">
        <v>99</v>
      </c>
      <c r="N45" s="11" t="s">
        <v>100</v>
      </c>
      <c r="O45" s="11" t="s">
        <v>101</v>
      </c>
      <c r="P45" s="11" t="s">
        <v>102</v>
      </c>
      <c r="Q45" s="12">
        <v>113.496701</v>
      </c>
      <c r="R45" s="13">
        <v>22.285717000000002</v>
      </c>
      <c r="S45" s="11" t="s">
        <v>378</v>
      </c>
      <c r="T45" s="11"/>
      <c r="U45" s="11" t="s">
        <v>104</v>
      </c>
      <c r="V45" s="11" t="s">
        <v>105</v>
      </c>
      <c r="W45" s="11" t="s">
        <v>106</v>
      </c>
      <c r="X45" s="11"/>
      <c r="Y45" s="11"/>
      <c r="Z45" s="11"/>
      <c r="AA45" s="12">
        <v>44</v>
      </c>
      <c r="AB45" s="12"/>
      <c r="AC45" s="11" t="s">
        <v>244</v>
      </c>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row>
    <row r="46" spans="1:56" ht="56" x14ac:dyDescent="0.25">
      <c r="A46" s="11" t="s">
        <v>379</v>
      </c>
      <c r="B46" s="11" t="s">
        <v>380</v>
      </c>
      <c r="C46" s="11"/>
      <c r="D46" s="11" t="s">
        <v>91</v>
      </c>
      <c r="E46" s="11" t="s">
        <v>92</v>
      </c>
      <c r="F46" s="11" t="s">
        <v>381</v>
      </c>
      <c r="G46" s="11" t="s">
        <v>382</v>
      </c>
      <c r="H46" s="11" t="s">
        <v>94</v>
      </c>
      <c r="I46" s="11" t="s">
        <v>351</v>
      </c>
      <c r="J46" s="11" t="s">
        <v>351</v>
      </c>
      <c r="K46" s="11" t="s">
        <v>383</v>
      </c>
      <c r="L46" s="11" t="s">
        <v>384</v>
      </c>
      <c r="M46" s="11" t="s">
        <v>99</v>
      </c>
      <c r="N46" s="11" t="s">
        <v>100</v>
      </c>
      <c r="O46" s="11" t="s">
        <v>101</v>
      </c>
      <c r="P46" s="11" t="s">
        <v>102</v>
      </c>
      <c r="Q46" s="12">
        <v>113.463953</v>
      </c>
      <c r="R46" s="13">
        <v>22.267237999999999</v>
      </c>
      <c r="S46" s="11" t="s">
        <v>385</v>
      </c>
      <c r="T46" s="11"/>
      <c r="U46" s="11" t="s">
        <v>104</v>
      </c>
      <c r="V46" s="11" t="s">
        <v>105</v>
      </c>
      <c r="W46" s="11" t="s">
        <v>106</v>
      </c>
      <c r="X46" s="11"/>
      <c r="Y46" s="11"/>
      <c r="Z46" s="11"/>
      <c r="AA46" s="12">
        <v>45</v>
      </c>
      <c r="AB46" s="12"/>
      <c r="AC46" s="11" t="s">
        <v>107</v>
      </c>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row>
    <row r="47" spans="1:56" ht="56" x14ac:dyDescent="0.25">
      <c r="A47" s="11" t="s">
        <v>386</v>
      </c>
      <c r="B47" s="11" t="s">
        <v>387</v>
      </c>
      <c r="C47" s="11"/>
      <c r="D47" s="11" t="s">
        <v>91</v>
      </c>
      <c r="E47" s="11" t="s">
        <v>92</v>
      </c>
      <c r="F47" s="11" t="s">
        <v>388</v>
      </c>
      <c r="G47" s="11" t="s">
        <v>389</v>
      </c>
      <c r="H47" s="11" t="s">
        <v>94</v>
      </c>
      <c r="I47" s="11" t="s">
        <v>278</v>
      </c>
      <c r="J47" s="11" t="s">
        <v>390</v>
      </c>
      <c r="K47" s="11"/>
      <c r="L47" s="11" t="s">
        <v>391</v>
      </c>
      <c r="M47" s="11" t="s">
        <v>99</v>
      </c>
      <c r="N47" s="11" t="s">
        <v>100</v>
      </c>
      <c r="O47" s="11" t="s">
        <v>101</v>
      </c>
      <c r="P47" s="11" t="s">
        <v>102</v>
      </c>
      <c r="Q47" s="12">
        <v>113.060636</v>
      </c>
      <c r="R47" s="13">
        <v>22.573228</v>
      </c>
      <c r="S47" s="11" t="s">
        <v>392</v>
      </c>
      <c r="T47" s="11"/>
      <c r="U47" s="11" t="s">
        <v>104</v>
      </c>
      <c r="V47" s="11" t="s">
        <v>105</v>
      </c>
      <c r="W47" s="11" t="s">
        <v>106</v>
      </c>
      <c r="X47" s="11"/>
      <c r="Y47" s="11"/>
      <c r="Z47" s="11"/>
      <c r="AA47" s="12">
        <v>46</v>
      </c>
      <c r="AB47" s="12"/>
      <c r="AC47" s="11" t="s">
        <v>244</v>
      </c>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row>
    <row r="48" spans="1:56" ht="70" x14ac:dyDescent="0.25">
      <c r="A48" s="11" t="s">
        <v>393</v>
      </c>
      <c r="B48" s="11" t="s">
        <v>394</v>
      </c>
      <c r="C48" s="11"/>
      <c r="D48" s="11" t="s">
        <v>91</v>
      </c>
      <c r="E48" s="11" t="s">
        <v>92</v>
      </c>
      <c r="F48" s="11" t="s">
        <v>395</v>
      </c>
      <c r="G48" s="11" t="s">
        <v>396</v>
      </c>
      <c r="H48" s="11" t="s">
        <v>94</v>
      </c>
      <c r="I48" s="11" t="s">
        <v>278</v>
      </c>
      <c r="J48" s="11" t="s">
        <v>397</v>
      </c>
      <c r="K48" s="11"/>
      <c r="L48" s="11" t="s">
        <v>398</v>
      </c>
      <c r="M48" s="11" t="s">
        <v>99</v>
      </c>
      <c r="N48" s="11" t="s">
        <v>100</v>
      </c>
      <c r="O48" s="11" t="s">
        <v>101</v>
      </c>
      <c r="P48" s="11" t="s">
        <v>102</v>
      </c>
      <c r="Q48" s="12">
        <v>113.08984</v>
      </c>
      <c r="R48" s="13">
        <v>22.570603999999999</v>
      </c>
      <c r="S48" s="11" t="s">
        <v>399</v>
      </c>
      <c r="T48" s="11"/>
      <c r="U48" s="11" t="s">
        <v>104</v>
      </c>
      <c r="V48" s="11" t="s">
        <v>105</v>
      </c>
      <c r="W48" s="11" t="s">
        <v>106</v>
      </c>
      <c r="X48" s="11"/>
      <c r="Y48" s="11"/>
      <c r="Z48" s="11"/>
      <c r="AA48" s="12">
        <v>47</v>
      </c>
      <c r="AB48" s="12"/>
      <c r="AC48" s="11" t="s">
        <v>107</v>
      </c>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row>
    <row r="49" spans="1:56" ht="56" x14ac:dyDescent="0.25">
      <c r="A49" s="11" t="s">
        <v>400</v>
      </c>
      <c r="B49" s="11" t="s">
        <v>401</v>
      </c>
      <c r="C49" s="11"/>
      <c r="D49" s="11" t="s">
        <v>91</v>
      </c>
      <c r="E49" s="11" t="s">
        <v>92</v>
      </c>
      <c r="F49" s="11" t="s">
        <v>402</v>
      </c>
      <c r="G49" s="11" t="s">
        <v>403</v>
      </c>
      <c r="H49" s="11" t="s">
        <v>94</v>
      </c>
      <c r="I49" s="11" t="s">
        <v>343</v>
      </c>
      <c r="J49" s="11" t="s">
        <v>404</v>
      </c>
      <c r="K49" s="11" t="s">
        <v>405</v>
      </c>
      <c r="L49" s="11" t="s">
        <v>406</v>
      </c>
      <c r="M49" s="11" t="s">
        <v>99</v>
      </c>
      <c r="N49" s="11" t="s">
        <v>100</v>
      </c>
      <c r="O49" s="11" t="s">
        <v>101</v>
      </c>
      <c r="P49" s="11" t="s">
        <v>102</v>
      </c>
      <c r="Q49" s="12">
        <v>113.19879899999999</v>
      </c>
      <c r="R49" s="13">
        <v>22.004372</v>
      </c>
      <c r="S49" s="11" t="s">
        <v>407</v>
      </c>
      <c r="T49" s="11"/>
      <c r="U49" s="11" t="s">
        <v>104</v>
      </c>
      <c r="V49" s="11" t="s">
        <v>105</v>
      </c>
      <c r="W49" s="11" t="s">
        <v>106</v>
      </c>
      <c r="X49" s="11"/>
      <c r="Y49" s="11"/>
      <c r="Z49" s="11"/>
      <c r="AA49" s="12">
        <v>48</v>
      </c>
      <c r="AB49" s="12"/>
      <c r="AC49" s="11" t="s">
        <v>401</v>
      </c>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row>
    <row r="50" spans="1:56" ht="70" x14ac:dyDescent="0.25">
      <c r="A50" s="11" t="s">
        <v>408</v>
      </c>
      <c r="B50" s="11" t="s">
        <v>409</v>
      </c>
      <c r="C50" s="11"/>
      <c r="D50" s="11" t="s">
        <v>91</v>
      </c>
      <c r="E50" s="11" t="s">
        <v>92</v>
      </c>
      <c r="F50" s="11" t="s">
        <v>363</v>
      </c>
      <c r="G50" s="11" t="s">
        <v>410</v>
      </c>
      <c r="H50" s="11" t="s">
        <v>94</v>
      </c>
      <c r="I50" s="11" t="s">
        <v>343</v>
      </c>
      <c r="J50" s="11" t="s">
        <v>411</v>
      </c>
      <c r="K50" s="11"/>
      <c r="L50" s="11" t="s">
        <v>412</v>
      </c>
      <c r="M50" s="11" t="s">
        <v>99</v>
      </c>
      <c r="N50" s="11" t="s">
        <v>100</v>
      </c>
      <c r="O50" s="11" t="s">
        <v>101</v>
      </c>
      <c r="P50" s="11" t="s">
        <v>102</v>
      </c>
      <c r="Q50" s="12">
        <v>113.362683</v>
      </c>
      <c r="R50" s="13">
        <v>22.149342999999998</v>
      </c>
      <c r="S50" s="11" t="s">
        <v>413</v>
      </c>
      <c r="T50" s="11"/>
      <c r="U50" s="11" t="s">
        <v>104</v>
      </c>
      <c r="V50" s="11" t="s">
        <v>105</v>
      </c>
      <c r="W50" s="11" t="s">
        <v>106</v>
      </c>
      <c r="X50" s="11"/>
      <c r="Y50" s="11"/>
      <c r="Z50" s="11"/>
      <c r="AA50" s="12">
        <v>49</v>
      </c>
      <c r="AB50" s="12"/>
      <c r="AC50" s="11" t="s">
        <v>244</v>
      </c>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row>
    <row r="51" spans="1:56" ht="70" x14ac:dyDescent="0.25">
      <c r="A51" s="11" t="s">
        <v>414</v>
      </c>
      <c r="B51" s="11" t="s">
        <v>415</v>
      </c>
      <c r="C51" s="11"/>
      <c r="D51" s="11" t="s">
        <v>91</v>
      </c>
      <c r="E51" s="11" t="s">
        <v>92</v>
      </c>
      <c r="F51" s="11" t="s">
        <v>402</v>
      </c>
      <c r="G51" s="11" t="s">
        <v>416</v>
      </c>
      <c r="H51" s="11" t="s">
        <v>94</v>
      </c>
      <c r="I51" s="11" t="s">
        <v>343</v>
      </c>
      <c r="J51" s="11" t="s">
        <v>404</v>
      </c>
      <c r="K51" s="11"/>
      <c r="L51" s="11" t="s">
        <v>417</v>
      </c>
      <c r="M51" s="11" t="s">
        <v>99</v>
      </c>
      <c r="N51" s="11" t="s">
        <v>100</v>
      </c>
      <c r="O51" s="11" t="s">
        <v>101</v>
      </c>
      <c r="P51" s="11" t="s">
        <v>102</v>
      </c>
      <c r="Q51" s="12">
        <v>113.2401</v>
      </c>
      <c r="R51" s="13">
        <v>22.027318000000001</v>
      </c>
      <c r="S51" s="11" t="s">
        <v>418</v>
      </c>
      <c r="T51" s="11"/>
      <c r="U51" s="11" t="s">
        <v>104</v>
      </c>
      <c r="V51" s="11" t="s">
        <v>105</v>
      </c>
      <c r="W51" s="11" t="s">
        <v>106</v>
      </c>
      <c r="X51" s="11"/>
      <c r="Y51" s="11"/>
      <c r="Z51" s="11"/>
      <c r="AA51" s="12">
        <v>50</v>
      </c>
      <c r="AB51" s="12"/>
      <c r="AC51" s="11" t="s">
        <v>244</v>
      </c>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row>
    <row r="52" spans="1:56" ht="70" x14ac:dyDescent="0.25">
      <c r="A52" s="11" t="s">
        <v>419</v>
      </c>
      <c r="B52" s="11" t="s">
        <v>420</v>
      </c>
      <c r="C52" s="11"/>
      <c r="D52" s="11" t="s">
        <v>91</v>
      </c>
      <c r="E52" s="11" t="s">
        <v>92</v>
      </c>
      <c r="F52" s="11" t="s">
        <v>421</v>
      </c>
      <c r="G52" s="11" t="s">
        <v>422</v>
      </c>
      <c r="H52" s="11" t="s">
        <v>94</v>
      </c>
      <c r="I52" s="11" t="s">
        <v>343</v>
      </c>
      <c r="J52" s="11" t="s">
        <v>411</v>
      </c>
      <c r="K52" s="11"/>
      <c r="L52" s="11" t="s">
        <v>423</v>
      </c>
      <c r="M52" s="11" t="s">
        <v>99</v>
      </c>
      <c r="N52" s="11" t="s">
        <v>100</v>
      </c>
      <c r="O52" s="11" t="s">
        <v>101</v>
      </c>
      <c r="P52" s="11" t="s">
        <v>102</v>
      </c>
      <c r="Q52" s="12">
        <v>113.27369</v>
      </c>
      <c r="R52" s="13">
        <v>22.160747000000001</v>
      </c>
      <c r="S52" s="11" t="s">
        <v>424</v>
      </c>
      <c r="T52" s="11"/>
      <c r="U52" s="11" t="s">
        <v>104</v>
      </c>
      <c r="V52" s="11" t="s">
        <v>105</v>
      </c>
      <c r="W52" s="11" t="s">
        <v>106</v>
      </c>
      <c r="X52" s="11"/>
      <c r="Y52" s="11"/>
      <c r="Z52" s="11"/>
      <c r="AA52" s="12">
        <v>51</v>
      </c>
      <c r="AB52" s="12"/>
      <c r="AC52" s="11" t="s">
        <v>244</v>
      </c>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row>
    <row r="53" spans="1:56" ht="56" x14ac:dyDescent="0.25">
      <c r="A53" s="11" t="s">
        <v>425</v>
      </c>
      <c r="B53" s="11" t="s">
        <v>426</v>
      </c>
      <c r="C53" s="11"/>
      <c r="D53" s="11" t="s">
        <v>91</v>
      </c>
      <c r="E53" s="11" t="s">
        <v>92</v>
      </c>
      <c r="F53" s="11" t="s">
        <v>238</v>
      </c>
      <c r="G53" s="11" t="s">
        <v>427</v>
      </c>
      <c r="H53" s="11" t="s">
        <v>94</v>
      </c>
      <c r="I53" s="11" t="s">
        <v>343</v>
      </c>
      <c r="J53" s="11" t="s">
        <v>404</v>
      </c>
      <c r="K53" s="11"/>
      <c r="L53" s="11" t="s">
        <v>428</v>
      </c>
      <c r="M53" s="11" t="s">
        <v>99</v>
      </c>
      <c r="N53" s="11" t="s">
        <v>100</v>
      </c>
      <c r="O53" s="11" t="s">
        <v>101</v>
      </c>
      <c r="P53" s="11" t="s">
        <v>102</v>
      </c>
      <c r="Q53" s="12">
        <v>113.289906</v>
      </c>
      <c r="R53" s="13">
        <v>22.090720999999998</v>
      </c>
      <c r="S53" s="11" t="s">
        <v>429</v>
      </c>
      <c r="T53" s="11"/>
      <c r="U53" s="11" t="s">
        <v>104</v>
      </c>
      <c r="V53" s="11" t="s">
        <v>105</v>
      </c>
      <c r="W53" s="11" t="s">
        <v>106</v>
      </c>
      <c r="X53" s="11"/>
      <c r="Y53" s="11"/>
      <c r="Z53" s="11"/>
      <c r="AA53" s="12">
        <v>52</v>
      </c>
      <c r="AB53" s="12"/>
      <c r="AC53" s="11" t="s">
        <v>244</v>
      </c>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row>
    <row r="54" spans="1:56" ht="84" x14ac:dyDescent="0.25">
      <c r="A54" s="11" t="s">
        <v>430</v>
      </c>
      <c r="B54" s="11" t="s">
        <v>431</v>
      </c>
      <c r="C54" s="11"/>
      <c r="D54" s="11" t="s">
        <v>91</v>
      </c>
      <c r="E54" s="11" t="s">
        <v>92</v>
      </c>
      <c r="F54" s="11" t="s">
        <v>247</v>
      </c>
      <c r="G54" s="11" t="s">
        <v>432</v>
      </c>
      <c r="H54" s="11" t="s">
        <v>94</v>
      </c>
      <c r="I54" s="11" t="s">
        <v>343</v>
      </c>
      <c r="J54" s="11" t="s">
        <v>411</v>
      </c>
      <c r="K54" s="11"/>
      <c r="L54" s="11" t="s">
        <v>433</v>
      </c>
      <c r="M54" s="11" t="s">
        <v>99</v>
      </c>
      <c r="N54" s="11" t="s">
        <v>100</v>
      </c>
      <c r="O54" s="11" t="s">
        <v>101</v>
      </c>
      <c r="P54" s="11" t="s">
        <v>102</v>
      </c>
      <c r="Q54" s="12">
        <v>113.2679</v>
      </c>
      <c r="R54" s="13">
        <v>22.164000000000001</v>
      </c>
      <c r="S54" s="11" t="s">
        <v>434</v>
      </c>
      <c r="T54" s="11"/>
      <c r="U54" s="11" t="s">
        <v>104</v>
      </c>
      <c r="V54" s="11" t="s">
        <v>105</v>
      </c>
      <c r="W54" s="11" t="s">
        <v>106</v>
      </c>
      <c r="X54" s="11"/>
      <c r="Y54" s="11"/>
      <c r="Z54" s="11"/>
      <c r="AA54" s="12">
        <v>53</v>
      </c>
      <c r="AB54" s="12"/>
      <c r="AC54" s="11" t="s">
        <v>244</v>
      </c>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row>
    <row r="55" spans="1:56" ht="56" x14ac:dyDescent="0.25">
      <c r="A55" s="11" t="s">
        <v>435</v>
      </c>
      <c r="B55" s="11" t="s">
        <v>436</v>
      </c>
      <c r="C55" s="11"/>
      <c r="D55" s="11" t="s">
        <v>91</v>
      </c>
      <c r="E55" s="11" t="s">
        <v>92</v>
      </c>
      <c r="F55" s="11" t="s">
        <v>247</v>
      </c>
      <c r="G55" s="11" t="s">
        <v>416</v>
      </c>
      <c r="H55" s="11" t="s">
        <v>94</v>
      </c>
      <c r="I55" s="11" t="s">
        <v>343</v>
      </c>
      <c r="J55" s="11" t="s">
        <v>411</v>
      </c>
      <c r="K55" s="11"/>
      <c r="L55" s="11" t="s">
        <v>437</v>
      </c>
      <c r="M55" s="11" t="s">
        <v>99</v>
      </c>
      <c r="N55" s="11" t="s">
        <v>100</v>
      </c>
      <c r="O55" s="11" t="s">
        <v>101</v>
      </c>
      <c r="P55" s="11" t="s">
        <v>102</v>
      </c>
      <c r="Q55" s="12">
        <v>113.22921700000001</v>
      </c>
      <c r="R55" s="13">
        <v>22.153936000000002</v>
      </c>
      <c r="S55" s="11" t="s">
        <v>438</v>
      </c>
      <c r="T55" s="11"/>
      <c r="U55" s="11" t="s">
        <v>104</v>
      </c>
      <c r="V55" s="11" t="s">
        <v>105</v>
      </c>
      <c r="W55" s="11" t="s">
        <v>106</v>
      </c>
      <c r="X55" s="11"/>
      <c r="Y55" s="11"/>
      <c r="Z55" s="11"/>
      <c r="AA55" s="12">
        <v>54</v>
      </c>
      <c r="AB55" s="12"/>
      <c r="AC55" s="11" t="s">
        <v>107</v>
      </c>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row>
    <row r="56" spans="1:56" ht="56" x14ac:dyDescent="0.25">
      <c r="A56" s="11" t="s">
        <v>439</v>
      </c>
      <c r="B56" s="11" t="s">
        <v>440</v>
      </c>
      <c r="C56" s="11"/>
      <c r="D56" s="11" t="s">
        <v>91</v>
      </c>
      <c r="E56" s="11" t="s">
        <v>92</v>
      </c>
      <c r="F56" s="11" t="s">
        <v>258</v>
      </c>
      <c r="G56" s="11" t="s">
        <v>441</v>
      </c>
      <c r="H56" s="11" t="s">
        <v>94</v>
      </c>
      <c r="I56" s="11" t="s">
        <v>343</v>
      </c>
      <c r="J56" s="11" t="s">
        <v>411</v>
      </c>
      <c r="K56" s="11"/>
      <c r="L56" s="11" t="s">
        <v>442</v>
      </c>
      <c r="M56" s="11" t="s">
        <v>99</v>
      </c>
      <c r="N56" s="11" t="s">
        <v>100</v>
      </c>
      <c r="O56" s="11" t="s">
        <v>101</v>
      </c>
      <c r="P56" s="11" t="s">
        <v>102</v>
      </c>
      <c r="Q56" s="12">
        <v>113.268449</v>
      </c>
      <c r="R56" s="13">
        <v>22.165210999999999</v>
      </c>
      <c r="S56" s="11" t="s">
        <v>443</v>
      </c>
      <c r="T56" s="11"/>
      <c r="U56" s="11" t="s">
        <v>104</v>
      </c>
      <c r="V56" s="11" t="s">
        <v>105</v>
      </c>
      <c r="W56" s="11" t="s">
        <v>106</v>
      </c>
      <c r="X56" s="11"/>
      <c r="Y56" s="11"/>
      <c r="Z56" s="11"/>
      <c r="AA56" s="12">
        <v>55</v>
      </c>
      <c r="AB56" s="12"/>
      <c r="AC56" s="11" t="s">
        <v>244</v>
      </c>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row>
    <row r="57" spans="1:56" ht="70" x14ac:dyDescent="0.25">
      <c r="A57" s="11" t="s">
        <v>444</v>
      </c>
      <c r="B57" s="11" t="s">
        <v>445</v>
      </c>
      <c r="C57" s="11"/>
      <c r="D57" s="11" t="s">
        <v>91</v>
      </c>
      <c r="E57" s="11" t="s">
        <v>92</v>
      </c>
      <c r="F57" s="11" t="s">
        <v>247</v>
      </c>
      <c r="G57" s="11" t="s">
        <v>446</v>
      </c>
      <c r="H57" s="11" t="s">
        <v>94</v>
      </c>
      <c r="I57" s="11" t="s">
        <v>343</v>
      </c>
      <c r="J57" s="11" t="s">
        <v>411</v>
      </c>
      <c r="K57" s="11"/>
      <c r="L57" s="11" t="s">
        <v>447</v>
      </c>
      <c r="M57" s="11" t="s">
        <v>99</v>
      </c>
      <c r="N57" s="11" t="s">
        <v>100</v>
      </c>
      <c r="O57" s="11" t="s">
        <v>101</v>
      </c>
      <c r="P57" s="11" t="s">
        <v>102</v>
      </c>
      <c r="Q57" s="12">
        <v>113.277173</v>
      </c>
      <c r="R57" s="13">
        <v>22.158228000000001</v>
      </c>
      <c r="S57" s="11" t="s">
        <v>448</v>
      </c>
      <c r="T57" s="11"/>
      <c r="U57" s="11" t="s">
        <v>104</v>
      </c>
      <c r="V57" s="11" t="s">
        <v>105</v>
      </c>
      <c r="W57" s="11" t="s">
        <v>106</v>
      </c>
      <c r="X57" s="11"/>
      <c r="Y57" s="11"/>
      <c r="Z57" s="11"/>
      <c r="AA57" s="12">
        <v>56</v>
      </c>
      <c r="AB57" s="12"/>
      <c r="AC57" s="11" t="s">
        <v>107</v>
      </c>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row>
    <row r="58" spans="1:56" ht="56" x14ac:dyDescent="0.25">
      <c r="A58" s="11" t="s">
        <v>449</v>
      </c>
      <c r="B58" s="11" t="s">
        <v>450</v>
      </c>
      <c r="C58" s="11"/>
      <c r="D58" s="11" t="s">
        <v>91</v>
      </c>
      <c r="E58" s="11" t="s">
        <v>92</v>
      </c>
      <c r="F58" s="11" t="s">
        <v>270</v>
      </c>
      <c r="G58" s="11" t="s">
        <v>451</v>
      </c>
      <c r="H58" s="11" t="s">
        <v>94</v>
      </c>
      <c r="I58" s="11" t="s">
        <v>343</v>
      </c>
      <c r="J58" s="11" t="s">
        <v>411</v>
      </c>
      <c r="K58" s="11"/>
      <c r="L58" s="11" t="s">
        <v>452</v>
      </c>
      <c r="M58" s="11" t="s">
        <v>99</v>
      </c>
      <c r="N58" s="11" t="s">
        <v>100</v>
      </c>
      <c r="O58" s="11" t="s">
        <v>101</v>
      </c>
      <c r="P58" s="11" t="s">
        <v>102</v>
      </c>
      <c r="Q58" s="12">
        <v>113.288031</v>
      </c>
      <c r="R58" s="13">
        <v>22.160997999999999</v>
      </c>
      <c r="S58" s="11" t="s">
        <v>453</v>
      </c>
      <c r="T58" s="11"/>
      <c r="U58" s="11" t="s">
        <v>104</v>
      </c>
      <c r="V58" s="11" t="s">
        <v>105</v>
      </c>
      <c r="W58" s="11" t="s">
        <v>106</v>
      </c>
      <c r="X58" s="11"/>
      <c r="Y58" s="11"/>
      <c r="Z58" s="11"/>
      <c r="AA58" s="12">
        <v>57</v>
      </c>
      <c r="AB58" s="12"/>
      <c r="AC58" s="11" t="s">
        <v>107</v>
      </c>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row>
    <row r="59" spans="1:56" ht="56" x14ac:dyDescent="0.25">
      <c r="A59" s="11" t="s">
        <v>454</v>
      </c>
      <c r="B59" s="11" t="s">
        <v>455</v>
      </c>
      <c r="C59" s="11"/>
      <c r="D59" s="11" t="s">
        <v>91</v>
      </c>
      <c r="E59" s="11" t="s">
        <v>92</v>
      </c>
      <c r="F59" s="11" t="s">
        <v>456</v>
      </c>
      <c r="G59" s="11" t="s">
        <v>457</v>
      </c>
      <c r="H59" s="11" t="s">
        <v>94</v>
      </c>
      <c r="I59" s="11" t="s">
        <v>343</v>
      </c>
      <c r="J59" s="11" t="s">
        <v>411</v>
      </c>
      <c r="K59" s="11"/>
      <c r="L59" s="11" t="s">
        <v>458</v>
      </c>
      <c r="M59" s="11" t="s">
        <v>99</v>
      </c>
      <c r="N59" s="11" t="s">
        <v>100</v>
      </c>
      <c r="O59" s="11" t="s">
        <v>101</v>
      </c>
      <c r="P59" s="11" t="s">
        <v>102</v>
      </c>
      <c r="Q59" s="12"/>
      <c r="R59" s="13"/>
      <c r="S59" s="11" t="s">
        <v>459</v>
      </c>
      <c r="T59" s="11"/>
      <c r="U59" s="11" t="s">
        <v>104</v>
      </c>
      <c r="V59" s="11" t="s">
        <v>105</v>
      </c>
      <c r="W59" s="11" t="s">
        <v>106</v>
      </c>
      <c r="X59" s="11"/>
      <c r="Y59" s="11"/>
      <c r="Z59" s="11"/>
      <c r="AA59" s="12">
        <v>58</v>
      </c>
      <c r="AB59" s="12"/>
      <c r="AC59" s="11" t="s">
        <v>244</v>
      </c>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row>
    <row r="60" spans="1:56" ht="56" x14ac:dyDescent="0.25">
      <c r="A60" s="11" t="s">
        <v>460</v>
      </c>
      <c r="B60" s="11" t="s">
        <v>461</v>
      </c>
      <c r="C60" s="11"/>
      <c r="D60" s="11" t="s">
        <v>91</v>
      </c>
      <c r="E60" s="11" t="s">
        <v>92</v>
      </c>
      <c r="F60" s="11" t="s">
        <v>462</v>
      </c>
      <c r="G60" s="11" t="s">
        <v>463</v>
      </c>
      <c r="H60" s="11" t="s">
        <v>94</v>
      </c>
      <c r="I60" s="11" t="s">
        <v>343</v>
      </c>
      <c r="J60" s="11" t="s">
        <v>404</v>
      </c>
      <c r="K60" s="11"/>
      <c r="L60" s="11" t="s">
        <v>464</v>
      </c>
      <c r="M60" s="11" t="s">
        <v>99</v>
      </c>
      <c r="N60" s="11" t="s">
        <v>100</v>
      </c>
      <c r="O60" s="11" t="s">
        <v>101</v>
      </c>
      <c r="P60" s="11" t="s">
        <v>102</v>
      </c>
      <c r="Q60" s="12" t="s">
        <v>103</v>
      </c>
      <c r="R60" s="13" t="s">
        <v>103</v>
      </c>
      <c r="S60" s="11" t="s">
        <v>465</v>
      </c>
      <c r="T60" s="11"/>
      <c r="U60" s="11" t="s">
        <v>104</v>
      </c>
      <c r="V60" s="11" t="s">
        <v>105</v>
      </c>
      <c r="W60" s="11" t="s">
        <v>106</v>
      </c>
      <c r="X60" s="11"/>
      <c r="Y60" s="11"/>
      <c r="Z60" s="11"/>
      <c r="AA60" s="12">
        <v>59</v>
      </c>
      <c r="AB60" s="12"/>
      <c r="AC60" s="11" t="s">
        <v>107</v>
      </c>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row>
    <row r="61" spans="1:56" ht="56" x14ac:dyDescent="0.25">
      <c r="A61" s="11" t="s">
        <v>466</v>
      </c>
      <c r="B61" s="11" t="s">
        <v>467</v>
      </c>
      <c r="C61" s="11"/>
      <c r="D61" s="11" t="s">
        <v>91</v>
      </c>
      <c r="E61" s="11" t="s">
        <v>92</v>
      </c>
      <c r="F61" s="11" t="s">
        <v>402</v>
      </c>
      <c r="G61" s="11" t="s">
        <v>468</v>
      </c>
      <c r="H61" s="11" t="s">
        <v>94</v>
      </c>
      <c r="I61" s="11" t="s">
        <v>343</v>
      </c>
      <c r="J61" s="11" t="s">
        <v>404</v>
      </c>
      <c r="K61" s="11"/>
      <c r="L61" s="11" t="s">
        <v>469</v>
      </c>
      <c r="M61" s="11" t="s">
        <v>99</v>
      </c>
      <c r="N61" s="11" t="s">
        <v>100</v>
      </c>
      <c r="O61" s="11" t="s">
        <v>101</v>
      </c>
      <c r="P61" s="11" t="s">
        <v>102</v>
      </c>
      <c r="Q61" s="12"/>
      <c r="R61" s="13"/>
      <c r="S61" s="11" t="s">
        <v>470</v>
      </c>
      <c r="T61" s="11"/>
      <c r="U61" s="11" t="s">
        <v>104</v>
      </c>
      <c r="V61" s="11" t="s">
        <v>105</v>
      </c>
      <c r="W61" s="11" t="s">
        <v>106</v>
      </c>
      <c r="X61" s="11"/>
      <c r="Y61" s="11"/>
      <c r="Z61" s="11"/>
      <c r="AA61" s="12">
        <v>60</v>
      </c>
      <c r="AB61" s="12"/>
      <c r="AC61" s="11" t="s">
        <v>244</v>
      </c>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row>
    <row r="62" spans="1:56" ht="70" x14ac:dyDescent="0.25">
      <c r="A62" s="11" t="s">
        <v>471</v>
      </c>
      <c r="B62" s="11" t="s">
        <v>472</v>
      </c>
      <c r="C62" s="11"/>
      <c r="D62" s="11" t="s">
        <v>91</v>
      </c>
      <c r="E62" s="11" t="s">
        <v>92</v>
      </c>
      <c r="F62" s="11" t="s">
        <v>473</v>
      </c>
      <c r="G62" s="11" t="s">
        <v>474</v>
      </c>
      <c r="H62" s="11" t="s">
        <v>94</v>
      </c>
      <c r="I62" s="11" t="s">
        <v>351</v>
      </c>
      <c r="J62" s="11" t="s">
        <v>351</v>
      </c>
      <c r="K62" s="11" t="s">
        <v>475</v>
      </c>
      <c r="L62" s="11" t="s">
        <v>476</v>
      </c>
      <c r="M62" s="11" t="s">
        <v>99</v>
      </c>
      <c r="N62" s="11" t="s">
        <v>100</v>
      </c>
      <c r="O62" s="11" t="s">
        <v>101</v>
      </c>
      <c r="P62" s="11" t="s">
        <v>102</v>
      </c>
      <c r="Q62" s="12">
        <v>113.527772</v>
      </c>
      <c r="R62" s="13">
        <v>22.496057</v>
      </c>
      <c r="S62" s="11" t="s">
        <v>477</v>
      </c>
      <c r="T62" s="11"/>
      <c r="U62" s="11" t="s">
        <v>104</v>
      </c>
      <c r="V62" s="11" t="s">
        <v>105</v>
      </c>
      <c r="W62" s="11" t="s">
        <v>106</v>
      </c>
      <c r="X62" s="11"/>
      <c r="Y62" s="11"/>
      <c r="Z62" s="11"/>
      <c r="AA62" s="12">
        <v>61</v>
      </c>
      <c r="AB62" s="12"/>
      <c r="AC62" s="11" t="s">
        <v>244</v>
      </c>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row>
    <row r="63" spans="1:56" ht="70" x14ac:dyDescent="0.25">
      <c r="A63" s="11" t="s">
        <v>478</v>
      </c>
      <c r="B63" s="11" t="s">
        <v>479</v>
      </c>
      <c r="C63" s="11"/>
      <c r="D63" s="11" t="s">
        <v>91</v>
      </c>
      <c r="E63" s="11" t="s">
        <v>92</v>
      </c>
      <c r="F63" s="11" t="s">
        <v>480</v>
      </c>
      <c r="G63" s="11" t="s">
        <v>481</v>
      </c>
      <c r="H63" s="11" t="s">
        <v>94</v>
      </c>
      <c r="I63" s="11" t="s">
        <v>351</v>
      </c>
      <c r="J63" s="11" t="s">
        <v>351</v>
      </c>
      <c r="K63" s="11" t="s">
        <v>482</v>
      </c>
      <c r="L63" s="11" t="s">
        <v>483</v>
      </c>
      <c r="M63" s="11" t="s">
        <v>99</v>
      </c>
      <c r="N63" s="11" t="s">
        <v>100</v>
      </c>
      <c r="O63" s="11" t="s">
        <v>101</v>
      </c>
      <c r="P63" s="11" t="s">
        <v>102</v>
      </c>
      <c r="Q63" s="12">
        <v>113.455381</v>
      </c>
      <c r="R63" s="13">
        <v>22.631947</v>
      </c>
      <c r="S63" s="11" t="s">
        <v>484</v>
      </c>
      <c r="T63" s="11"/>
      <c r="U63" s="11" t="s">
        <v>104</v>
      </c>
      <c r="V63" s="11" t="s">
        <v>105</v>
      </c>
      <c r="W63" s="11" t="s">
        <v>106</v>
      </c>
      <c r="X63" s="11"/>
      <c r="Y63" s="11"/>
      <c r="Z63" s="11"/>
      <c r="AA63" s="12">
        <v>62</v>
      </c>
      <c r="AB63" s="12"/>
      <c r="AC63" s="11" t="s">
        <v>244</v>
      </c>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row>
    <row r="64" spans="1:56" ht="70" x14ac:dyDescent="0.25">
      <c r="A64" s="11" t="s">
        <v>485</v>
      </c>
      <c r="B64" s="11" t="s">
        <v>486</v>
      </c>
      <c r="C64" s="11"/>
      <c r="D64" s="11" t="s">
        <v>91</v>
      </c>
      <c r="E64" s="11" t="s">
        <v>92</v>
      </c>
      <c r="F64" s="11" t="s">
        <v>487</v>
      </c>
      <c r="G64" s="11" t="s">
        <v>488</v>
      </c>
      <c r="H64" s="11" t="s">
        <v>94</v>
      </c>
      <c r="I64" s="11" t="s">
        <v>351</v>
      </c>
      <c r="J64" s="11" t="s">
        <v>351</v>
      </c>
      <c r="K64" s="11" t="s">
        <v>489</v>
      </c>
      <c r="L64" s="11" t="s">
        <v>490</v>
      </c>
      <c r="M64" s="11" t="s">
        <v>99</v>
      </c>
      <c r="N64" s="11" t="s">
        <v>100</v>
      </c>
      <c r="O64" s="11" t="s">
        <v>101</v>
      </c>
      <c r="P64" s="11" t="s">
        <v>102</v>
      </c>
      <c r="Q64" s="12">
        <v>113.454989</v>
      </c>
      <c r="R64" s="13">
        <v>22.561170000000001</v>
      </c>
      <c r="S64" s="11" t="s">
        <v>491</v>
      </c>
      <c r="T64" s="11"/>
      <c r="U64" s="11" t="s">
        <v>104</v>
      </c>
      <c r="V64" s="11" t="s">
        <v>105</v>
      </c>
      <c r="W64" s="11" t="s">
        <v>106</v>
      </c>
      <c r="X64" s="11"/>
      <c r="Y64" s="11"/>
      <c r="Z64" s="11"/>
      <c r="AA64" s="12">
        <v>63</v>
      </c>
      <c r="AB64" s="12"/>
      <c r="AC64" s="11" t="s">
        <v>244</v>
      </c>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row>
    <row r="65" spans="1:56" ht="70" x14ac:dyDescent="0.25">
      <c r="A65" s="11" t="s">
        <v>492</v>
      </c>
      <c r="B65" s="11" t="s">
        <v>493</v>
      </c>
      <c r="C65" s="11"/>
      <c r="D65" s="11" t="s">
        <v>91</v>
      </c>
      <c r="E65" s="11" t="s">
        <v>92</v>
      </c>
      <c r="F65" s="11" t="s">
        <v>480</v>
      </c>
      <c r="G65" s="11" t="s">
        <v>481</v>
      </c>
      <c r="H65" s="11" t="s">
        <v>94</v>
      </c>
      <c r="I65" s="11" t="s">
        <v>351</v>
      </c>
      <c r="J65" s="11" t="s">
        <v>351</v>
      </c>
      <c r="K65" s="11" t="s">
        <v>482</v>
      </c>
      <c r="L65" s="11" t="s">
        <v>494</v>
      </c>
      <c r="M65" s="11" t="s">
        <v>99</v>
      </c>
      <c r="N65" s="11" t="s">
        <v>100</v>
      </c>
      <c r="O65" s="11" t="s">
        <v>101</v>
      </c>
      <c r="P65" s="11" t="s">
        <v>102</v>
      </c>
      <c r="Q65" s="12">
        <v>113.494209</v>
      </c>
      <c r="R65" s="13">
        <v>22.620016</v>
      </c>
      <c r="S65" s="11" t="s">
        <v>495</v>
      </c>
      <c r="T65" s="11"/>
      <c r="U65" s="11" t="s">
        <v>104</v>
      </c>
      <c r="V65" s="11" t="s">
        <v>105</v>
      </c>
      <c r="W65" s="11" t="s">
        <v>106</v>
      </c>
      <c r="X65" s="11"/>
      <c r="Y65" s="11"/>
      <c r="Z65" s="11"/>
      <c r="AA65" s="12">
        <v>64</v>
      </c>
      <c r="AB65" s="12"/>
      <c r="AC65" s="11" t="s">
        <v>244</v>
      </c>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row>
    <row r="66" spans="1:56" ht="70" x14ac:dyDescent="0.25">
      <c r="A66" s="11" t="s">
        <v>496</v>
      </c>
      <c r="B66" s="11" t="s">
        <v>497</v>
      </c>
      <c r="C66" s="11"/>
      <c r="D66" s="11" t="s">
        <v>91</v>
      </c>
      <c r="E66" s="11" t="s">
        <v>92</v>
      </c>
      <c r="F66" s="11" t="s">
        <v>498</v>
      </c>
      <c r="G66" s="11" t="s">
        <v>499</v>
      </c>
      <c r="H66" s="11" t="s">
        <v>94</v>
      </c>
      <c r="I66" s="11" t="s">
        <v>351</v>
      </c>
      <c r="J66" s="11" t="s">
        <v>351</v>
      </c>
      <c r="K66" s="11" t="s">
        <v>489</v>
      </c>
      <c r="L66" s="11" t="s">
        <v>500</v>
      </c>
      <c r="M66" s="11" t="s">
        <v>99</v>
      </c>
      <c r="N66" s="11" t="s">
        <v>100</v>
      </c>
      <c r="O66" s="11" t="s">
        <v>101</v>
      </c>
      <c r="P66" s="11" t="s">
        <v>102</v>
      </c>
      <c r="Q66" s="12">
        <v>113.439752</v>
      </c>
      <c r="R66" s="13">
        <v>22.554877000000001</v>
      </c>
      <c r="S66" s="11" t="s">
        <v>501</v>
      </c>
      <c r="T66" s="11"/>
      <c r="U66" s="11" t="s">
        <v>104</v>
      </c>
      <c r="V66" s="11" t="s">
        <v>105</v>
      </c>
      <c r="W66" s="11" t="s">
        <v>106</v>
      </c>
      <c r="X66" s="11"/>
      <c r="Y66" s="11"/>
      <c r="Z66" s="11"/>
      <c r="AA66" s="12">
        <v>65</v>
      </c>
      <c r="AB66" s="12"/>
      <c r="AC66" s="11" t="s">
        <v>244</v>
      </c>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row>
    <row r="67" spans="1:56" ht="70" x14ac:dyDescent="0.25">
      <c r="A67" s="11" t="s">
        <v>502</v>
      </c>
      <c r="B67" s="11" t="s">
        <v>503</v>
      </c>
      <c r="C67" s="11"/>
      <c r="D67" s="11" t="s">
        <v>91</v>
      </c>
      <c r="E67" s="11" t="s">
        <v>92</v>
      </c>
      <c r="F67" s="11" t="s">
        <v>480</v>
      </c>
      <c r="G67" s="11" t="s">
        <v>481</v>
      </c>
      <c r="H67" s="11" t="s">
        <v>94</v>
      </c>
      <c r="I67" s="11" t="s">
        <v>351</v>
      </c>
      <c r="J67" s="11" t="s">
        <v>351</v>
      </c>
      <c r="K67" s="11" t="s">
        <v>482</v>
      </c>
      <c r="L67" s="11" t="s">
        <v>504</v>
      </c>
      <c r="M67" s="11" t="s">
        <v>99</v>
      </c>
      <c r="N67" s="11" t="s">
        <v>100</v>
      </c>
      <c r="O67" s="11" t="s">
        <v>101</v>
      </c>
      <c r="P67" s="11" t="s">
        <v>102</v>
      </c>
      <c r="Q67" s="12">
        <v>113.49028800000001</v>
      </c>
      <c r="R67" s="13">
        <v>22.602059000000001</v>
      </c>
      <c r="S67" s="11" t="s">
        <v>505</v>
      </c>
      <c r="T67" s="11"/>
      <c r="U67" s="11" t="s">
        <v>104</v>
      </c>
      <c r="V67" s="11" t="s">
        <v>105</v>
      </c>
      <c r="W67" s="11" t="s">
        <v>106</v>
      </c>
      <c r="X67" s="11"/>
      <c r="Y67" s="11"/>
      <c r="Z67" s="11"/>
      <c r="AA67" s="12">
        <v>66</v>
      </c>
      <c r="AB67" s="12"/>
      <c r="AC67" s="11" t="s">
        <v>244</v>
      </c>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row>
    <row r="68" spans="1:56" ht="70" x14ac:dyDescent="0.25">
      <c r="A68" s="11" t="s">
        <v>506</v>
      </c>
      <c r="B68" s="11" t="s">
        <v>507</v>
      </c>
      <c r="C68" s="11"/>
      <c r="D68" s="11" t="s">
        <v>91</v>
      </c>
      <c r="E68" s="11" t="s">
        <v>92</v>
      </c>
      <c r="F68" s="11" t="s">
        <v>480</v>
      </c>
      <c r="G68" s="11" t="s">
        <v>481</v>
      </c>
      <c r="H68" s="11" t="s">
        <v>94</v>
      </c>
      <c r="I68" s="11" t="s">
        <v>351</v>
      </c>
      <c r="J68" s="11" t="s">
        <v>351</v>
      </c>
      <c r="K68" s="11" t="s">
        <v>508</v>
      </c>
      <c r="L68" s="11" t="s">
        <v>509</v>
      </c>
      <c r="M68" s="11" t="s">
        <v>99</v>
      </c>
      <c r="N68" s="11" t="s">
        <v>100</v>
      </c>
      <c r="O68" s="11" t="s">
        <v>101</v>
      </c>
      <c r="P68" s="11" t="s">
        <v>102</v>
      </c>
      <c r="Q68" s="12">
        <v>113.322277</v>
      </c>
      <c r="R68" s="13">
        <v>22.587347999999999</v>
      </c>
      <c r="S68" s="11" t="s">
        <v>510</v>
      </c>
      <c r="T68" s="11"/>
      <c r="U68" s="11" t="s">
        <v>104</v>
      </c>
      <c r="V68" s="11" t="s">
        <v>105</v>
      </c>
      <c r="W68" s="11" t="s">
        <v>106</v>
      </c>
      <c r="X68" s="11"/>
      <c r="Y68" s="11"/>
      <c r="Z68" s="11"/>
      <c r="AA68" s="12">
        <v>67</v>
      </c>
      <c r="AB68" s="12"/>
      <c r="AC68" s="11" t="s">
        <v>244</v>
      </c>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row>
    <row r="69" spans="1:56" ht="56" x14ac:dyDescent="0.25">
      <c r="A69" s="11" t="s">
        <v>511</v>
      </c>
      <c r="B69" s="11" t="s">
        <v>512</v>
      </c>
      <c r="C69" s="11"/>
      <c r="D69" s="11" t="s">
        <v>91</v>
      </c>
      <c r="E69" s="11" t="s">
        <v>92</v>
      </c>
      <c r="F69" s="11" t="s">
        <v>513</v>
      </c>
      <c r="G69" s="11" t="s">
        <v>514</v>
      </c>
      <c r="H69" s="11" t="s">
        <v>94</v>
      </c>
      <c r="I69" s="11" t="s">
        <v>351</v>
      </c>
      <c r="J69" s="11" t="s">
        <v>351</v>
      </c>
      <c r="K69" s="11" t="s">
        <v>515</v>
      </c>
      <c r="L69" s="11" t="s">
        <v>516</v>
      </c>
      <c r="M69" s="11" t="s">
        <v>99</v>
      </c>
      <c r="N69" s="11" t="s">
        <v>100</v>
      </c>
      <c r="O69" s="11" t="s">
        <v>101</v>
      </c>
      <c r="P69" s="11" t="s">
        <v>102</v>
      </c>
      <c r="Q69" s="12">
        <v>113.31632399999999</v>
      </c>
      <c r="R69" s="13">
        <v>22.516432999999999</v>
      </c>
      <c r="S69" s="11" t="s">
        <v>517</v>
      </c>
      <c r="T69" s="11"/>
      <c r="U69" s="11" t="s">
        <v>104</v>
      </c>
      <c r="V69" s="11" t="s">
        <v>105</v>
      </c>
      <c r="W69" s="11" t="s">
        <v>106</v>
      </c>
      <c r="X69" s="11"/>
      <c r="Y69" s="11"/>
      <c r="Z69" s="11"/>
      <c r="AA69" s="12">
        <v>68</v>
      </c>
      <c r="AB69" s="12"/>
      <c r="AC69" s="11" t="s">
        <v>107</v>
      </c>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row>
    <row r="70" spans="1:56" ht="70" x14ac:dyDescent="0.25">
      <c r="A70" s="11" t="s">
        <v>518</v>
      </c>
      <c r="B70" s="11" t="s">
        <v>519</v>
      </c>
      <c r="C70" s="11"/>
      <c r="D70" s="11" t="s">
        <v>91</v>
      </c>
      <c r="E70" s="11" t="s">
        <v>92</v>
      </c>
      <c r="F70" s="11" t="s">
        <v>270</v>
      </c>
      <c r="G70" s="11" t="s">
        <v>520</v>
      </c>
      <c r="H70" s="11" t="s">
        <v>94</v>
      </c>
      <c r="I70" s="11" t="s">
        <v>351</v>
      </c>
      <c r="J70" s="11" t="s">
        <v>351</v>
      </c>
      <c r="K70" s="11" t="s">
        <v>489</v>
      </c>
      <c r="L70" s="11" t="s">
        <v>521</v>
      </c>
      <c r="M70" s="11" t="s">
        <v>99</v>
      </c>
      <c r="N70" s="11" t="s">
        <v>100</v>
      </c>
      <c r="O70" s="11" t="s">
        <v>101</v>
      </c>
      <c r="P70" s="11" t="s">
        <v>102</v>
      </c>
      <c r="Q70" s="12">
        <v>113.528606</v>
      </c>
      <c r="R70" s="13">
        <v>22.562778999999999</v>
      </c>
      <c r="S70" s="11" t="s">
        <v>522</v>
      </c>
      <c r="T70" s="11"/>
      <c r="U70" s="11" t="s">
        <v>104</v>
      </c>
      <c r="V70" s="11" t="s">
        <v>105</v>
      </c>
      <c r="W70" s="11" t="s">
        <v>106</v>
      </c>
      <c r="X70" s="11"/>
      <c r="Y70" s="11"/>
      <c r="Z70" s="11"/>
      <c r="AA70" s="12">
        <v>69</v>
      </c>
      <c r="AB70" s="12"/>
      <c r="AC70" s="11" t="s">
        <v>107</v>
      </c>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row>
    <row r="71" spans="1:56" ht="70" x14ac:dyDescent="0.25">
      <c r="A71" s="11" t="s">
        <v>523</v>
      </c>
      <c r="B71" s="11" t="s">
        <v>524</v>
      </c>
      <c r="C71" s="11"/>
      <c r="D71" s="11" t="s">
        <v>91</v>
      </c>
      <c r="E71" s="11" t="s">
        <v>92</v>
      </c>
      <c r="F71" s="11" t="s">
        <v>480</v>
      </c>
      <c r="G71" s="11" t="s">
        <v>481</v>
      </c>
      <c r="H71" s="11" t="s">
        <v>94</v>
      </c>
      <c r="I71" s="11" t="s">
        <v>351</v>
      </c>
      <c r="J71" s="11" t="s">
        <v>351</v>
      </c>
      <c r="K71" s="11" t="s">
        <v>525</v>
      </c>
      <c r="L71" s="11" t="s">
        <v>526</v>
      </c>
      <c r="M71" s="11" t="s">
        <v>99</v>
      </c>
      <c r="N71" s="11" t="s">
        <v>100</v>
      </c>
      <c r="O71" s="11" t="s">
        <v>101</v>
      </c>
      <c r="P71" s="11" t="s">
        <v>102</v>
      </c>
      <c r="Q71" s="12">
        <v>113.41819099999999</v>
      </c>
      <c r="R71" s="13">
        <v>22.676817</v>
      </c>
      <c r="S71" s="11" t="s">
        <v>527</v>
      </c>
      <c r="T71" s="11"/>
      <c r="U71" s="11" t="s">
        <v>104</v>
      </c>
      <c r="V71" s="11" t="s">
        <v>105</v>
      </c>
      <c r="W71" s="11" t="s">
        <v>106</v>
      </c>
      <c r="X71" s="11"/>
      <c r="Y71" s="11"/>
      <c r="Z71" s="11"/>
      <c r="AA71" s="12">
        <v>70</v>
      </c>
      <c r="AB71" s="12"/>
      <c r="AC71" s="11" t="s">
        <v>107</v>
      </c>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row>
    <row r="72" spans="1:56" ht="70" x14ac:dyDescent="0.25">
      <c r="A72" s="11" t="s">
        <v>528</v>
      </c>
      <c r="B72" s="11" t="s">
        <v>529</v>
      </c>
      <c r="C72" s="11"/>
      <c r="D72" s="11" t="s">
        <v>91</v>
      </c>
      <c r="E72" s="11" t="s">
        <v>92</v>
      </c>
      <c r="F72" s="11" t="s">
        <v>530</v>
      </c>
      <c r="G72" s="11" t="s">
        <v>531</v>
      </c>
      <c r="H72" s="11" t="s">
        <v>94</v>
      </c>
      <c r="I72" s="11" t="s">
        <v>351</v>
      </c>
      <c r="J72" s="11" t="s">
        <v>351</v>
      </c>
      <c r="K72" s="11" t="s">
        <v>532</v>
      </c>
      <c r="L72" s="11" t="s">
        <v>533</v>
      </c>
      <c r="M72" s="11" t="s">
        <v>99</v>
      </c>
      <c r="N72" s="11" t="s">
        <v>100</v>
      </c>
      <c r="O72" s="11" t="s">
        <v>101</v>
      </c>
      <c r="P72" s="11" t="s">
        <v>102</v>
      </c>
      <c r="Q72" s="12">
        <v>113.261726</v>
      </c>
      <c r="R72" s="13">
        <v>22.649425000000001</v>
      </c>
      <c r="S72" s="11" t="s">
        <v>534</v>
      </c>
      <c r="T72" s="11"/>
      <c r="U72" s="11" t="s">
        <v>104</v>
      </c>
      <c r="V72" s="11" t="s">
        <v>105</v>
      </c>
      <c r="W72" s="11" t="s">
        <v>106</v>
      </c>
      <c r="X72" s="11"/>
      <c r="Y72" s="11"/>
      <c r="Z72" s="11"/>
      <c r="AA72" s="12">
        <v>71</v>
      </c>
      <c r="AB72" s="12"/>
      <c r="AC72" s="11" t="s">
        <v>107</v>
      </c>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row>
    <row r="73" spans="1:56" ht="70" x14ac:dyDescent="0.25">
      <c r="A73" s="11" t="s">
        <v>535</v>
      </c>
      <c r="B73" s="11" t="s">
        <v>536</v>
      </c>
      <c r="C73" s="11"/>
      <c r="D73" s="11" t="s">
        <v>91</v>
      </c>
      <c r="E73" s="11" t="s">
        <v>92</v>
      </c>
      <c r="F73" s="11" t="s">
        <v>537</v>
      </c>
      <c r="G73" s="11" t="s">
        <v>538</v>
      </c>
      <c r="H73" s="11" t="s">
        <v>94</v>
      </c>
      <c r="I73" s="11" t="s">
        <v>351</v>
      </c>
      <c r="J73" s="11" t="s">
        <v>351</v>
      </c>
      <c r="K73" s="11" t="s">
        <v>532</v>
      </c>
      <c r="L73" s="11" t="s">
        <v>539</v>
      </c>
      <c r="M73" s="11" t="s">
        <v>99</v>
      </c>
      <c r="N73" s="11" t="s">
        <v>100</v>
      </c>
      <c r="O73" s="11" t="s">
        <v>101</v>
      </c>
      <c r="P73" s="11" t="s">
        <v>102</v>
      </c>
      <c r="Q73" s="12">
        <v>113.261548</v>
      </c>
      <c r="R73" s="13">
        <v>22.642876000000001</v>
      </c>
      <c r="S73" s="11" t="s">
        <v>540</v>
      </c>
      <c r="T73" s="11"/>
      <c r="U73" s="11" t="s">
        <v>104</v>
      </c>
      <c r="V73" s="11" t="s">
        <v>105</v>
      </c>
      <c r="W73" s="11" t="s">
        <v>106</v>
      </c>
      <c r="X73" s="11"/>
      <c r="Y73" s="11"/>
      <c r="Z73" s="11"/>
      <c r="AA73" s="12">
        <v>72</v>
      </c>
      <c r="AB73" s="12"/>
      <c r="AC73" s="11" t="s">
        <v>244</v>
      </c>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row>
    <row r="74" spans="1:56" ht="70" x14ac:dyDescent="0.25">
      <c r="A74" s="11" t="s">
        <v>541</v>
      </c>
      <c r="B74" s="11" t="s">
        <v>542</v>
      </c>
      <c r="C74" s="11"/>
      <c r="D74" s="11" t="s">
        <v>91</v>
      </c>
      <c r="E74" s="11" t="s">
        <v>92</v>
      </c>
      <c r="F74" s="11" t="s">
        <v>543</v>
      </c>
      <c r="G74" s="11" t="s">
        <v>544</v>
      </c>
      <c r="H74" s="11" t="s">
        <v>94</v>
      </c>
      <c r="I74" s="11" t="s">
        <v>351</v>
      </c>
      <c r="J74" s="11" t="s">
        <v>351</v>
      </c>
      <c r="K74" s="11" t="s">
        <v>545</v>
      </c>
      <c r="L74" s="11" t="s">
        <v>546</v>
      </c>
      <c r="M74" s="11" t="s">
        <v>99</v>
      </c>
      <c r="N74" s="11" t="s">
        <v>100</v>
      </c>
      <c r="O74" s="11" t="s">
        <v>101</v>
      </c>
      <c r="P74" s="11" t="s">
        <v>102</v>
      </c>
      <c r="Q74" s="12">
        <v>113.32823399999999</v>
      </c>
      <c r="R74" s="13">
        <v>22.492258</v>
      </c>
      <c r="S74" s="11" t="s">
        <v>547</v>
      </c>
      <c r="T74" s="11"/>
      <c r="U74" s="11" t="s">
        <v>104</v>
      </c>
      <c r="V74" s="11" t="s">
        <v>105</v>
      </c>
      <c r="W74" s="11" t="s">
        <v>106</v>
      </c>
      <c r="X74" s="11"/>
      <c r="Y74" s="11"/>
      <c r="Z74" s="11"/>
      <c r="AA74" s="12">
        <v>73</v>
      </c>
      <c r="AB74" s="12"/>
      <c r="AC74" s="11" t="s">
        <v>244</v>
      </c>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row>
    <row r="75" spans="1:56" ht="70" x14ac:dyDescent="0.25">
      <c r="A75" s="11" t="s">
        <v>548</v>
      </c>
      <c r="B75" s="11" t="s">
        <v>549</v>
      </c>
      <c r="C75" s="11"/>
      <c r="D75" s="11" t="s">
        <v>91</v>
      </c>
      <c r="E75" s="11" t="s">
        <v>92</v>
      </c>
      <c r="F75" s="11" t="s">
        <v>550</v>
      </c>
      <c r="G75" s="11" t="s">
        <v>551</v>
      </c>
      <c r="H75" s="11" t="s">
        <v>94</v>
      </c>
      <c r="I75" s="11" t="s">
        <v>351</v>
      </c>
      <c r="J75" s="11" t="s">
        <v>351</v>
      </c>
      <c r="K75" s="11" t="s">
        <v>545</v>
      </c>
      <c r="L75" s="11" t="s">
        <v>552</v>
      </c>
      <c r="M75" s="11" t="s">
        <v>99</v>
      </c>
      <c r="N75" s="11" t="s">
        <v>100</v>
      </c>
      <c r="O75" s="11" t="s">
        <v>101</v>
      </c>
      <c r="P75" s="11" t="s">
        <v>102</v>
      </c>
      <c r="Q75" s="12">
        <v>113.19878199999999</v>
      </c>
      <c r="R75" s="13">
        <v>22.637017</v>
      </c>
      <c r="S75" s="11" t="s">
        <v>553</v>
      </c>
      <c r="T75" s="11"/>
      <c r="U75" s="11" t="s">
        <v>104</v>
      </c>
      <c r="V75" s="11" t="s">
        <v>105</v>
      </c>
      <c r="W75" s="11" t="s">
        <v>106</v>
      </c>
      <c r="X75" s="11"/>
      <c r="Y75" s="11"/>
      <c r="Z75" s="11"/>
      <c r="AA75" s="12">
        <v>74</v>
      </c>
      <c r="AB75" s="12"/>
      <c r="AC75" s="11" t="s">
        <v>244</v>
      </c>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row>
    <row r="76" spans="1:56" ht="70" x14ac:dyDescent="0.25">
      <c r="A76" s="11" t="s">
        <v>554</v>
      </c>
      <c r="B76" s="11" t="s">
        <v>555</v>
      </c>
      <c r="C76" s="11"/>
      <c r="D76" s="11" t="s">
        <v>91</v>
      </c>
      <c r="E76" s="11" t="s">
        <v>92</v>
      </c>
      <c r="F76" s="11" t="s">
        <v>556</v>
      </c>
      <c r="G76" s="11" t="s">
        <v>557</v>
      </c>
      <c r="H76" s="11" t="s">
        <v>94</v>
      </c>
      <c r="I76" s="11" t="s">
        <v>351</v>
      </c>
      <c r="J76" s="11" t="s">
        <v>351</v>
      </c>
      <c r="K76" s="11" t="s">
        <v>558</v>
      </c>
      <c r="L76" s="11" t="s">
        <v>559</v>
      </c>
      <c r="M76" s="11" t="s">
        <v>99</v>
      </c>
      <c r="N76" s="11" t="s">
        <v>100</v>
      </c>
      <c r="O76" s="11" t="s">
        <v>101</v>
      </c>
      <c r="P76" s="11" t="s">
        <v>102</v>
      </c>
      <c r="Q76" s="12">
        <v>113.30854100000001</v>
      </c>
      <c r="R76" s="13">
        <v>22.688891000000002</v>
      </c>
      <c r="S76" s="11" t="s">
        <v>560</v>
      </c>
      <c r="T76" s="11"/>
      <c r="U76" s="11" t="s">
        <v>104</v>
      </c>
      <c r="V76" s="11" t="s">
        <v>105</v>
      </c>
      <c r="W76" s="11" t="s">
        <v>106</v>
      </c>
      <c r="X76" s="11"/>
      <c r="Y76" s="11"/>
      <c r="Z76" s="11"/>
      <c r="AA76" s="12">
        <v>75</v>
      </c>
      <c r="AB76" s="12"/>
      <c r="AC76" s="11" t="s">
        <v>244</v>
      </c>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row>
    <row r="77" spans="1:56" ht="70" x14ac:dyDescent="0.25">
      <c r="A77" s="11" t="s">
        <v>561</v>
      </c>
      <c r="B77" s="11" t="s">
        <v>562</v>
      </c>
      <c r="C77" s="11"/>
      <c r="D77" s="11" t="s">
        <v>91</v>
      </c>
      <c r="E77" s="11" t="s">
        <v>92</v>
      </c>
      <c r="F77" s="11" t="s">
        <v>563</v>
      </c>
      <c r="G77" s="11" t="s">
        <v>564</v>
      </c>
      <c r="H77" s="11" t="s">
        <v>94</v>
      </c>
      <c r="I77" s="11" t="s">
        <v>351</v>
      </c>
      <c r="J77" s="11" t="s">
        <v>351</v>
      </c>
      <c r="K77" s="11" t="s">
        <v>532</v>
      </c>
      <c r="L77" s="11" t="s">
        <v>565</v>
      </c>
      <c r="M77" s="11" t="s">
        <v>99</v>
      </c>
      <c r="N77" s="11" t="s">
        <v>100</v>
      </c>
      <c r="O77" s="11" t="s">
        <v>101</v>
      </c>
      <c r="P77" s="11" t="s">
        <v>102</v>
      </c>
      <c r="Q77" s="12">
        <v>113.23217</v>
      </c>
      <c r="R77" s="13">
        <v>22.666649</v>
      </c>
      <c r="S77" s="11" t="s">
        <v>566</v>
      </c>
      <c r="T77" s="11"/>
      <c r="U77" s="11" t="s">
        <v>104</v>
      </c>
      <c r="V77" s="11" t="s">
        <v>105</v>
      </c>
      <c r="W77" s="11" t="s">
        <v>106</v>
      </c>
      <c r="X77" s="11"/>
      <c r="Y77" s="11"/>
      <c r="Z77" s="11"/>
      <c r="AA77" s="12">
        <v>76</v>
      </c>
      <c r="AB77" s="12"/>
      <c r="AC77" s="11" t="s">
        <v>244</v>
      </c>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row>
    <row r="78" spans="1:56" ht="70" x14ac:dyDescent="0.25">
      <c r="A78" s="11" t="s">
        <v>567</v>
      </c>
      <c r="B78" s="11" t="s">
        <v>568</v>
      </c>
      <c r="C78" s="11"/>
      <c r="D78" s="11" t="s">
        <v>91</v>
      </c>
      <c r="E78" s="11" t="s">
        <v>92</v>
      </c>
      <c r="F78" s="11" t="s">
        <v>569</v>
      </c>
      <c r="G78" s="11" t="s">
        <v>570</v>
      </c>
      <c r="H78" s="11" t="s">
        <v>94</v>
      </c>
      <c r="I78" s="11" t="s">
        <v>351</v>
      </c>
      <c r="J78" s="11" t="s">
        <v>351</v>
      </c>
      <c r="K78" s="11" t="s">
        <v>571</v>
      </c>
      <c r="L78" s="11" t="s">
        <v>572</v>
      </c>
      <c r="M78" s="11" t="s">
        <v>99</v>
      </c>
      <c r="N78" s="11" t="s">
        <v>100</v>
      </c>
      <c r="O78" s="11" t="s">
        <v>101</v>
      </c>
      <c r="P78" s="11" t="s">
        <v>102</v>
      </c>
      <c r="Q78" s="12">
        <v>113.362472</v>
      </c>
      <c r="R78" s="13">
        <v>22.754707</v>
      </c>
      <c r="S78" s="11" t="s">
        <v>573</v>
      </c>
      <c r="T78" s="11"/>
      <c r="U78" s="11" t="s">
        <v>104</v>
      </c>
      <c r="V78" s="11" t="s">
        <v>105</v>
      </c>
      <c r="W78" s="11" t="s">
        <v>106</v>
      </c>
      <c r="X78" s="11"/>
      <c r="Y78" s="11"/>
      <c r="Z78" s="11"/>
      <c r="AA78" s="12">
        <v>77</v>
      </c>
      <c r="AB78" s="12"/>
      <c r="AC78" s="11" t="s">
        <v>244</v>
      </c>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row>
    <row r="79" spans="1:56" ht="70" x14ac:dyDescent="0.25">
      <c r="A79" s="11" t="s">
        <v>574</v>
      </c>
      <c r="B79" s="11" t="s">
        <v>575</v>
      </c>
      <c r="C79" s="11"/>
      <c r="D79" s="11" t="s">
        <v>91</v>
      </c>
      <c r="E79" s="11" t="s">
        <v>92</v>
      </c>
      <c r="F79" s="11" t="s">
        <v>576</v>
      </c>
      <c r="G79" s="11" t="s">
        <v>577</v>
      </c>
      <c r="H79" s="11" t="s">
        <v>94</v>
      </c>
      <c r="I79" s="11" t="s">
        <v>351</v>
      </c>
      <c r="J79" s="11" t="s">
        <v>351</v>
      </c>
      <c r="K79" s="11" t="s">
        <v>558</v>
      </c>
      <c r="L79" s="11" t="s">
        <v>578</v>
      </c>
      <c r="M79" s="11" t="s">
        <v>99</v>
      </c>
      <c r="N79" s="11" t="s">
        <v>100</v>
      </c>
      <c r="O79" s="11" t="s">
        <v>101</v>
      </c>
      <c r="P79" s="11" t="s">
        <v>102</v>
      </c>
      <c r="Q79" s="12">
        <v>113.304462</v>
      </c>
      <c r="R79" s="13">
        <v>22.728511000000001</v>
      </c>
      <c r="S79" s="11" t="s">
        <v>579</v>
      </c>
      <c r="T79" s="11"/>
      <c r="U79" s="11" t="s">
        <v>104</v>
      </c>
      <c r="V79" s="11" t="s">
        <v>105</v>
      </c>
      <c r="W79" s="11" t="s">
        <v>106</v>
      </c>
      <c r="X79" s="11"/>
      <c r="Y79" s="11"/>
      <c r="Z79" s="11"/>
      <c r="AA79" s="12">
        <v>78</v>
      </c>
      <c r="AB79" s="12"/>
      <c r="AC79" s="11" t="s">
        <v>244</v>
      </c>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row>
    <row r="80" spans="1:56" ht="70" x14ac:dyDescent="0.25">
      <c r="A80" s="11" t="s">
        <v>580</v>
      </c>
      <c r="B80" s="11" t="s">
        <v>581</v>
      </c>
      <c r="C80" s="11"/>
      <c r="D80" s="11" t="s">
        <v>91</v>
      </c>
      <c r="E80" s="11" t="s">
        <v>92</v>
      </c>
      <c r="F80" s="11" t="s">
        <v>582</v>
      </c>
      <c r="G80" s="11" t="s">
        <v>583</v>
      </c>
      <c r="H80" s="11" t="s">
        <v>94</v>
      </c>
      <c r="I80" s="11" t="s">
        <v>351</v>
      </c>
      <c r="J80" s="11" t="s">
        <v>351</v>
      </c>
      <c r="K80" s="11" t="s">
        <v>532</v>
      </c>
      <c r="L80" s="11" t="s">
        <v>584</v>
      </c>
      <c r="M80" s="11" t="s">
        <v>99</v>
      </c>
      <c r="N80" s="11" t="s">
        <v>100</v>
      </c>
      <c r="O80" s="11" t="s">
        <v>101</v>
      </c>
      <c r="P80" s="11" t="s">
        <v>102</v>
      </c>
      <c r="Q80" s="12">
        <v>113.228548</v>
      </c>
      <c r="R80" s="13">
        <v>22.676967000000001</v>
      </c>
      <c r="S80" s="11" t="s">
        <v>585</v>
      </c>
      <c r="T80" s="11"/>
      <c r="U80" s="11" t="s">
        <v>104</v>
      </c>
      <c r="V80" s="11" t="s">
        <v>105</v>
      </c>
      <c r="W80" s="11" t="s">
        <v>106</v>
      </c>
      <c r="X80" s="11"/>
      <c r="Y80" s="11"/>
      <c r="Z80" s="11"/>
      <c r="AA80" s="12">
        <v>79</v>
      </c>
      <c r="AB80" s="12"/>
      <c r="AC80" s="11" t="s">
        <v>244</v>
      </c>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row>
    <row r="81" spans="1:56" ht="70" x14ac:dyDescent="0.25">
      <c r="A81" s="11" t="s">
        <v>586</v>
      </c>
      <c r="B81" s="11" t="s">
        <v>587</v>
      </c>
      <c r="C81" s="11"/>
      <c r="D81" s="11" t="s">
        <v>91</v>
      </c>
      <c r="E81" s="11" t="s">
        <v>92</v>
      </c>
      <c r="F81" s="11" t="s">
        <v>588</v>
      </c>
      <c r="G81" s="11" t="s">
        <v>589</v>
      </c>
      <c r="H81" s="11" t="s">
        <v>94</v>
      </c>
      <c r="I81" s="11" t="s">
        <v>351</v>
      </c>
      <c r="J81" s="11" t="s">
        <v>351</v>
      </c>
      <c r="K81" s="11" t="s">
        <v>590</v>
      </c>
      <c r="L81" s="11" t="s">
        <v>591</v>
      </c>
      <c r="M81" s="11" t="s">
        <v>99</v>
      </c>
      <c r="N81" s="11" t="s">
        <v>100</v>
      </c>
      <c r="O81" s="11" t="s">
        <v>101</v>
      </c>
      <c r="P81" s="11" t="s">
        <v>102</v>
      </c>
      <c r="Q81" s="12">
        <v>113.23891</v>
      </c>
      <c r="R81" s="13">
        <v>22.717724</v>
      </c>
      <c r="S81" s="11" t="s">
        <v>592</v>
      </c>
      <c r="T81" s="11"/>
      <c r="U81" s="11" t="s">
        <v>104</v>
      </c>
      <c r="V81" s="11" t="s">
        <v>105</v>
      </c>
      <c r="W81" s="11" t="s">
        <v>106</v>
      </c>
      <c r="X81" s="11"/>
      <c r="Y81" s="11"/>
      <c r="Z81" s="11"/>
      <c r="AA81" s="12">
        <v>80</v>
      </c>
      <c r="AB81" s="12"/>
      <c r="AC81" s="11" t="s">
        <v>244</v>
      </c>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row>
    <row r="82" spans="1:56" ht="70" x14ac:dyDescent="0.25">
      <c r="A82" s="11" t="s">
        <v>593</v>
      </c>
      <c r="B82" s="11" t="s">
        <v>594</v>
      </c>
      <c r="C82" s="11"/>
      <c r="D82" s="11" t="s">
        <v>91</v>
      </c>
      <c r="E82" s="11" t="s">
        <v>92</v>
      </c>
      <c r="F82" s="11" t="s">
        <v>595</v>
      </c>
      <c r="G82" s="11" t="s">
        <v>596</v>
      </c>
      <c r="H82" s="11" t="s">
        <v>94</v>
      </c>
      <c r="I82" s="11" t="s">
        <v>351</v>
      </c>
      <c r="J82" s="11" t="s">
        <v>351</v>
      </c>
      <c r="K82" s="11" t="s">
        <v>558</v>
      </c>
      <c r="L82" s="11" t="s">
        <v>597</v>
      </c>
      <c r="M82" s="11" t="s">
        <v>99</v>
      </c>
      <c r="N82" s="11" t="s">
        <v>100</v>
      </c>
      <c r="O82" s="11" t="s">
        <v>101</v>
      </c>
      <c r="P82" s="11" t="s">
        <v>102</v>
      </c>
      <c r="Q82" s="12">
        <v>113.323621</v>
      </c>
      <c r="R82" s="13">
        <v>22.733121000000001</v>
      </c>
      <c r="S82" s="11" t="s">
        <v>598</v>
      </c>
      <c r="T82" s="11"/>
      <c r="U82" s="11" t="s">
        <v>104</v>
      </c>
      <c r="V82" s="11" t="s">
        <v>105</v>
      </c>
      <c r="W82" s="11" t="s">
        <v>106</v>
      </c>
      <c r="X82" s="11"/>
      <c r="Y82" s="11"/>
      <c r="Z82" s="11"/>
      <c r="AA82" s="12">
        <v>81</v>
      </c>
      <c r="AB82" s="12"/>
      <c r="AC82" s="11" t="s">
        <v>244</v>
      </c>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row>
    <row r="83" spans="1:56" ht="70" x14ac:dyDescent="0.25">
      <c r="A83" s="11" t="s">
        <v>599</v>
      </c>
      <c r="B83" s="11" t="s">
        <v>600</v>
      </c>
      <c r="C83" s="11"/>
      <c r="D83" s="11" t="s">
        <v>91</v>
      </c>
      <c r="E83" s="11" t="s">
        <v>92</v>
      </c>
      <c r="F83" s="11" t="s">
        <v>601</v>
      </c>
      <c r="G83" s="11" t="s">
        <v>602</v>
      </c>
      <c r="H83" s="11" t="s">
        <v>94</v>
      </c>
      <c r="I83" s="11" t="s">
        <v>351</v>
      </c>
      <c r="J83" s="11" t="s">
        <v>351</v>
      </c>
      <c r="K83" s="11" t="s">
        <v>558</v>
      </c>
      <c r="L83" s="11" t="s">
        <v>603</v>
      </c>
      <c r="M83" s="11" t="s">
        <v>99</v>
      </c>
      <c r="N83" s="11" t="s">
        <v>100</v>
      </c>
      <c r="O83" s="11" t="s">
        <v>101</v>
      </c>
      <c r="P83" s="11" t="s">
        <v>102</v>
      </c>
      <c r="Q83" s="12">
        <v>113.30370600000001</v>
      </c>
      <c r="R83" s="13">
        <v>22.706154000000002</v>
      </c>
      <c r="S83" s="11" t="s">
        <v>604</v>
      </c>
      <c r="T83" s="11"/>
      <c r="U83" s="11" t="s">
        <v>104</v>
      </c>
      <c r="V83" s="11" t="s">
        <v>105</v>
      </c>
      <c r="W83" s="11" t="s">
        <v>106</v>
      </c>
      <c r="X83" s="11"/>
      <c r="Y83" s="11"/>
      <c r="Z83" s="11"/>
      <c r="AA83" s="12">
        <v>82</v>
      </c>
      <c r="AB83" s="12"/>
      <c r="AC83" s="11" t="s">
        <v>244</v>
      </c>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row>
    <row r="84" spans="1:56" ht="84" x14ac:dyDescent="0.25">
      <c r="A84" s="11" t="s">
        <v>605</v>
      </c>
      <c r="B84" s="11" t="s">
        <v>606</v>
      </c>
      <c r="C84" s="11"/>
      <c r="D84" s="11" t="s">
        <v>91</v>
      </c>
      <c r="E84" s="11" t="s">
        <v>92</v>
      </c>
      <c r="F84" s="11" t="s">
        <v>607</v>
      </c>
      <c r="G84" s="11" t="s">
        <v>608</v>
      </c>
      <c r="H84" s="11" t="s">
        <v>94</v>
      </c>
      <c r="I84" s="11" t="s">
        <v>351</v>
      </c>
      <c r="J84" s="11" t="s">
        <v>351</v>
      </c>
      <c r="K84" s="11" t="s">
        <v>545</v>
      </c>
      <c r="L84" s="11" t="s">
        <v>609</v>
      </c>
      <c r="M84" s="11" t="s">
        <v>99</v>
      </c>
      <c r="N84" s="11" t="s">
        <v>100</v>
      </c>
      <c r="O84" s="11" t="s">
        <v>101</v>
      </c>
      <c r="P84" s="11" t="s">
        <v>102</v>
      </c>
      <c r="Q84" s="12">
        <v>113.192427</v>
      </c>
      <c r="R84" s="13">
        <v>22.626404000000001</v>
      </c>
      <c r="S84" s="11" t="s">
        <v>610</v>
      </c>
      <c r="T84" s="11"/>
      <c r="U84" s="11" t="s">
        <v>104</v>
      </c>
      <c r="V84" s="11" t="s">
        <v>105</v>
      </c>
      <c r="W84" s="11" t="s">
        <v>106</v>
      </c>
      <c r="X84" s="11"/>
      <c r="Y84" s="11"/>
      <c r="Z84" s="11"/>
      <c r="AA84" s="12">
        <v>83</v>
      </c>
      <c r="AB84" s="12"/>
      <c r="AC84" s="11" t="s">
        <v>244</v>
      </c>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row>
    <row r="85" spans="1:56" ht="70" x14ac:dyDescent="0.25">
      <c r="A85" s="11" t="s">
        <v>611</v>
      </c>
      <c r="B85" s="11" t="s">
        <v>612</v>
      </c>
      <c r="C85" s="11"/>
      <c r="D85" s="11" t="s">
        <v>91</v>
      </c>
      <c r="E85" s="11" t="s">
        <v>92</v>
      </c>
      <c r="F85" s="11" t="s">
        <v>601</v>
      </c>
      <c r="G85" s="11" t="s">
        <v>613</v>
      </c>
      <c r="H85" s="11" t="s">
        <v>94</v>
      </c>
      <c r="I85" s="11" t="s">
        <v>351</v>
      </c>
      <c r="J85" s="11" t="s">
        <v>351</v>
      </c>
      <c r="K85" s="11" t="s">
        <v>508</v>
      </c>
      <c r="L85" s="11" t="s">
        <v>614</v>
      </c>
      <c r="M85" s="11" t="s">
        <v>99</v>
      </c>
      <c r="N85" s="11" t="s">
        <v>100</v>
      </c>
      <c r="O85" s="11" t="s">
        <v>101</v>
      </c>
      <c r="P85" s="11" t="s">
        <v>102</v>
      </c>
      <c r="Q85" s="12">
        <v>113.290041</v>
      </c>
      <c r="R85" s="13">
        <v>22.617111000000001</v>
      </c>
      <c r="S85" s="11" t="s">
        <v>615</v>
      </c>
      <c r="T85" s="11"/>
      <c r="U85" s="11" t="s">
        <v>104</v>
      </c>
      <c r="V85" s="11" t="s">
        <v>105</v>
      </c>
      <c r="W85" s="11" t="s">
        <v>106</v>
      </c>
      <c r="X85" s="11"/>
      <c r="Y85" s="11"/>
      <c r="Z85" s="11"/>
      <c r="AA85" s="12">
        <v>84</v>
      </c>
      <c r="AB85" s="12"/>
      <c r="AC85" s="11" t="s">
        <v>244</v>
      </c>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row>
    <row r="86" spans="1:56" ht="70" x14ac:dyDescent="0.25">
      <c r="A86" s="11" t="s">
        <v>616</v>
      </c>
      <c r="B86" s="11" t="s">
        <v>617</v>
      </c>
      <c r="C86" s="11"/>
      <c r="D86" s="11" t="s">
        <v>91</v>
      </c>
      <c r="E86" s="11" t="s">
        <v>92</v>
      </c>
      <c r="F86" s="11" t="s">
        <v>618</v>
      </c>
      <c r="G86" s="11" t="s">
        <v>619</v>
      </c>
      <c r="H86" s="11" t="s">
        <v>94</v>
      </c>
      <c r="I86" s="11" t="s">
        <v>351</v>
      </c>
      <c r="J86" s="11" t="s">
        <v>351</v>
      </c>
      <c r="K86" s="11" t="s">
        <v>558</v>
      </c>
      <c r="L86" s="11" t="s">
        <v>620</v>
      </c>
      <c r="M86" s="11" t="s">
        <v>99</v>
      </c>
      <c r="N86" s="11" t="s">
        <v>100</v>
      </c>
      <c r="O86" s="11" t="s">
        <v>101</v>
      </c>
      <c r="P86" s="11" t="s">
        <v>102</v>
      </c>
      <c r="Q86" s="12">
        <v>113.312439</v>
      </c>
      <c r="R86" s="13">
        <v>22.712361999999999</v>
      </c>
      <c r="S86" s="11" t="s">
        <v>621</v>
      </c>
      <c r="T86" s="11"/>
      <c r="U86" s="11" t="s">
        <v>104</v>
      </c>
      <c r="V86" s="11" t="s">
        <v>105</v>
      </c>
      <c r="W86" s="11" t="s">
        <v>106</v>
      </c>
      <c r="X86" s="11"/>
      <c r="Y86" s="11"/>
      <c r="Z86" s="11"/>
      <c r="AA86" s="12">
        <v>85</v>
      </c>
      <c r="AB86" s="12"/>
      <c r="AC86" s="11" t="s">
        <v>244</v>
      </c>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row>
    <row r="87" spans="1:56" ht="56" x14ac:dyDescent="0.25">
      <c r="A87" s="11" t="s">
        <v>622</v>
      </c>
      <c r="B87" s="11" t="s">
        <v>623</v>
      </c>
      <c r="C87" s="11"/>
      <c r="D87" s="11" t="s">
        <v>91</v>
      </c>
      <c r="E87" s="11" t="s">
        <v>92</v>
      </c>
      <c r="F87" s="11" t="s">
        <v>624</v>
      </c>
      <c r="G87" s="11" t="s">
        <v>625</v>
      </c>
      <c r="H87" s="11" t="s">
        <v>94</v>
      </c>
      <c r="I87" s="11" t="s">
        <v>351</v>
      </c>
      <c r="J87" s="11" t="s">
        <v>351</v>
      </c>
      <c r="K87" s="11" t="s">
        <v>545</v>
      </c>
      <c r="L87" s="11" t="s">
        <v>626</v>
      </c>
      <c r="M87" s="11" t="s">
        <v>99</v>
      </c>
      <c r="N87" s="11" t="s">
        <v>100</v>
      </c>
      <c r="O87" s="11" t="s">
        <v>101</v>
      </c>
      <c r="P87" s="11" t="s">
        <v>102</v>
      </c>
      <c r="Q87" s="12" t="s">
        <v>103</v>
      </c>
      <c r="R87" s="13" t="s">
        <v>103</v>
      </c>
      <c r="S87" s="11" t="s">
        <v>627</v>
      </c>
      <c r="T87" s="11"/>
      <c r="U87" s="11" t="s">
        <v>104</v>
      </c>
      <c r="V87" s="11" t="s">
        <v>105</v>
      </c>
      <c r="W87" s="11" t="s">
        <v>106</v>
      </c>
      <c r="X87" s="11"/>
      <c r="Y87" s="11"/>
      <c r="Z87" s="11"/>
      <c r="AA87" s="12">
        <v>86</v>
      </c>
      <c r="AB87" s="12"/>
      <c r="AC87" s="11" t="s">
        <v>107</v>
      </c>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row>
    <row r="88" spans="1:56" ht="70" x14ac:dyDescent="0.25">
      <c r="A88" s="11" t="s">
        <v>628</v>
      </c>
      <c r="B88" s="11" t="s">
        <v>629</v>
      </c>
      <c r="C88" s="11"/>
      <c r="D88" s="11" t="s">
        <v>91</v>
      </c>
      <c r="E88" s="11" t="s">
        <v>92</v>
      </c>
      <c r="F88" s="11" t="s">
        <v>630</v>
      </c>
      <c r="G88" s="11" t="s">
        <v>631</v>
      </c>
      <c r="H88" s="11" t="s">
        <v>94</v>
      </c>
      <c r="I88" s="11" t="s">
        <v>351</v>
      </c>
      <c r="J88" s="11" t="s">
        <v>351</v>
      </c>
      <c r="K88" s="11" t="s">
        <v>558</v>
      </c>
      <c r="L88" s="11" t="s">
        <v>632</v>
      </c>
      <c r="M88" s="11" t="s">
        <v>99</v>
      </c>
      <c r="N88" s="11" t="s">
        <v>100</v>
      </c>
      <c r="O88" s="11" t="s">
        <v>101</v>
      </c>
      <c r="P88" s="11" t="s">
        <v>102</v>
      </c>
      <c r="Q88" s="12"/>
      <c r="R88" s="13"/>
      <c r="S88" s="11" t="s">
        <v>633</v>
      </c>
      <c r="T88" s="11"/>
      <c r="U88" s="11" t="s">
        <v>104</v>
      </c>
      <c r="V88" s="11" t="s">
        <v>105</v>
      </c>
      <c r="W88" s="11" t="s">
        <v>106</v>
      </c>
      <c r="X88" s="11"/>
      <c r="Y88" s="11"/>
      <c r="Z88" s="11"/>
      <c r="AA88" s="12">
        <v>87</v>
      </c>
      <c r="AB88" s="12"/>
      <c r="AC88" s="11" t="s">
        <v>244</v>
      </c>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row>
    <row r="89" spans="1:56" ht="56" x14ac:dyDescent="0.25">
      <c r="A89" s="11" t="s">
        <v>634</v>
      </c>
      <c r="B89" s="11" t="s">
        <v>635</v>
      </c>
      <c r="C89" s="11"/>
      <c r="D89" s="11" t="s">
        <v>91</v>
      </c>
      <c r="E89" s="11" t="s">
        <v>92</v>
      </c>
      <c r="F89" s="11" t="s">
        <v>636</v>
      </c>
      <c r="G89" s="11" t="s">
        <v>637</v>
      </c>
      <c r="H89" s="11" t="s">
        <v>94</v>
      </c>
      <c r="I89" s="11" t="s">
        <v>638</v>
      </c>
      <c r="J89" s="11" t="s">
        <v>639</v>
      </c>
      <c r="K89" s="11"/>
      <c r="L89" s="11" t="s">
        <v>640</v>
      </c>
      <c r="M89" s="11" t="s">
        <v>99</v>
      </c>
      <c r="N89" s="11" t="s">
        <v>100</v>
      </c>
      <c r="O89" s="11" t="s">
        <v>101</v>
      </c>
      <c r="P89" s="11" t="s">
        <v>102</v>
      </c>
      <c r="Q89" s="12">
        <v>112.002494</v>
      </c>
      <c r="R89" s="13">
        <v>21.859051999999998</v>
      </c>
      <c r="S89" s="11" t="s">
        <v>641</v>
      </c>
      <c r="T89" s="11"/>
      <c r="U89" s="11" t="s">
        <v>104</v>
      </c>
      <c r="V89" s="11" t="s">
        <v>105</v>
      </c>
      <c r="W89" s="11" t="s">
        <v>106</v>
      </c>
      <c r="X89" s="11"/>
      <c r="Y89" s="11"/>
      <c r="Z89" s="11"/>
      <c r="AA89" s="12">
        <v>88</v>
      </c>
      <c r="AB89" s="12"/>
      <c r="AC89" s="11" t="s">
        <v>244</v>
      </c>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row>
    <row r="90" spans="1:56" ht="70" x14ac:dyDescent="0.25">
      <c r="A90" s="11" t="s">
        <v>642</v>
      </c>
      <c r="B90" s="11" t="s">
        <v>643</v>
      </c>
      <c r="C90" s="11"/>
      <c r="D90" s="11" t="s">
        <v>91</v>
      </c>
      <c r="E90" s="11" t="s">
        <v>92</v>
      </c>
      <c r="F90" s="11" t="s">
        <v>644</v>
      </c>
      <c r="G90" s="11" t="s">
        <v>645</v>
      </c>
      <c r="H90" s="11" t="s">
        <v>94</v>
      </c>
      <c r="I90" s="11" t="s">
        <v>351</v>
      </c>
      <c r="J90" s="11" t="s">
        <v>351</v>
      </c>
      <c r="K90" s="11" t="s">
        <v>545</v>
      </c>
      <c r="L90" s="11" t="s">
        <v>646</v>
      </c>
      <c r="M90" s="11" t="s">
        <v>99</v>
      </c>
      <c r="N90" s="11" t="s">
        <v>100</v>
      </c>
      <c r="O90" s="11" t="s">
        <v>101</v>
      </c>
      <c r="P90" s="11" t="s">
        <v>102</v>
      </c>
      <c r="Q90" s="12">
        <v>113.188087</v>
      </c>
      <c r="R90" s="13">
        <v>22.594653999999998</v>
      </c>
      <c r="S90" s="11" t="s">
        <v>647</v>
      </c>
      <c r="T90" s="11"/>
      <c r="U90" s="11" t="s">
        <v>104</v>
      </c>
      <c r="V90" s="11" t="s">
        <v>105</v>
      </c>
      <c r="W90" s="11" t="s">
        <v>106</v>
      </c>
      <c r="X90" s="11"/>
      <c r="Y90" s="11"/>
      <c r="Z90" s="11"/>
      <c r="AA90" s="12">
        <v>89</v>
      </c>
      <c r="AB90" s="12"/>
      <c r="AC90" s="11" t="s">
        <v>107</v>
      </c>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row>
    <row r="91" spans="1:56" ht="56" x14ac:dyDescent="0.25">
      <c r="A91" s="11" t="s">
        <v>648</v>
      </c>
      <c r="B91" s="11" t="s">
        <v>649</v>
      </c>
      <c r="C91" s="11"/>
      <c r="D91" s="11" t="s">
        <v>91</v>
      </c>
      <c r="E91" s="11" t="s">
        <v>92</v>
      </c>
      <c r="F91" s="11" t="s">
        <v>650</v>
      </c>
      <c r="G91" s="11" t="s">
        <v>651</v>
      </c>
      <c r="H91" s="11" t="s">
        <v>94</v>
      </c>
      <c r="I91" s="11" t="s">
        <v>351</v>
      </c>
      <c r="J91" s="11" t="s">
        <v>351</v>
      </c>
      <c r="K91" s="11" t="s">
        <v>652</v>
      </c>
      <c r="L91" s="11" t="s">
        <v>653</v>
      </c>
      <c r="M91" s="11" t="s">
        <v>99</v>
      </c>
      <c r="N91" s="11" t="s">
        <v>100</v>
      </c>
      <c r="O91" s="11" t="s">
        <v>101</v>
      </c>
      <c r="P91" s="11" t="s">
        <v>102</v>
      </c>
      <c r="Q91" s="12">
        <v>113.237054</v>
      </c>
      <c r="R91" s="13">
        <v>22.569755000000001</v>
      </c>
      <c r="S91" s="11" t="s">
        <v>654</v>
      </c>
      <c r="T91" s="11"/>
      <c r="U91" s="11" t="s">
        <v>104</v>
      </c>
      <c r="V91" s="11" t="s">
        <v>105</v>
      </c>
      <c r="W91" s="11" t="s">
        <v>106</v>
      </c>
      <c r="X91" s="11"/>
      <c r="Y91" s="11"/>
      <c r="Z91" s="11"/>
      <c r="AA91" s="12">
        <v>90</v>
      </c>
      <c r="AB91" s="12"/>
      <c r="AC91" s="11" t="s">
        <v>244</v>
      </c>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row>
    <row r="92" spans="1:56" ht="56" x14ac:dyDescent="0.25">
      <c r="A92" s="11" t="s">
        <v>655</v>
      </c>
      <c r="B92" s="11" t="s">
        <v>656</v>
      </c>
      <c r="C92" s="11"/>
      <c r="D92" s="11" t="s">
        <v>91</v>
      </c>
      <c r="E92" s="11" t="s">
        <v>92</v>
      </c>
      <c r="F92" s="11" t="s">
        <v>657</v>
      </c>
      <c r="G92" s="11" t="s">
        <v>658</v>
      </c>
      <c r="H92" s="11" t="s">
        <v>94</v>
      </c>
      <c r="I92" s="11" t="s">
        <v>351</v>
      </c>
      <c r="J92" s="11" t="s">
        <v>351</v>
      </c>
      <c r="K92" s="11" t="s">
        <v>652</v>
      </c>
      <c r="L92" s="11" t="s">
        <v>659</v>
      </c>
      <c r="M92" s="11" t="s">
        <v>99</v>
      </c>
      <c r="N92" s="11" t="s">
        <v>100</v>
      </c>
      <c r="O92" s="11" t="s">
        <v>101</v>
      </c>
      <c r="P92" s="11" t="s">
        <v>102</v>
      </c>
      <c r="Q92" s="12">
        <v>113.22951</v>
      </c>
      <c r="R92" s="13">
        <v>22.565124999999998</v>
      </c>
      <c r="S92" s="11" t="s">
        <v>660</v>
      </c>
      <c r="T92" s="11"/>
      <c r="U92" s="11" t="s">
        <v>104</v>
      </c>
      <c r="V92" s="11" t="s">
        <v>105</v>
      </c>
      <c r="W92" s="11" t="s">
        <v>106</v>
      </c>
      <c r="X92" s="11"/>
      <c r="Y92" s="11"/>
      <c r="Z92" s="11"/>
      <c r="AA92" s="12">
        <v>91</v>
      </c>
      <c r="AB92" s="12"/>
      <c r="AC92" s="11" t="s">
        <v>244</v>
      </c>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1:56" ht="70" x14ac:dyDescent="0.25">
      <c r="A93" s="11" t="s">
        <v>661</v>
      </c>
      <c r="B93" s="11" t="s">
        <v>662</v>
      </c>
      <c r="C93" s="11"/>
      <c r="D93" s="11" t="s">
        <v>91</v>
      </c>
      <c r="E93" s="11" t="s">
        <v>92</v>
      </c>
      <c r="F93" s="11" t="s">
        <v>663</v>
      </c>
      <c r="G93" s="11" t="s">
        <v>664</v>
      </c>
      <c r="H93" s="11" t="s">
        <v>94</v>
      </c>
      <c r="I93" s="11" t="s">
        <v>351</v>
      </c>
      <c r="J93" s="11" t="s">
        <v>351</v>
      </c>
      <c r="K93" s="11" t="s">
        <v>652</v>
      </c>
      <c r="L93" s="11" t="s">
        <v>665</v>
      </c>
      <c r="M93" s="11" t="s">
        <v>99</v>
      </c>
      <c r="N93" s="11" t="s">
        <v>100</v>
      </c>
      <c r="O93" s="11" t="s">
        <v>101</v>
      </c>
      <c r="P93" s="11" t="s">
        <v>102</v>
      </c>
      <c r="Q93" s="12">
        <v>113.214202</v>
      </c>
      <c r="R93" s="13">
        <v>22.580803</v>
      </c>
      <c r="S93" s="11" t="s">
        <v>666</v>
      </c>
      <c r="T93" s="11"/>
      <c r="U93" s="11" t="s">
        <v>104</v>
      </c>
      <c r="V93" s="11" t="s">
        <v>105</v>
      </c>
      <c r="W93" s="11" t="s">
        <v>106</v>
      </c>
      <c r="X93" s="11"/>
      <c r="Y93" s="11"/>
      <c r="Z93" s="11"/>
      <c r="AA93" s="12">
        <v>92</v>
      </c>
      <c r="AB93" s="12"/>
      <c r="AC93" s="11" t="s">
        <v>244</v>
      </c>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1:56" ht="70" x14ac:dyDescent="0.25">
      <c r="A94" s="11" t="s">
        <v>667</v>
      </c>
      <c r="B94" s="11" t="s">
        <v>668</v>
      </c>
      <c r="C94" s="11"/>
      <c r="D94" s="11" t="s">
        <v>91</v>
      </c>
      <c r="E94" s="11" t="s">
        <v>92</v>
      </c>
      <c r="F94" s="11" t="s">
        <v>669</v>
      </c>
      <c r="G94" s="11" t="s">
        <v>670</v>
      </c>
      <c r="H94" s="11" t="s">
        <v>94</v>
      </c>
      <c r="I94" s="11" t="s">
        <v>351</v>
      </c>
      <c r="J94" s="11" t="s">
        <v>351</v>
      </c>
      <c r="K94" s="11" t="s">
        <v>652</v>
      </c>
      <c r="L94" s="11" t="s">
        <v>671</v>
      </c>
      <c r="M94" s="11" t="s">
        <v>99</v>
      </c>
      <c r="N94" s="11" t="s">
        <v>100</v>
      </c>
      <c r="O94" s="11" t="s">
        <v>101</v>
      </c>
      <c r="P94" s="11" t="s">
        <v>102</v>
      </c>
      <c r="Q94" s="12">
        <v>113.21432900000001</v>
      </c>
      <c r="R94" s="13">
        <v>22.583091</v>
      </c>
      <c r="S94" s="11" t="s">
        <v>672</v>
      </c>
      <c r="T94" s="11"/>
      <c r="U94" s="11" t="s">
        <v>104</v>
      </c>
      <c r="V94" s="11" t="s">
        <v>105</v>
      </c>
      <c r="W94" s="11" t="s">
        <v>106</v>
      </c>
      <c r="X94" s="11"/>
      <c r="Y94" s="11"/>
      <c r="Z94" s="11"/>
      <c r="AA94" s="12">
        <v>93</v>
      </c>
      <c r="AB94" s="12"/>
      <c r="AC94" s="11" t="s">
        <v>244</v>
      </c>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1:56" ht="56" x14ac:dyDescent="0.25">
      <c r="A95" s="11" t="s">
        <v>673</v>
      </c>
      <c r="B95" s="11" t="s">
        <v>674</v>
      </c>
      <c r="C95" s="11"/>
      <c r="D95" s="11" t="s">
        <v>91</v>
      </c>
      <c r="E95" s="11" t="s">
        <v>92</v>
      </c>
      <c r="F95" s="11" t="s">
        <v>675</v>
      </c>
      <c r="G95" s="11" t="s">
        <v>676</v>
      </c>
      <c r="H95" s="11" t="s">
        <v>94</v>
      </c>
      <c r="I95" s="11" t="s">
        <v>351</v>
      </c>
      <c r="J95" s="11" t="s">
        <v>351</v>
      </c>
      <c r="K95" s="11" t="s">
        <v>677</v>
      </c>
      <c r="L95" s="11" t="s">
        <v>678</v>
      </c>
      <c r="M95" s="11" t="s">
        <v>99</v>
      </c>
      <c r="N95" s="11" t="s">
        <v>100</v>
      </c>
      <c r="O95" s="11" t="s">
        <v>101</v>
      </c>
      <c r="P95" s="11" t="s">
        <v>102</v>
      </c>
      <c r="Q95" s="12">
        <v>113.294093</v>
      </c>
      <c r="R95" s="13">
        <v>22.466296</v>
      </c>
      <c r="S95" s="11" t="s">
        <v>679</v>
      </c>
      <c r="T95" s="11"/>
      <c r="U95" s="11" t="s">
        <v>104</v>
      </c>
      <c r="V95" s="11" t="s">
        <v>105</v>
      </c>
      <c r="W95" s="11" t="s">
        <v>106</v>
      </c>
      <c r="X95" s="11"/>
      <c r="Y95" s="11"/>
      <c r="Z95" s="11"/>
      <c r="AA95" s="12">
        <v>94</v>
      </c>
      <c r="AB95" s="12"/>
      <c r="AC95" s="11" t="s">
        <v>107</v>
      </c>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1:56" ht="56" x14ac:dyDescent="0.25">
      <c r="A96" s="11" t="s">
        <v>680</v>
      </c>
      <c r="B96" s="11" t="s">
        <v>681</v>
      </c>
      <c r="C96" s="11"/>
      <c r="D96" s="11" t="s">
        <v>91</v>
      </c>
      <c r="E96" s="11" t="s">
        <v>92</v>
      </c>
      <c r="F96" s="11" t="s">
        <v>682</v>
      </c>
      <c r="G96" s="11" t="s">
        <v>683</v>
      </c>
      <c r="H96" s="11" t="s">
        <v>94</v>
      </c>
      <c r="I96" s="11" t="s">
        <v>335</v>
      </c>
      <c r="J96" s="11" t="s">
        <v>684</v>
      </c>
      <c r="K96" s="11"/>
      <c r="L96" s="11" t="s">
        <v>685</v>
      </c>
      <c r="M96" s="11" t="s">
        <v>99</v>
      </c>
      <c r="N96" s="11" t="s">
        <v>100</v>
      </c>
      <c r="O96" s="11" t="s">
        <v>101</v>
      </c>
      <c r="P96" s="11" t="s">
        <v>102</v>
      </c>
      <c r="Q96" s="12">
        <v>110.946451</v>
      </c>
      <c r="R96" s="13">
        <v>22.316790999999998</v>
      </c>
      <c r="S96" s="11" t="s">
        <v>686</v>
      </c>
      <c r="T96" s="11"/>
      <c r="U96" s="11" t="s">
        <v>104</v>
      </c>
      <c r="V96" s="11" t="s">
        <v>105</v>
      </c>
      <c r="W96" s="11" t="s">
        <v>106</v>
      </c>
      <c r="X96" s="11"/>
      <c r="Y96" s="11"/>
      <c r="Z96" s="11"/>
      <c r="AA96" s="12">
        <v>95</v>
      </c>
      <c r="AB96" s="12"/>
      <c r="AC96" s="11" t="s">
        <v>107</v>
      </c>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1:56" ht="56" x14ac:dyDescent="0.25">
      <c r="A97" s="11" t="s">
        <v>687</v>
      </c>
      <c r="B97" s="11" t="s">
        <v>688</v>
      </c>
      <c r="C97" s="11"/>
      <c r="D97" s="11" t="s">
        <v>91</v>
      </c>
      <c r="E97" s="11" t="s">
        <v>92</v>
      </c>
      <c r="F97" s="11" t="s">
        <v>689</v>
      </c>
      <c r="G97" s="11" t="s">
        <v>690</v>
      </c>
      <c r="H97" s="11" t="s">
        <v>94</v>
      </c>
      <c r="I97" s="11" t="s">
        <v>335</v>
      </c>
      <c r="J97" s="11" t="s">
        <v>691</v>
      </c>
      <c r="K97" s="11"/>
      <c r="L97" s="11" t="s">
        <v>692</v>
      </c>
      <c r="M97" s="11" t="s">
        <v>99</v>
      </c>
      <c r="N97" s="11" t="s">
        <v>100</v>
      </c>
      <c r="O97" s="11" t="s">
        <v>101</v>
      </c>
      <c r="P97" s="11" t="s">
        <v>102</v>
      </c>
      <c r="Q97" s="12">
        <v>110.829908</v>
      </c>
      <c r="R97" s="13">
        <v>21.889589999999998</v>
      </c>
      <c r="S97" s="11" t="s">
        <v>693</v>
      </c>
      <c r="T97" s="11"/>
      <c r="U97" s="11" t="s">
        <v>104</v>
      </c>
      <c r="V97" s="11" t="s">
        <v>105</v>
      </c>
      <c r="W97" s="11" t="s">
        <v>106</v>
      </c>
      <c r="X97" s="11"/>
      <c r="Y97" s="11"/>
      <c r="Z97" s="11"/>
      <c r="AA97" s="12">
        <v>96</v>
      </c>
      <c r="AB97" s="12"/>
      <c r="AC97" s="11" t="s">
        <v>244</v>
      </c>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1:56" ht="56" x14ac:dyDescent="0.25">
      <c r="A98" s="11" t="s">
        <v>694</v>
      </c>
      <c r="B98" s="11" t="s">
        <v>695</v>
      </c>
      <c r="C98" s="11"/>
      <c r="D98" s="11" t="s">
        <v>91</v>
      </c>
      <c r="E98" s="11" t="s">
        <v>92</v>
      </c>
      <c r="F98" s="11" t="s">
        <v>696</v>
      </c>
      <c r="G98" s="11" t="s">
        <v>697</v>
      </c>
      <c r="H98" s="11" t="s">
        <v>94</v>
      </c>
      <c r="I98" s="11" t="s">
        <v>335</v>
      </c>
      <c r="J98" s="11" t="s">
        <v>691</v>
      </c>
      <c r="K98" s="11"/>
      <c r="L98" s="11" t="s">
        <v>698</v>
      </c>
      <c r="M98" s="11" t="s">
        <v>99</v>
      </c>
      <c r="N98" s="11" t="s">
        <v>100</v>
      </c>
      <c r="O98" s="11" t="s">
        <v>101</v>
      </c>
      <c r="P98" s="11" t="s">
        <v>102</v>
      </c>
      <c r="Q98" s="12">
        <v>110.960256</v>
      </c>
      <c r="R98" s="13">
        <v>21.848748000000001</v>
      </c>
      <c r="S98" s="11" t="s">
        <v>699</v>
      </c>
      <c r="T98" s="11"/>
      <c r="U98" s="11" t="s">
        <v>104</v>
      </c>
      <c r="V98" s="11" t="s">
        <v>105</v>
      </c>
      <c r="W98" s="11" t="s">
        <v>106</v>
      </c>
      <c r="X98" s="11"/>
      <c r="Y98" s="11"/>
      <c r="Z98" s="11"/>
      <c r="AA98" s="12">
        <v>97</v>
      </c>
      <c r="AB98" s="12"/>
      <c r="AC98" s="11" t="s">
        <v>244</v>
      </c>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row>
    <row r="99" spans="1:56" ht="56" x14ac:dyDescent="0.25">
      <c r="A99" s="11" t="s">
        <v>700</v>
      </c>
      <c r="B99" s="11" t="s">
        <v>701</v>
      </c>
      <c r="C99" s="11"/>
      <c r="D99" s="11" t="s">
        <v>91</v>
      </c>
      <c r="E99" s="11" t="s">
        <v>92</v>
      </c>
      <c r="F99" s="11" t="s">
        <v>702</v>
      </c>
      <c r="G99" s="11" t="s">
        <v>703</v>
      </c>
      <c r="H99" s="11" t="s">
        <v>94</v>
      </c>
      <c r="I99" s="11" t="s">
        <v>335</v>
      </c>
      <c r="J99" s="11" t="s">
        <v>691</v>
      </c>
      <c r="K99" s="11"/>
      <c r="L99" s="11" t="s">
        <v>704</v>
      </c>
      <c r="M99" s="11" t="s">
        <v>99</v>
      </c>
      <c r="N99" s="11" t="s">
        <v>100</v>
      </c>
      <c r="O99" s="11" t="s">
        <v>101</v>
      </c>
      <c r="P99" s="11" t="s">
        <v>102</v>
      </c>
      <c r="Q99" s="12">
        <v>110.85541600000001</v>
      </c>
      <c r="R99" s="13">
        <v>21.898340000000001</v>
      </c>
      <c r="S99" s="11" t="s">
        <v>705</v>
      </c>
      <c r="T99" s="11"/>
      <c r="U99" s="11" t="s">
        <v>104</v>
      </c>
      <c r="V99" s="11" t="s">
        <v>105</v>
      </c>
      <c r="W99" s="11" t="s">
        <v>106</v>
      </c>
      <c r="X99" s="11"/>
      <c r="Y99" s="11"/>
      <c r="Z99" s="11"/>
      <c r="AA99" s="12">
        <v>98</v>
      </c>
      <c r="AB99" s="12"/>
      <c r="AC99" s="11" t="s">
        <v>244</v>
      </c>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row>
    <row r="100" spans="1:56" ht="70" x14ac:dyDescent="0.25">
      <c r="A100" s="11" t="s">
        <v>706</v>
      </c>
      <c r="B100" s="11" t="s">
        <v>707</v>
      </c>
      <c r="C100" s="11"/>
      <c r="D100" s="11" t="s">
        <v>91</v>
      </c>
      <c r="E100" s="11" t="s">
        <v>92</v>
      </c>
      <c r="F100" s="11" t="s">
        <v>708</v>
      </c>
      <c r="G100" s="11" t="s">
        <v>709</v>
      </c>
      <c r="H100" s="11" t="s">
        <v>94</v>
      </c>
      <c r="I100" s="11" t="s">
        <v>335</v>
      </c>
      <c r="J100" s="11" t="s">
        <v>684</v>
      </c>
      <c r="K100" s="11"/>
      <c r="L100" s="11" t="s">
        <v>710</v>
      </c>
      <c r="M100" s="11" t="s">
        <v>99</v>
      </c>
      <c r="N100" s="11" t="s">
        <v>100</v>
      </c>
      <c r="O100" s="11" t="s">
        <v>101</v>
      </c>
      <c r="P100" s="11" t="s">
        <v>102</v>
      </c>
      <c r="Q100" s="12">
        <v>110.934889</v>
      </c>
      <c r="R100" s="13">
        <v>22.353044000000001</v>
      </c>
      <c r="S100" s="11" t="s">
        <v>711</v>
      </c>
      <c r="T100" s="11"/>
      <c r="U100" s="11" t="s">
        <v>104</v>
      </c>
      <c r="V100" s="11" t="s">
        <v>105</v>
      </c>
      <c r="W100" s="11" t="s">
        <v>106</v>
      </c>
      <c r="X100" s="11"/>
      <c r="Y100" s="11"/>
      <c r="Z100" s="11"/>
      <c r="AA100" s="12">
        <v>99</v>
      </c>
      <c r="AB100" s="12"/>
      <c r="AC100" s="11" t="s">
        <v>107</v>
      </c>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row>
    <row r="101" spans="1:56" ht="56" x14ac:dyDescent="0.25">
      <c r="A101" s="11" t="s">
        <v>712</v>
      </c>
      <c r="B101" s="11" t="s">
        <v>713</v>
      </c>
      <c r="C101" s="11"/>
      <c r="D101" s="11" t="s">
        <v>91</v>
      </c>
      <c r="E101" s="11" t="s">
        <v>92</v>
      </c>
      <c r="F101" s="11" t="s">
        <v>714</v>
      </c>
      <c r="G101" s="11" t="s">
        <v>715</v>
      </c>
      <c r="H101" s="11" t="s">
        <v>94</v>
      </c>
      <c r="I101" s="11" t="s">
        <v>335</v>
      </c>
      <c r="J101" s="11" t="s">
        <v>691</v>
      </c>
      <c r="K101" s="11"/>
      <c r="L101" s="11" t="s">
        <v>716</v>
      </c>
      <c r="M101" s="11" t="s">
        <v>99</v>
      </c>
      <c r="N101" s="11" t="s">
        <v>100</v>
      </c>
      <c r="O101" s="11" t="s">
        <v>101</v>
      </c>
      <c r="P101" s="11" t="s">
        <v>102</v>
      </c>
      <c r="Q101" s="12">
        <v>110.852535</v>
      </c>
      <c r="R101" s="13">
        <v>21.900596</v>
      </c>
      <c r="S101" s="11" t="s">
        <v>717</v>
      </c>
      <c r="T101" s="11"/>
      <c r="U101" s="11" t="s">
        <v>104</v>
      </c>
      <c r="V101" s="11" t="s">
        <v>105</v>
      </c>
      <c r="W101" s="11" t="s">
        <v>106</v>
      </c>
      <c r="X101" s="11"/>
      <c r="Y101" s="11"/>
      <c r="Z101" s="11"/>
      <c r="AA101" s="12">
        <v>100</v>
      </c>
      <c r="AB101" s="12"/>
      <c r="AC101" s="11" t="s">
        <v>244</v>
      </c>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row>
    <row r="102" spans="1:56" ht="70" x14ac:dyDescent="0.25">
      <c r="A102" s="11" t="s">
        <v>718</v>
      </c>
      <c r="B102" s="11" t="s">
        <v>719</v>
      </c>
      <c r="C102" s="11"/>
      <c r="D102" s="11" t="s">
        <v>91</v>
      </c>
      <c r="E102" s="11" t="s">
        <v>92</v>
      </c>
      <c r="F102" s="11" t="s">
        <v>720</v>
      </c>
      <c r="G102" s="11" t="s">
        <v>721</v>
      </c>
      <c r="H102" s="11" t="s">
        <v>94</v>
      </c>
      <c r="I102" s="11" t="s">
        <v>722</v>
      </c>
      <c r="J102" s="11" t="s">
        <v>723</v>
      </c>
      <c r="K102" s="11"/>
      <c r="L102" s="11" t="s">
        <v>724</v>
      </c>
      <c r="M102" s="11" t="s">
        <v>99</v>
      </c>
      <c r="N102" s="11" t="s">
        <v>100</v>
      </c>
      <c r="O102" s="11" t="s">
        <v>101</v>
      </c>
      <c r="P102" s="11" t="s">
        <v>102</v>
      </c>
      <c r="Q102" s="12">
        <v>113.606061</v>
      </c>
      <c r="R102" s="13">
        <v>24.680137999999999</v>
      </c>
      <c r="S102" s="11" t="s">
        <v>725</v>
      </c>
      <c r="T102" s="11"/>
      <c r="U102" s="11" t="s">
        <v>104</v>
      </c>
      <c r="V102" s="11" t="s">
        <v>105</v>
      </c>
      <c r="W102" s="11" t="s">
        <v>106</v>
      </c>
      <c r="X102" s="11"/>
      <c r="Y102" s="11"/>
      <c r="Z102" s="11"/>
      <c r="AA102" s="12">
        <v>101</v>
      </c>
      <c r="AB102" s="12"/>
      <c r="AC102" s="11" t="s">
        <v>244</v>
      </c>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row>
    <row r="103" spans="1:56" ht="70" x14ac:dyDescent="0.25">
      <c r="A103" s="11" t="s">
        <v>726</v>
      </c>
      <c r="B103" s="11" t="s">
        <v>727</v>
      </c>
      <c r="C103" s="11"/>
      <c r="D103" s="11" t="s">
        <v>91</v>
      </c>
      <c r="E103" s="11" t="s">
        <v>92</v>
      </c>
      <c r="F103" s="11" t="s">
        <v>728</v>
      </c>
      <c r="G103" s="11" t="s">
        <v>729</v>
      </c>
      <c r="H103" s="11" t="s">
        <v>94</v>
      </c>
      <c r="I103" s="11" t="s">
        <v>722</v>
      </c>
      <c r="J103" s="11" t="s">
        <v>730</v>
      </c>
      <c r="K103" s="11"/>
      <c r="L103" s="11" t="s">
        <v>731</v>
      </c>
      <c r="M103" s="11" t="s">
        <v>99</v>
      </c>
      <c r="N103" s="11" t="s">
        <v>100</v>
      </c>
      <c r="O103" s="11" t="s">
        <v>101</v>
      </c>
      <c r="P103" s="11" t="s">
        <v>102</v>
      </c>
      <c r="Q103" s="12">
        <v>113.603905</v>
      </c>
      <c r="R103" s="13">
        <v>24.812306</v>
      </c>
      <c r="S103" s="11" t="s">
        <v>732</v>
      </c>
      <c r="T103" s="11"/>
      <c r="U103" s="11" t="s">
        <v>104</v>
      </c>
      <c r="V103" s="11" t="s">
        <v>105</v>
      </c>
      <c r="W103" s="11" t="s">
        <v>106</v>
      </c>
      <c r="X103" s="11"/>
      <c r="Y103" s="11"/>
      <c r="Z103" s="11"/>
      <c r="AA103" s="12">
        <v>102</v>
      </c>
      <c r="AB103" s="12"/>
      <c r="AC103" s="11" t="s">
        <v>107</v>
      </c>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row>
    <row r="104" spans="1:56" ht="84" x14ac:dyDescent="0.25">
      <c r="A104" s="11" t="s">
        <v>733</v>
      </c>
      <c r="B104" s="11" t="s">
        <v>734</v>
      </c>
      <c r="C104" s="11"/>
      <c r="D104" s="11" t="s">
        <v>91</v>
      </c>
      <c r="E104" s="11" t="s">
        <v>92</v>
      </c>
      <c r="F104" s="11" t="s">
        <v>735</v>
      </c>
      <c r="G104" s="11" t="s">
        <v>736</v>
      </c>
      <c r="H104" s="11" t="s">
        <v>94</v>
      </c>
      <c r="I104" s="11" t="s">
        <v>121</v>
      </c>
      <c r="J104" s="11" t="s">
        <v>737</v>
      </c>
      <c r="K104" s="11"/>
      <c r="L104" s="11" t="s">
        <v>738</v>
      </c>
      <c r="M104" s="11" t="s">
        <v>99</v>
      </c>
      <c r="N104" s="11" t="s">
        <v>100</v>
      </c>
      <c r="O104" s="11" t="s">
        <v>101</v>
      </c>
      <c r="P104" s="11" t="s">
        <v>102</v>
      </c>
      <c r="Q104" s="12">
        <v>113.294625</v>
      </c>
      <c r="R104" s="13">
        <v>23.037852999999998</v>
      </c>
      <c r="S104" s="11" t="s">
        <v>739</v>
      </c>
      <c r="T104" s="11"/>
      <c r="U104" s="11" t="s">
        <v>104</v>
      </c>
      <c r="V104" s="11" t="s">
        <v>105</v>
      </c>
      <c r="W104" s="11" t="s">
        <v>106</v>
      </c>
      <c r="X104" s="11"/>
      <c r="Y104" s="11"/>
      <c r="Z104" s="11"/>
      <c r="AA104" s="12">
        <v>103</v>
      </c>
      <c r="AB104" s="12"/>
      <c r="AC104" s="11" t="s">
        <v>244</v>
      </c>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row>
    <row r="105" spans="1:56" ht="56" x14ac:dyDescent="0.25">
      <c r="A105" s="11" t="s">
        <v>740</v>
      </c>
      <c r="B105" s="11" t="s">
        <v>741</v>
      </c>
      <c r="C105" s="11"/>
      <c r="D105" s="11" t="s">
        <v>91</v>
      </c>
      <c r="E105" s="11" t="s">
        <v>92</v>
      </c>
      <c r="F105" s="11" t="s">
        <v>258</v>
      </c>
      <c r="G105" s="11" t="s">
        <v>742</v>
      </c>
      <c r="H105" s="11" t="s">
        <v>94</v>
      </c>
      <c r="I105" s="11" t="s">
        <v>121</v>
      </c>
      <c r="J105" s="11" t="s">
        <v>737</v>
      </c>
      <c r="K105" s="11"/>
      <c r="L105" s="11" t="s">
        <v>743</v>
      </c>
      <c r="M105" s="11" t="s">
        <v>99</v>
      </c>
      <c r="N105" s="11" t="s">
        <v>100</v>
      </c>
      <c r="O105" s="11" t="s">
        <v>101</v>
      </c>
      <c r="P105" s="11" t="s">
        <v>102</v>
      </c>
      <c r="Q105" s="12">
        <v>113.29346</v>
      </c>
      <c r="R105" s="13">
        <v>23.046728999999999</v>
      </c>
      <c r="S105" s="11" t="s">
        <v>744</v>
      </c>
      <c r="T105" s="11"/>
      <c r="U105" s="11" t="s">
        <v>104</v>
      </c>
      <c r="V105" s="11" t="s">
        <v>105</v>
      </c>
      <c r="W105" s="11" t="s">
        <v>106</v>
      </c>
      <c r="X105" s="11"/>
      <c r="Y105" s="11"/>
      <c r="Z105" s="11"/>
      <c r="AA105" s="12">
        <v>104</v>
      </c>
      <c r="AB105" s="12"/>
      <c r="AC105" s="11" t="s">
        <v>244</v>
      </c>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row>
    <row r="106" spans="1:56" ht="70" x14ac:dyDescent="0.25">
      <c r="A106" s="11" t="s">
        <v>745</v>
      </c>
      <c r="B106" s="11" t="s">
        <v>746</v>
      </c>
      <c r="C106" s="11"/>
      <c r="D106" s="11" t="s">
        <v>91</v>
      </c>
      <c r="E106" s="11" t="s">
        <v>92</v>
      </c>
      <c r="F106" s="11" t="s">
        <v>747</v>
      </c>
      <c r="G106" s="11" t="s">
        <v>748</v>
      </c>
      <c r="H106" s="11" t="s">
        <v>94</v>
      </c>
      <c r="I106" s="11" t="s">
        <v>95</v>
      </c>
      <c r="J106" s="11" t="s">
        <v>749</v>
      </c>
      <c r="K106" s="11"/>
      <c r="L106" s="11" t="s">
        <v>750</v>
      </c>
      <c r="M106" s="11" t="s">
        <v>99</v>
      </c>
      <c r="N106" s="11" t="s">
        <v>100</v>
      </c>
      <c r="O106" s="11" t="s">
        <v>101</v>
      </c>
      <c r="P106" s="11" t="s">
        <v>102</v>
      </c>
      <c r="Q106" s="12">
        <v>113.360083</v>
      </c>
      <c r="R106" s="13">
        <v>22.803934999999999</v>
      </c>
      <c r="S106" s="11" t="s">
        <v>751</v>
      </c>
      <c r="T106" s="11"/>
      <c r="U106" s="11" t="s">
        <v>104</v>
      </c>
      <c r="V106" s="11" t="s">
        <v>105</v>
      </c>
      <c r="W106" s="11" t="s">
        <v>106</v>
      </c>
      <c r="X106" s="11"/>
      <c r="Y106" s="11"/>
      <c r="Z106" s="11"/>
      <c r="AA106" s="12">
        <v>105</v>
      </c>
      <c r="AB106" s="12"/>
      <c r="AC106" s="11" t="s">
        <v>244</v>
      </c>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row>
    <row r="107" spans="1:56" ht="70" x14ac:dyDescent="0.25">
      <c r="A107" s="11" t="s">
        <v>752</v>
      </c>
      <c r="B107" s="11" t="s">
        <v>753</v>
      </c>
      <c r="C107" s="11"/>
      <c r="D107" s="11" t="s">
        <v>91</v>
      </c>
      <c r="E107" s="11" t="s">
        <v>92</v>
      </c>
      <c r="F107" s="11" t="s">
        <v>754</v>
      </c>
      <c r="G107" s="11" t="s">
        <v>755</v>
      </c>
      <c r="H107" s="11" t="s">
        <v>94</v>
      </c>
      <c r="I107" s="11" t="s">
        <v>95</v>
      </c>
      <c r="J107" s="11" t="s">
        <v>749</v>
      </c>
      <c r="K107" s="11"/>
      <c r="L107" s="11" t="s">
        <v>756</v>
      </c>
      <c r="M107" s="11" t="s">
        <v>99</v>
      </c>
      <c r="N107" s="11" t="s">
        <v>100</v>
      </c>
      <c r="O107" s="11" t="s">
        <v>101</v>
      </c>
      <c r="P107" s="11" t="s">
        <v>102</v>
      </c>
      <c r="Q107" s="12">
        <v>113.22827700000001</v>
      </c>
      <c r="R107" s="13">
        <v>22.866102000000001</v>
      </c>
      <c r="S107" s="11" t="s">
        <v>757</v>
      </c>
      <c r="T107" s="11"/>
      <c r="U107" s="11" t="s">
        <v>104</v>
      </c>
      <c r="V107" s="11" t="s">
        <v>105</v>
      </c>
      <c r="W107" s="11" t="s">
        <v>106</v>
      </c>
      <c r="X107" s="11"/>
      <c r="Y107" s="11"/>
      <c r="Z107" s="11"/>
      <c r="AA107" s="12">
        <v>106</v>
      </c>
      <c r="AB107" s="12"/>
      <c r="AC107" s="11" t="s">
        <v>244</v>
      </c>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row>
    <row r="108" spans="1:56" ht="84" x14ac:dyDescent="0.25">
      <c r="A108" s="11" t="s">
        <v>758</v>
      </c>
      <c r="B108" s="11" t="s">
        <v>759</v>
      </c>
      <c r="C108" s="11"/>
      <c r="D108" s="11" t="s">
        <v>91</v>
      </c>
      <c r="E108" s="11" t="s">
        <v>92</v>
      </c>
      <c r="F108" s="11" t="s">
        <v>760</v>
      </c>
      <c r="G108" s="11" t="s">
        <v>761</v>
      </c>
      <c r="H108" s="11" t="s">
        <v>94</v>
      </c>
      <c r="I108" s="11" t="s">
        <v>95</v>
      </c>
      <c r="J108" s="11" t="s">
        <v>749</v>
      </c>
      <c r="K108" s="11"/>
      <c r="L108" s="11" t="s">
        <v>762</v>
      </c>
      <c r="M108" s="11" t="s">
        <v>99</v>
      </c>
      <c r="N108" s="11" t="s">
        <v>100</v>
      </c>
      <c r="O108" s="11" t="s">
        <v>101</v>
      </c>
      <c r="P108" s="11" t="s">
        <v>102</v>
      </c>
      <c r="Q108" s="12">
        <v>113.19818600000001</v>
      </c>
      <c r="R108" s="13">
        <v>22.809132000000002</v>
      </c>
      <c r="S108" s="11" t="s">
        <v>763</v>
      </c>
      <c r="T108" s="11"/>
      <c r="U108" s="11" t="s">
        <v>104</v>
      </c>
      <c r="V108" s="11" t="s">
        <v>105</v>
      </c>
      <c r="W108" s="11" t="s">
        <v>106</v>
      </c>
      <c r="X108" s="11"/>
      <c r="Y108" s="11"/>
      <c r="Z108" s="11"/>
      <c r="AA108" s="12">
        <v>107</v>
      </c>
      <c r="AB108" s="12"/>
      <c r="AC108" s="11" t="s">
        <v>244</v>
      </c>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row>
    <row r="109" spans="1:56" ht="70" x14ac:dyDescent="0.25">
      <c r="A109" s="11" t="s">
        <v>764</v>
      </c>
      <c r="B109" s="11" t="s">
        <v>765</v>
      </c>
      <c r="C109" s="11"/>
      <c r="D109" s="11" t="s">
        <v>91</v>
      </c>
      <c r="E109" s="11" t="s">
        <v>92</v>
      </c>
      <c r="F109" s="11" t="s">
        <v>766</v>
      </c>
      <c r="G109" s="11" t="s">
        <v>767</v>
      </c>
      <c r="H109" s="11" t="s">
        <v>94</v>
      </c>
      <c r="I109" s="11" t="s">
        <v>95</v>
      </c>
      <c r="J109" s="11" t="s">
        <v>749</v>
      </c>
      <c r="K109" s="11"/>
      <c r="L109" s="11" t="s">
        <v>768</v>
      </c>
      <c r="M109" s="11" t="s">
        <v>99</v>
      </c>
      <c r="N109" s="11" t="s">
        <v>100</v>
      </c>
      <c r="O109" s="11" t="s">
        <v>101</v>
      </c>
      <c r="P109" s="11" t="s">
        <v>102</v>
      </c>
      <c r="Q109" s="12">
        <v>113.09361800000001</v>
      </c>
      <c r="R109" s="13">
        <v>22.902251</v>
      </c>
      <c r="S109" s="11" t="s">
        <v>769</v>
      </c>
      <c r="T109" s="11"/>
      <c r="U109" s="11" t="s">
        <v>104</v>
      </c>
      <c r="V109" s="11" t="s">
        <v>105</v>
      </c>
      <c r="W109" s="11" t="s">
        <v>106</v>
      </c>
      <c r="X109" s="11"/>
      <c r="Y109" s="11"/>
      <c r="Z109" s="11"/>
      <c r="AA109" s="12">
        <v>108</v>
      </c>
      <c r="AB109" s="12"/>
      <c r="AC109" s="11" t="s">
        <v>244</v>
      </c>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row>
    <row r="110" spans="1:56" ht="70" x14ac:dyDescent="0.25">
      <c r="A110" s="11" t="s">
        <v>770</v>
      </c>
      <c r="B110" s="11" t="s">
        <v>771</v>
      </c>
      <c r="C110" s="11"/>
      <c r="D110" s="11" t="s">
        <v>91</v>
      </c>
      <c r="E110" s="11" t="s">
        <v>92</v>
      </c>
      <c r="F110" s="11" t="s">
        <v>772</v>
      </c>
      <c r="G110" s="11" t="s">
        <v>773</v>
      </c>
      <c r="H110" s="11" t="s">
        <v>94</v>
      </c>
      <c r="I110" s="11" t="s">
        <v>95</v>
      </c>
      <c r="J110" s="11" t="s">
        <v>749</v>
      </c>
      <c r="K110" s="11"/>
      <c r="L110" s="11" t="s">
        <v>774</v>
      </c>
      <c r="M110" s="11" t="s">
        <v>99</v>
      </c>
      <c r="N110" s="11" t="s">
        <v>100</v>
      </c>
      <c r="O110" s="11" t="s">
        <v>101</v>
      </c>
      <c r="P110" s="11" t="s">
        <v>102</v>
      </c>
      <c r="Q110" s="12">
        <v>113.345029</v>
      </c>
      <c r="R110" s="13">
        <v>22.775054000000001</v>
      </c>
      <c r="S110" s="11" t="s">
        <v>775</v>
      </c>
      <c r="T110" s="11"/>
      <c r="U110" s="11" t="s">
        <v>104</v>
      </c>
      <c r="V110" s="11" t="s">
        <v>105</v>
      </c>
      <c r="W110" s="11" t="s">
        <v>106</v>
      </c>
      <c r="X110" s="11"/>
      <c r="Y110" s="11"/>
      <c r="Z110" s="11"/>
      <c r="AA110" s="12">
        <v>109</v>
      </c>
      <c r="AB110" s="12"/>
      <c r="AC110" s="11" t="s">
        <v>244</v>
      </c>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row>
    <row r="111" spans="1:56" ht="70" x14ac:dyDescent="0.25">
      <c r="A111" s="11" t="s">
        <v>776</v>
      </c>
      <c r="B111" s="11" t="s">
        <v>777</v>
      </c>
      <c r="C111" s="11"/>
      <c r="D111" s="11" t="s">
        <v>91</v>
      </c>
      <c r="E111" s="11" t="s">
        <v>92</v>
      </c>
      <c r="F111" s="11" t="s">
        <v>778</v>
      </c>
      <c r="G111" s="11" t="s">
        <v>779</v>
      </c>
      <c r="H111" s="11" t="s">
        <v>94</v>
      </c>
      <c r="I111" s="11" t="s">
        <v>95</v>
      </c>
      <c r="J111" s="11" t="s">
        <v>749</v>
      </c>
      <c r="K111" s="11"/>
      <c r="L111" s="11" t="s">
        <v>780</v>
      </c>
      <c r="M111" s="11" t="s">
        <v>99</v>
      </c>
      <c r="N111" s="11" t="s">
        <v>100</v>
      </c>
      <c r="O111" s="11" t="s">
        <v>101</v>
      </c>
      <c r="P111" s="11" t="s">
        <v>102</v>
      </c>
      <c r="Q111" s="12">
        <v>113.259778</v>
      </c>
      <c r="R111" s="13">
        <v>22.834789000000001</v>
      </c>
      <c r="S111" s="11" t="s">
        <v>781</v>
      </c>
      <c r="T111" s="11"/>
      <c r="U111" s="11" t="s">
        <v>104</v>
      </c>
      <c r="V111" s="11" t="s">
        <v>105</v>
      </c>
      <c r="W111" s="11" t="s">
        <v>106</v>
      </c>
      <c r="X111" s="11"/>
      <c r="Y111" s="11"/>
      <c r="Z111" s="11"/>
      <c r="AA111" s="12">
        <v>110</v>
      </c>
      <c r="AB111" s="12"/>
      <c r="AC111" s="11" t="s">
        <v>244</v>
      </c>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row>
    <row r="112" spans="1:56" ht="56" x14ac:dyDescent="0.25">
      <c r="A112" s="11" t="s">
        <v>782</v>
      </c>
      <c r="B112" s="11" t="s">
        <v>783</v>
      </c>
      <c r="C112" s="11"/>
      <c r="D112" s="11" t="s">
        <v>91</v>
      </c>
      <c r="E112" s="11" t="s">
        <v>92</v>
      </c>
      <c r="F112" s="11" t="s">
        <v>784</v>
      </c>
      <c r="G112" s="11" t="s">
        <v>785</v>
      </c>
      <c r="H112" s="11" t="s">
        <v>94</v>
      </c>
      <c r="I112" s="11" t="s">
        <v>95</v>
      </c>
      <c r="J112" s="11" t="s">
        <v>749</v>
      </c>
      <c r="K112" s="11"/>
      <c r="L112" s="11" t="s">
        <v>786</v>
      </c>
      <c r="M112" s="11" t="s">
        <v>99</v>
      </c>
      <c r="N112" s="11" t="s">
        <v>100</v>
      </c>
      <c r="O112" s="11" t="s">
        <v>101</v>
      </c>
      <c r="P112" s="11" t="s">
        <v>102</v>
      </c>
      <c r="Q112" s="12">
        <v>113.25124</v>
      </c>
      <c r="R112" s="13">
        <v>22.766787999999998</v>
      </c>
      <c r="S112" s="11" t="s">
        <v>787</v>
      </c>
      <c r="T112" s="11"/>
      <c r="U112" s="11" t="s">
        <v>104</v>
      </c>
      <c r="V112" s="11" t="s">
        <v>105</v>
      </c>
      <c r="W112" s="11" t="s">
        <v>106</v>
      </c>
      <c r="X112" s="11"/>
      <c r="Y112" s="11"/>
      <c r="Z112" s="11"/>
      <c r="AA112" s="12">
        <v>111</v>
      </c>
      <c r="AB112" s="12"/>
      <c r="AC112" s="11" t="s">
        <v>107</v>
      </c>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row>
    <row r="113" spans="1:56" ht="56" x14ac:dyDescent="0.25">
      <c r="A113" s="11" t="s">
        <v>788</v>
      </c>
      <c r="B113" s="11" t="s">
        <v>789</v>
      </c>
      <c r="C113" s="11"/>
      <c r="D113" s="11" t="s">
        <v>91</v>
      </c>
      <c r="E113" s="11" t="s">
        <v>92</v>
      </c>
      <c r="F113" s="11" t="s">
        <v>790</v>
      </c>
      <c r="G113" s="11" t="s">
        <v>791</v>
      </c>
      <c r="H113" s="11" t="s">
        <v>94</v>
      </c>
      <c r="I113" s="11" t="s">
        <v>121</v>
      </c>
      <c r="J113" s="11" t="s">
        <v>792</v>
      </c>
      <c r="K113" s="11"/>
      <c r="L113" s="11" t="s">
        <v>793</v>
      </c>
      <c r="M113" s="11" t="s">
        <v>99</v>
      </c>
      <c r="N113" s="11" t="s">
        <v>100</v>
      </c>
      <c r="O113" s="11" t="s">
        <v>101</v>
      </c>
      <c r="P113" s="11" t="s">
        <v>102</v>
      </c>
      <c r="Q113" s="12">
        <v>113.463373</v>
      </c>
      <c r="R113" s="13">
        <v>23.158477999999999</v>
      </c>
      <c r="S113" s="11" t="s">
        <v>794</v>
      </c>
      <c r="T113" s="11"/>
      <c r="U113" s="11" t="s">
        <v>104</v>
      </c>
      <c r="V113" s="11" t="s">
        <v>105</v>
      </c>
      <c r="W113" s="11" t="s">
        <v>106</v>
      </c>
      <c r="X113" s="11"/>
      <c r="Y113" s="11"/>
      <c r="Z113" s="11"/>
      <c r="AA113" s="12">
        <v>112</v>
      </c>
      <c r="AB113" s="12"/>
      <c r="AC113" s="11" t="s">
        <v>107</v>
      </c>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row>
    <row r="114" spans="1:56" ht="70" x14ac:dyDescent="0.25">
      <c r="A114" s="11" t="s">
        <v>795</v>
      </c>
      <c r="B114" s="11" t="s">
        <v>796</v>
      </c>
      <c r="C114" s="11"/>
      <c r="D114" s="11" t="s">
        <v>91</v>
      </c>
      <c r="E114" s="11" t="s">
        <v>92</v>
      </c>
      <c r="F114" s="11" t="s">
        <v>797</v>
      </c>
      <c r="G114" s="11" t="s">
        <v>798</v>
      </c>
      <c r="H114" s="11" t="s">
        <v>94</v>
      </c>
      <c r="I114" s="11" t="s">
        <v>121</v>
      </c>
      <c r="J114" s="11" t="s">
        <v>799</v>
      </c>
      <c r="K114" s="11"/>
      <c r="L114" s="11" t="s">
        <v>800</v>
      </c>
      <c r="M114" s="11" t="s">
        <v>99</v>
      </c>
      <c r="N114" s="11" t="s">
        <v>100</v>
      </c>
      <c r="O114" s="11" t="s">
        <v>101</v>
      </c>
      <c r="P114" s="11" t="s">
        <v>102</v>
      </c>
      <c r="Q114" s="12">
        <v>113.25411800000001</v>
      </c>
      <c r="R114" s="13">
        <v>23.37031</v>
      </c>
      <c r="S114" s="11" t="s">
        <v>801</v>
      </c>
      <c r="T114" s="11"/>
      <c r="U114" s="11" t="s">
        <v>104</v>
      </c>
      <c r="V114" s="11" t="s">
        <v>105</v>
      </c>
      <c r="W114" s="11" t="s">
        <v>106</v>
      </c>
      <c r="X114" s="11"/>
      <c r="Y114" s="11"/>
      <c r="Z114" s="11"/>
      <c r="AA114" s="12">
        <v>113</v>
      </c>
      <c r="AB114" s="12"/>
      <c r="AC114" s="11" t="s">
        <v>107</v>
      </c>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row>
    <row r="115" spans="1:56" ht="56" x14ac:dyDescent="0.25">
      <c r="A115" s="11" t="s">
        <v>802</v>
      </c>
      <c r="B115" s="11" t="s">
        <v>803</v>
      </c>
      <c r="C115" s="11"/>
      <c r="D115" s="11" t="s">
        <v>91</v>
      </c>
      <c r="E115" s="11" t="s">
        <v>92</v>
      </c>
      <c r="F115" s="11" t="s">
        <v>804</v>
      </c>
      <c r="G115" s="11" t="s">
        <v>805</v>
      </c>
      <c r="H115" s="11" t="s">
        <v>94</v>
      </c>
      <c r="I115" s="11" t="s">
        <v>121</v>
      </c>
      <c r="J115" s="11" t="s">
        <v>131</v>
      </c>
      <c r="K115" s="11"/>
      <c r="L115" s="11" t="s">
        <v>806</v>
      </c>
      <c r="M115" s="11" t="s">
        <v>99</v>
      </c>
      <c r="N115" s="11" t="s">
        <v>100</v>
      </c>
      <c r="O115" s="11" t="s">
        <v>101</v>
      </c>
      <c r="P115" s="11" t="s">
        <v>102</v>
      </c>
      <c r="Q115" s="12">
        <v>113.61223</v>
      </c>
      <c r="R115" s="13">
        <v>23.121932999999999</v>
      </c>
      <c r="S115" s="11" t="s">
        <v>807</v>
      </c>
      <c r="T115" s="11"/>
      <c r="U115" s="11" t="s">
        <v>104</v>
      </c>
      <c r="V115" s="11" t="s">
        <v>105</v>
      </c>
      <c r="W115" s="11" t="s">
        <v>106</v>
      </c>
      <c r="X115" s="11"/>
      <c r="Y115" s="11"/>
      <c r="Z115" s="11"/>
      <c r="AA115" s="12">
        <v>114</v>
      </c>
      <c r="AB115" s="12"/>
      <c r="AC115" s="11" t="s">
        <v>107</v>
      </c>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row>
    <row r="116" spans="1:56" ht="56" x14ac:dyDescent="0.25">
      <c r="A116" s="11" t="s">
        <v>808</v>
      </c>
      <c r="B116" s="11" t="s">
        <v>809</v>
      </c>
      <c r="C116" s="11"/>
      <c r="D116" s="11" t="s">
        <v>91</v>
      </c>
      <c r="E116" s="11" t="s">
        <v>92</v>
      </c>
      <c r="F116" s="11" t="s">
        <v>810</v>
      </c>
      <c r="G116" s="11" t="s">
        <v>811</v>
      </c>
      <c r="H116" s="11" t="s">
        <v>94</v>
      </c>
      <c r="I116" s="11" t="s">
        <v>121</v>
      </c>
      <c r="J116" s="11" t="s">
        <v>131</v>
      </c>
      <c r="K116" s="11"/>
      <c r="L116" s="11" t="s">
        <v>812</v>
      </c>
      <c r="M116" s="11" t="s">
        <v>99</v>
      </c>
      <c r="N116" s="11" t="s">
        <v>100</v>
      </c>
      <c r="O116" s="11" t="s">
        <v>101</v>
      </c>
      <c r="P116" s="11" t="s">
        <v>102</v>
      </c>
      <c r="Q116" s="12">
        <v>113.623544</v>
      </c>
      <c r="R116" s="13">
        <v>23.129871999999999</v>
      </c>
      <c r="S116" s="11" t="s">
        <v>813</v>
      </c>
      <c r="T116" s="11"/>
      <c r="U116" s="11" t="s">
        <v>104</v>
      </c>
      <c r="V116" s="11" t="s">
        <v>105</v>
      </c>
      <c r="W116" s="11" t="s">
        <v>106</v>
      </c>
      <c r="X116" s="11"/>
      <c r="Y116" s="11"/>
      <c r="Z116" s="11"/>
      <c r="AA116" s="12">
        <v>115</v>
      </c>
      <c r="AB116" s="12"/>
      <c r="AC116" s="11" t="s">
        <v>107</v>
      </c>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row>
    <row r="117" spans="1:56" ht="56" x14ac:dyDescent="0.25">
      <c r="A117" s="11" t="s">
        <v>814</v>
      </c>
      <c r="B117" s="11" t="s">
        <v>815</v>
      </c>
      <c r="C117" s="11"/>
      <c r="D117" s="11" t="s">
        <v>91</v>
      </c>
      <c r="E117" s="11" t="s">
        <v>92</v>
      </c>
      <c r="F117" s="11" t="s">
        <v>816</v>
      </c>
      <c r="G117" s="11" t="s">
        <v>817</v>
      </c>
      <c r="H117" s="11" t="s">
        <v>94</v>
      </c>
      <c r="I117" s="11" t="s">
        <v>121</v>
      </c>
      <c r="J117" s="11" t="s">
        <v>131</v>
      </c>
      <c r="K117" s="11"/>
      <c r="L117" s="11" t="s">
        <v>818</v>
      </c>
      <c r="M117" s="11" t="s">
        <v>99</v>
      </c>
      <c r="N117" s="11" t="s">
        <v>100</v>
      </c>
      <c r="O117" s="11" t="s">
        <v>101</v>
      </c>
      <c r="P117" s="11" t="s">
        <v>102</v>
      </c>
      <c r="Q117" s="12">
        <v>113.656352</v>
      </c>
      <c r="R117" s="13">
        <v>23.122983999999999</v>
      </c>
      <c r="S117" s="11" t="s">
        <v>819</v>
      </c>
      <c r="T117" s="11"/>
      <c r="U117" s="11" t="s">
        <v>104</v>
      </c>
      <c r="V117" s="11" t="s">
        <v>105</v>
      </c>
      <c r="W117" s="11" t="s">
        <v>106</v>
      </c>
      <c r="X117" s="11"/>
      <c r="Y117" s="11"/>
      <c r="Z117" s="11"/>
      <c r="AA117" s="12">
        <v>116</v>
      </c>
      <c r="AB117" s="12"/>
      <c r="AC117" s="11" t="s">
        <v>107</v>
      </c>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row>
    <row r="118" spans="1:56" ht="56" x14ac:dyDescent="0.25">
      <c r="A118" s="11" t="s">
        <v>820</v>
      </c>
      <c r="B118" s="11" t="s">
        <v>821</v>
      </c>
      <c r="C118" s="11"/>
      <c r="D118" s="11" t="s">
        <v>91</v>
      </c>
      <c r="E118" s="11" t="s">
        <v>92</v>
      </c>
      <c r="F118" s="11" t="s">
        <v>822</v>
      </c>
      <c r="G118" s="11" t="s">
        <v>823</v>
      </c>
      <c r="H118" s="11" t="s">
        <v>94</v>
      </c>
      <c r="I118" s="11" t="s">
        <v>121</v>
      </c>
      <c r="J118" s="11" t="s">
        <v>131</v>
      </c>
      <c r="K118" s="11"/>
      <c r="L118" s="11" t="s">
        <v>824</v>
      </c>
      <c r="M118" s="11" t="s">
        <v>99</v>
      </c>
      <c r="N118" s="11" t="s">
        <v>100</v>
      </c>
      <c r="O118" s="11" t="s">
        <v>101</v>
      </c>
      <c r="P118" s="11" t="s">
        <v>102</v>
      </c>
      <c r="Q118" s="12">
        <v>113.607449</v>
      </c>
      <c r="R118" s="13">
        <v>23.122758999999999</v>
      </c>
      <c r="S118" s="11" t="s">
        <v>825</v>
      </c>
      <c r="T118" s="11"/>
      <c r="U118" s="11" t="s">
        <v>104</v>
      </c>
      <c r="V118" s="11" t="s">
        <v>105</v>
      </c>
      <c r="W118" s="11" t="s">
        <v>106</v>
      </c>
      <c r="X118" s="11"/>
      <c r="Y118" s="11"/>
      <c r="Z118" s="11"/>
      <c r="AA118" s="12">
        <v>117</v>
      </c>
      <c r="AB118" s="12"/>
      <c r="AC118" s="11" t="s">
        <v>107</v>
      </c>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row>
    <row r="119" spans="1:56" ht="84" x14ac:dyDescent="0.25">
      <c r="A119" s="11" t="s">
        <v>826</v>
      </c>
      <c r="B119" s="11" t="s">
        <v>827</v>
      </c>
      <c r="C119" s="11"/>
      <c r="D119" s="11" t="s">
        <v>91</v>
      </c>
      <c r="E119" s="11" t="s">
        <v>92</v>
      </c>
      <c r="F119" s="11" t="s">
        <v>828</v>
      </c>
      <c r="G119" s="11" t="s">
        <v>829</v>
      </c>
      <c r="H119" s="11" t="s">
        <v>94</v>
      </c>
      <c r="I119" s="11" t="s">
        <v>121</v>
      </c>
      <c r="J119" s="11" t="s">
        <v>131</v>
      </c>
      <c r="K119" s="11"/>
      <c r="L119" s="11" t="s">
        <v>830</v>
      </c>
      <c r="M119" s="11" t="s">
        <v>99</v>
      </c>
      <c r="N119" s="11" t="s">
        <v>100</v>
      </c>
      <c r="O119" s="11" t="s">
        <v>101</v>
      </c>
      <c r="P119" s="11" t="s">
        <v>102</v>
      </c>
      <c r="Q119" s="12">
        <v>113.61924999999999</v>
      </c>
      <c r="R119" s="13">
        <v>23.129472</v>
      </c>
      <c r="S119" s="11" t="s">
        <v>831</v>
      </c>
      <c r="T119" s="11"/>
      <c r="U119" s="11" t="s">
        <v>104</v>
      </c>
      <c r="V119" s="11" t="s">
        <v>105</v>
      </c>
      <c r="W119" s="11" t="s">
        <v>106</v>
      </c>
      <c r="X119" s="11"/>
      <c r="Y119" s="11"/>
      <c r="Z119" s="11"/>
      <c r="AA119" s="12">
        <v>118</v>
      </c>
      <c r="AB119" s="12"/>
      <c r="AC119" s="11" t="s">
        <v>244</v>
      </c>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row>
    <row r="120" spans="1:56" ht="56" x14ac:dyDescent="0.25">
      <c r="A120" s="11" t="s">
        <v>832</v>
      </c>
      <c r="B120" s="11" t="s">
        <v>833</v>
      </c>
      <c r="C120" s="11"/>
      <c r="D120" s="11" t="s">
        <v>91</v>
      </c>
      <c r="E120" s="11" t="s">
        <v>92</v>
      </c>
      <c r="F120" s="11" t="s">
        <v>834</v>
      </c>
      <c r="G120" s="11" t="s">
        <v>835</v>
      </c>
      <c r="H120" s="11" t="s">
        <v>94</v>
      </c>
      <c r="I120" s="11" t="s">
        <v>121</v>
      </c>
      <c r="J120" s="11" t="s">
        <v>131</v>
      </c>
      <c r="K120" s="11"/>
      <c r="L120" s="11" t="s">
        <v>836</v>
      </c>
      <c r="M120" s="11" t="s">
        <v>99</v>
      </c>
      <c r="N120" s="11" t="s">
        <v>100</v>
      </c>
      <c r="O120" s="11" t="s">
        <v>101</v>
      </c>
      <c r="P120" s="11" t="s">
        <v>102</v>
      </c>
      <c r="Q120" s="12">
        <v>113.60442999999999</v>
      </c>
      <c r="R120" s="13">
        <v>23.125605</v>
      </c>
      <c r="S120" s="11" t="s">
        <v>837</v>
      </c>
      <c r="T120" s="11"/>
      <c r="U120" s="11" t="s">
        <v>104</v>
      </c>
      <c r="V120" s="11" t="s">
        <v>105</v>
      </c>
      <c r="W120" s="11" t="s">
        <v>106</v>
      </c>
      <c r="X120" s="11"/>
      <c r="Y120" s="11"/>
      <c r="Z120" s="11"/>
      <c r="AA120" s="12">
        <v>119</v>
      </c>
      <c r="AB120" s="12"/>
      <c r="AC120" s="11" t="s">
        <v>244</v>
      </c>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row>
    <row r="121" spans="1:56" ht="70" x14ac:dyDescent="0.25">
      <c r="A121" s="11" t="s">
        <v>838</v>
      </c>
      <c r="B121" s="11" t="s">
        <v>839</v>
      </c>
      <c r="C121" s="11"/>
      <c r="D121" s="11" t="s">
        <v>91</v>
      </c>
      <c r="E121" s="11" t="s">
        <v>92</v>
      </c>
      <c r="F121" s="11" t="s">
        <v>840</v>
      </c>
      <c r="G121" s="11" t="s">
        <v>841</v>
      </c>
      <c r="H121" s="11" t="s">
        <v>94</v>
      </c>
      <c r="I121" s="11" t="s">
        <v>112</v>
      </c>
      <c r="J121" s="11" t="s">
        <v>112</v>
      </c>
      <c r="K121" s="11" t="s">
        <v>842</v>
      </c>
      <c r="L121" s="11" t="s">
        <v>843</v>
      </c>
      <c r="M121" s="11" t="s">
        <v>99</v>
      </c>
      <c r="N121" s="11" t="s">
        <v>100</v>
      </c>
      <c r="O121" s="11" t="s">
        <v>101</v>
      </c>
      <c r="P121" s="11" t="s">
        <v>102</v>
      </c>
      <c r="Q121" s="12">
        <v>113.617271</v>
      </c>
      <c r="R121" s="13">
        <v>22.972086999999998</v>
      </c>
      <c r="S121" s="11" t="s">
        <v>844</v>
      </c>
      <c r="T121" s="11"/>
      <c r="U121" s="11" t="s">
        <v>104</v>
      </c>
      <c r="V121" s="11" t="s">
        <v>105</v>
      </c>
      <c r="W121" s="11" t="s">
        <v>106</v>
      </c>
      <c r="X121" s="11"/>
      <c r="Y121" s="11"/>
      <c r="Z121" s="11"/>
      <c r="AA121" s="12">
        <v>120</v>
      </c>
      <c r="AB121" s="12"/>
      <c r="AC121" s="11" t="s">
        <v>244</v>
      </c>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row>
    <row r="122" spans="1:56" ht="56" x14ac:dyDescent="0.25">
      <c r="A122" s="11" t="s">
        <v>845</v>
      </c>
      <c r="B122" s="11" t="s">
        <v>846</v>
      </c>
      <c r="C122" s="11"/>
      <c r="D122" s="11" t="s">
        <v>91</v>
      </c>
      <c r="E122" s="11" t="s">
        <v>92</v>
      </c>
      <c r="F122" s="11" t="s">
        <v>847</v>
      </c>
      <c r="G122" s="11" t="s">
        <v>848</v>
      </c>
      <c r="H122" s="11" t="s">
        <v>94</v>
      </c>
      <c r="I122" s="11" t="s">
        <v>121</v>
      </c>
      <c r="J122" s="11" t="s">
        <v>131</v>
      </c>
      <c r="K122" s="11"/>
      <c r="L122" s="11" t="s">
        <v>849</v>
      </c>
      <c r="M122" s="11" t="s">
        <v>99</v>
      </c>
      <c r="N122" s="11" t="s">
        <v>100</v>
      </c>
      <c r="O122" s="11" t="s">
        <v>101</v>
      </c>
      <c r="P122" s="11" t="s">
        <v>102</v>
      </c>
      <c r="Q122" s="12">
        <v>113.627312</v>
      </c>
      <c r="R122" s="13">
        <v>23.146108999999999</v>
      </c>
      <c r="S122" s="11" t="s">
        <v>850</v>
      </c>
      <c r="T122" s="11"/>
      <c r="U122" s="11" t="s">
        <v>104</v>
      </c>
      <c r="V122" s="11" t="s">
        <v>105</v>
      </c>
      <c r="W122" s="11" t="s">
        <v>106</v>
      </c>
      <c r="X122" s="11"/>
      <c r="Y122" s="11"/>
      <c r="Z122" s="11"/>
      <c r="AA122" s="12">
        <v>121</v>
      </c>
      <c r="AB122" s="12"/>
      <c r="AC122" s="11" t="s">
        <v>244</v>
      </c>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row>
    <row r="123" spans="1:56" ht="56" x14ac:dyDescent="0.25">
      <c r="A123" s="11" t="s">
        <v>851</v>
      </c>
      <c r="B123" s="11" t="s">
        <v>852</v>
      </c>
      <c r="C123" s="11"/>
      <c r="D123" s="11" t="s">
        <v>91</v>
      </c>
      <c r="E123" s="11" t="s">
        <v>92</v>
      </c>
      <c r="F123" s="11" t="s">
        <v>853</v>
      </c>
      <c r="G123" s="11" t="s">
        <v>854</v>
      </c>
      <c r="H123" s="11" t="s">
        <v>94</v>
      </c>
      <c r="I123" s="11" t="s">
        <v>121</v>
      </c>
      <c r="J123" s="11" t="s">
        <v>131</v>
      </c>
      <c r="K123" s="11"/>
      <c r="L123" s="11" t="s">
        <v>855</v>
      </c>
      <c r="M123" s="11" t="s">
        <v>99</v>
      </c>
      <c r="N123" s="11" t="s">
        <v>100</v>
      </c>
      <c r="O123" s="11" t="s">
        <v>101</v>
      </c>
      <c r="P123" s="11" t="s">
        <v>102</v>
      </c>
      <c r="Q123" s="12">
        <v>113.619773</v>
      </c>
      <c r="R123" s="13">
        <v>23.119444999999999</v>
      </c>
      <c r="S123" s="11" t="s">
        <v>856</v>
      </c>
      <c r="T123" s="11"/>
      <c r="U123" s="11" t="s">
        <v>104</v>
      </c>
      <c r="V123" s="11" t="s">
        <v>105</v>
      </c>
      <c r="W123" s="11" t="s">
        <v>106</v>
      </c>
      <c r="X123" s="11"/>
      <c r="Y123" s="11"/>
      <c r="Z123" s="11"/>
      <c r="AA123" s="12">
        <v>122</v>
      </c>
      <c r="AB123" s="12"/>
      <c r="AC123" s="11" t="s">
        <v>244</v>
      </c>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row>
    <row r="124" spans="1:56" ht="56" x14ac:dyDescent="0.25">
      <c r="A124" s="11" t="s">
        <v>857</v>
      </c>
      <c r="B124" s="11" t="s">
        <v>858</v>
      </c>
      <c r="C124" s="11"/>
      <c r="D124" s="11" t="s">
        <v>91</v>
      </c>
      <c r="E124" s="11" t="s">
        <v>92</v>
      </c>
      <c r="F124" s="11" t="s">
        <v>859</v>
      </c>
      <c r="G124" s="11" t="s">
        <v>860</v>
      </c>
      <c r="H124" s="11" t="s">
        <v>94</v>
      </c>
      <c r="I124" s="11" t="s">
        <v>121</v>
      </c>
      <c r="J124" s="11" t="s">
        <v>131</v>
      </c>
      <c r="K124" s="11"/>
      <c r="L124" s="11" t="s">
        <v>861</v>
      </c>
      <c r="M124" s="11" t="s">
        <v>99</v>
      </c>
      <c r="N124" s="11" t="s">
        <v>100</v>
      </c>
      <c r="O124" s="11" t="s">
        <v>101</v>
      </c>
      <c r="P124" s="11" t="s">
        <v>102</v>
      </c>
      <c r="Q124" s="12">
        <v>113.633669</v>
      </c>
      <c r="R124" s="13">
        <v>23.137806999999999</v>
      </c>
      <c r="S124" s="11" t="s">
        <v>862</v>
      </c>
      <c r="T124" s="11"/>
      <c r="U124" s="11" t="s">
        <v>104</v>
      </c>
      <c r="V124" s="11" t="s">
        <v>105</v>
      </c>
      <c r="W124" s="11" t="s">
        <v>106</v>
      </c>
      <c r="X124" s="11"/>
      <c r="Y124" s="11"/>
      <c r="Z124" s="11"/>
      <c r="AA124" s="12">
        <v>123</v>
      </c>
      <c r="AB124" s="12"/>
      <c r="AC124" s="11" t="s">
        <v>244</v>
      </c>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row>
    <row r="125" spans="1:56" ht="56" x14ac:dyDescent="0.25">
      <c r="A125" s="11" t="s">
        <v>863</v>
      </c>
      <c r="B125" s="11" t="s">
        <v>864</v>
      </c>
      <c r="C125" s="11"/>
      <c r="D125" s="11" t="s">
        <v>91</v>
      </c>
      <c r="E125" s="11" t="s">
        <v>92</v>
      </c>
      <c r="F125" s="11" t="s">
        <v>865</v>
      </c>
      <c r="G125" s="11" t="s">
        <v>866</v>
      </c>
      <c r="H125" s="11" t="s">
        <v>94</v>
      </c>
      <c r="I125" s="11" t="s">
        <v>121</v>
      </c>
      <c r="J125" s="11" t="s">
        <v>131</v>
      </c>
      <c r="K125" s="11"/>
      <c r="L125" s="11" t="s">
        <v>867</v>
      </c>
      <c r="M125" s="11" t="s">
        <v>99</v>
      </c>
      <c r="N125" s="11" t="s">
        <v>100</v>
      </c>
      <c r="O125" s="11" t="s">
        <v>101</v>
      </c>
      <c r="P125" s="11" t="s">
        <v>102</v>
      </c>
      <c r="Q125" s="12">
        <v>113.65577</v>
      </c>
      <c r="R125" s="13">
        <v>23.121516</v>
      </c>
      <c r="S125" s="11" t="s">
        <v>868</v>
      </c>
      <c r="T125" s="11"/>
      <c r="U125" s="11" t="s">
        <v>104</v>
      </c>
      <c r="V125" s="11" t="s">
        <v>105</v>
      </c>
      <c r="W125" s="11" t="s">
        <v>106</v>
      </c>
      <c r="X125" s="11"/>
      <c r="Y125" s="11"/>
      <c r="Z125" s="11"/>
      <c r="AA125" s="12">
        <v>124</v>
      </c>
      <c r="AB125" s="12"/>
      <c r="AC125" s="11" t="s">
        <v>244</v>
      </c>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row>
    <row r="126" spans="1:56" ht="56" x14ac:dyDescent="0.25">
      <c r="A126" s="11" t="s">
        <v>869</v>
      </c>
      <c r="B126" s="11" t="s">
        <v>870</v>
      </c>
      <c r="C126" s="11"/>
      <c r="D126" s="11" t="s">
        <v>91</v>
      </c>
      <c r="E126" s="11" t="s">
        <v>92</v>
      </c>
      <c r="F126" s="11" t="s">
        <v>871</v>
      </c>
      <c r="G126" s="11" t="s">
        <v>872</v>
      </c>
      <c r="H126" s="11" t="s">
        <v>94</v>
      </c>
      <c r="I126" s="11" t="s">
        <v>121</v>
      </c>
      <c r="J126" s="11" t="s">
        <v>131</v>
      </c>
      <c r="K126" s="11"/>
      <c r="L126" s="11" t="s">
        <v>873</v>
      </c>
      <c r="M126" s="11" t="s">
        <v>99</v>
      </c>
      <c r="N126" s="11" t="s">
        <v>100</v>
      </c>
      <c r="O126" s="11" t="s">
        <v>101</v>
      </c>
      <c r="P126" s="11" t="s">
        <v>102</v>
      </c>
      <c r="Q126" s="12">
        <v>113.605645</v>
      </c>
      <c r="R126" s="13">
        <v>23.122790999999999</v>
      </c>
      <c r="S126" s="11" t="s">
        <v>874</v>
      </c>
      <c r="T126" s="11"/>
      <c r="U126" s="11" t="s">
        <v>104</v>
      </c>
      <c r="V126" s="11" t="s">
        <v>105</v>
      </c>
      <c r="W126" s="11" t="s">
        <v>106</v>
      </c>
      <c r="X126" s="11"/>
      <c r="Y126" s="11"/>
      <c r="Z126" s="11"/>
      <c r="AA126" s="12">
        <v>125</v>
      </c>
      <c r="AB126" s="12"/>
      <c r="AC126" s="11" t="s">
        <v>244</v>
      </c>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row>
    <row r="127" spans="1:56" ht="70" x14ac:dyDescent="0.25">
      <c r="A127" s="11" t="s">
        <v>875</v>
      </c>
      <c r="B127" s="11" t="s">
        <v>876</v>
      </c>
      <c r="C127" s="11"/>
      <c r="D127" s="11" t="s">
        <v>91</v>
      </c>
      <c r="E127" s="11" t="s">
        <v>92</v>
      </c>
      <c r="F127" s="11" t="s">
        <v>877</v>
      </c>
      <c r="G127" s="11" t="s">
        <v>878</v>
      </c>
      <c r="H127" s="11" t="s">
        <v>94</v>
      </c>
      <c r="I127" s="11" t="s">
        <v>121</v>
      </c>
      <c r="J127" s="11" t="s">
        <v>131</v>
      </c>
      <c r="K127" s="11"/>
      <c r="L127" s="11" t="s">
        <v>879</v>
      </c>
      <c r="M127" s="11" t="s">
        <v>99</v>
      </c>
      <c r="N127" s="11" t="s">
        <v>100</v>
      </c>
      <c r="O127" s="11" t="s">
        <v>101</v>
      </c>
      <c r="P127" s="11" t="s">
        <v>102</v>
      </c>
      <c r="Q127" s="12">
        <v>113.577235</v>
      </c>
      <c r="R127" s="13">
        <v>23.125914000000002</v>
      </c>
      <c r="S127" s="11" t="s">
        <v>880</v>
      </c>
      <c r="T127" s="11"/>
      <c r="U127" s="11" t="s">
        <v>104</v>
      </c>
      <c r="V127" s="11" t="s">
        <v>105</v>
      </c>
      <c r="W127" s="11" t="s">
        <v>106</v>
      </c>
      <c r="X127" s="11"/>
      <c r="Y127" s="11"/>
      <c r="Z127" s="11"/>
      <c r="AA127" s="12">
        <v>126</v>
      </c>
      <c r="AB127" s="12"/>
      <c r="AC127" s="11" t="s">
        <v>244</v>
      </c>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row>
    <row r="128" spans="1:56" ht="56" x14ac:dyDescent="0.25">
      <c r="A128" s="11" t="s">
        <v>881</v>
      </c>
      <c r="B128" s="11" t="s">
        <v>882</v>
      </c>
      <c r="C128" s="11"/>
      <c r="D128" s="11" t="s">
        <v>91</v>
      </c>
      <c r="E128" s="11" t="s">
        <v>92</v>
      </c>
      <c r="F128" s="11" t="s">
        <v>883</v>
      </c>
      <c r="G128" s="11" t="s">
        <v>884</v>
      </c>
      <c r="H128" s="11" t="s">
        <v>94</v>
      </c>
      <c r="I128" s="11" t="s">
        <v>121</v>
      </c>
      <c r="J128" s="11" t="s">
        <v>131</v>
      </c>
      <c r="K128" s="11"/>
      <c r="L128" s="11" t="s">
        <v>885</v>
      </c>
      <c r="M128" s="11" t="s">
        <v>99</v>
      </c>
      <c r="N128" s="11" t="s">
        <v>100</v>
      </c>
      <c r="O128" s="11" t="s">
        <v>101</v>
      </c>
      <c r="P128" s="11" t="s">
        <v>102</v>
      </c>
      <c r="Q128" s="12">
        <v>113.61241800000001</v>
      </c>
      <c r="R128" s="13">
        <v>23.126076999999999</v>
      </c>
      <c r="S128" s="11" t="s">
        <v>886</v>
      </c>
      <c r="T128" s="11"/>
      <c r="U128" s="11" t="s">
        <v>104</v>
      </c>
      <c r="V128" s="11" t="s">
        <v>105</v>
      </c>
      <c r="W128" s="11" t="s">
        <v>106</v>
      </c>
      <c r="X128" s="11"/>
      <c r="Y128" s="11"/>
      <c r="Z128" s="11"/>
      <c r="AA128" s="12">
        <v>127</v>
      </c>
      <c r="AB128" s="12"/>
      <c r="AC128" s="11" t="s">
        <v>244</v>
      </c>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row>
    <row r="129" spans="1:56" ht="56" x14ac:dyDescent="0.25">
      <c r="A129" s="11" t="s">
        <v>887</v>
      </c>
      <c r="B129" s="11" t="s">
        <v>888</v>
      </c>
      <c r="C129" s="11"/>
      <c r="D129" s="11" t="s">
        <v>91</v>
      </c>
      <c r="E129" s="11" t="s">
        <v>92</v>
      </c>
      <c r="F129" s="11" t="s">
        <v>877</v>
      </c>
      <c r="G129" s="11" t="s">
        <v>878</v>
      </c>
      <c r="H129" s="11" t="s">
        <v>94</v>
      </c>
      <c r="I129" s="11" t="s">
        <v>121</v>
      </c>
      <c r="J129" s="11" t="s">
        <v>131</v>
      </c>
      <c r="K129" s="11"/>
      <c r="L129" s="11" t="s">
        <v>889</v>
      </c>
      <c r="M129" s="11" t="s">
        <v>99</v>
      </c>
      <c r="N129" s="11" t="s">
        <v>100</v>
      </c>
      <c r="O129" s="11" t="s">
        <v>101</v>
      </c>
      <c r="P129" s="11" t="s">
        <v>102</v>
      </c>
      <c r="Q129" s="12">
        <v>113.600166</v>
      </c>
      <c r="R129" s="13">
        <v>23.125364000000001</v>
      </c>
      <c r="S129" s="11" t="s">
        <v>890</v>
      </c>
      <c r="T129" s="11"/>
      <c r="U129" s="11" t="s">
        <v>104</v>
      </c>
      <c r="V129" s="11" t="s">
        <v>105</v>
      </c>
      <c r="W129" s="11" t="s">
        <v>106</v>
      </c>
      <c r="X129" s="11"/>
      <c r="Y129" s="11"/>
      <c r="Z129" s="11"/>
      <c r="AA129" s="12">
        <v>128</v>
      </c>
      <c r="AB129" s="12"/>
      <c r="AC129" s="11" t="s">
        <v>244</v>
      </c>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row>
    <row r="130" spans="1:56" ht="56" x14ac:dyDescent="0.25">
      <c r="A130" s="11" t="s">
        <v>891</v>
      </c>
      <c r="B130" s="11" t="s">
        <v>892</v>
      </c>
      <c r="C130" s="11"/>
      <c r="D130" s="11" t="s">
        <v>91</v>
      </c>
      <c r="E130" s="11" t="s">
        <v>92</v>
      </c>
      <c r="F130" s="11" t="s">
        <v>893</v>
      </c>
      <c r="G130" s="11" t="s">
        <v>894</v>
      </c>
      <c r="H130" s="11" t="s">
        <v>94</v>
      </c>
      <c r="I130" s="11" t="s">
        <v>121</v>
      </c>
      <c r="J130" s="11" t="s">
        <v>131</v>
      </c>
      <c r="K130" s="11"/>
      <c r="L130" s="11" t="s">
        <v>895</v>
      </c>
      <c r="M130" s="11" t="s">
        <v>99</v>
      </c>
      <c r="N130" s="11" t="s">
        <v>100</v>
      </c>
      <c r="O130" s="11" t="s">
        <v>101</v>
      </c>
      <c r="P130" s="11" t="s">
        <v>102</v>
      </c>
      <c r="Q130" s="12">
        <v>113.65786</v>
      </c>
      <c r="R130" s="13">
        <v>23.165185000000001</v>
      </c>
      <c r="S130" s="11" t="s">
        <v>896</v>
      </c>
      <c r="T130" s="11"/>
      <c r="U130" s="11" t="s">
        <v>104</v>
      </c>
      <c r="V130" s="11" t="s">
        <v>105</v>
      </c>
      <c r="W130" s="11" t="s">
        <v>106</v>
      </c>
      <c r="X130" s="11"/>
      <c r="Y130" s="11"/>
      <c r="Z130" s="11"/>
      <c r="AA130" s="12">
        <v>129</v>
      </c>
      <c r="AB130" s="12"/>
      <c r="AC130" s="11" t="s">
        <v>244</v>
      </c>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row>
    <row r="131" spans="1:56" ht="56" x14ac:dyDescent="0.25">
      <c r="A131" s="11" t="s">
        <v>897</v>
      </c>
      <c r="B131" s="11" t="s">
        <v>898</v>
      </c>
      <c r="C131" s="11"/>
      <c r="D131" s="11" t="s">
        <v>91</v>
      </c>
      <c r="E131" s="11" t="s">
        <v>92</v>
      </c>
      <c r="F131" s="11" t="s">
        <v>899</v>
      </c>
      <c r="G131" s="11" t="s">
        <v>900</v>
      </c>
      <c r="H131" s="11" t="s">
        <v>94</v>
      </c>
      <c r="I131" s="11" t="s">
        <v>121</v>
      </c>
      <c r="J131" s="11" t="s">
        <v>131</v>
      </c>
      <c r="K131" s="11"/>
      <c r="L131" s="11" t="s">
        <v>901</v>
      </c>
      <c r="M131" s="11" t="s">
        <v>99</v>
      </c>
      <c r="N131" s="11" t="s">
        <v>100</v>
      </c>
      <c r="O131" s="11" t="s">
        <v>101</v>
      </c>
      <c r="P131" s="11" t="s">
        <v>102</v>
      </c>
      <c r="Q131" s="12">
        <v>113.59433199999999</v>
      </c>
      <c r="R131" s="13">
        <v>23.153161999999998</v>
      </c>
      <c r="S131" s="11" t="s">
        <v>902</v>
      </c>
      <c r="T131" s="11"/>
      <c r="U131" s="11" t="s">
        <v>104</v>
      </c>
      <c r="V131" s="11" t="s">
        <v>105</v>
      </c>
      <c r="W131" s="11" t="s">
        <v>106</v>
      </c>
      <c r="X131" s="11"/>
      <c r="Y131" s="11"/>
      <c r="Z131" s="11"/>
      <c r="AA131" s="12">
        <v>130</v>
      </c>
      <c r="AB131" s="12"/>
      <c r="AC131" s="11" t="s">
        <v>244</v>
      </c>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row>
    <row r="132" spans="1:56" ht="56" x14ac:dyDescent="0.25">
      <c r="A132" s="11" t="s">
        <v>903</v>
      </c>
      <c r="B132" s="11" t="s">
        <v>904</v>
      </c>
      <c r="C132" s="11"/>
      <c r="D132" s="11" t="s">
        <v>91</v>
      </c>
      <c r="E132" s="11" t="s">
        <v>92</v>
      </c>
      <c r="F132" s="11" t="s">
        <v>905</v>
      </c>
      <c r="G132" s="11" t="s">
        <v>906</v>
      </c>
      <c r="H132" s="11" t="s">
        <v>94</v>
      </c>
      <c r="I132" s="11" t="s">
        <v>121</v>
      </c>
      <c r="J132" s="11" t="s">
        <v>131</v>
      </c>
      <c r="K132" s="11"/>
      <c r="L132" s="11" t="s">
        <v>907</v>
      </c>
      <c r="M132" s="11" t="s">
        <v>99</v>
      </c>
      <c r="N132" s="11" t="s">
        <v>100</v>
      </c>
      <c r="O132" s="11" t="s">
        <v>101</v>
      </c>
      <c r="P132" s="11" t="s">
        <v>102</v>
      </c>
      <c r="Q132" s="12">
        <v>113.614976</v>
      </c>
      <c r="R132" s="13">
        <v>23.117131000000001</v>
      </c>
      <c r="S132" s="11" t="s">
        <v>908</v>
      </c>
      <c r="T132" s="11"/>
      <c r="U132" s="11" t="s">
        <v>104</v>
      </c>
      <c r="V132" s="11" t="s">
        <v>105</v>
      </c>
      <c r="W132" s="11" t="s">
        <v>106</v>
      </c>
      <c r="X132" s="11"/>
      <c r="Y132" s="11"/>
      <c r="Z132" s="11"/>
      <c r="AA132" s="12">
        <v>131</v>
      </c>
      <c r="AB132" s="12"/>
      <c r="AC132" s="11" t="s">
        <v>244</v>
      </c>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row>
    <row r="133" spans="1:56" ht="56" x14ac:dyDescent="0.25">
      <c r="A133" s="11" t="s">
        <v>909</v>
      </c>
      <c r="B133" s="11" t="s">
        <v>910</v>
      </c>
      <c r="C133" s="11"/>
      <c r="D133" s="11" t="s">
        <v>91</v>
      </c>
      <c r="E133" s="11" t="s">
        <v>92</v>
      </c>
      <c r="F133" s="11" t="s">
        <v>911</v>
      </c>
      <c r="G133" s="11" t="s">
        <v>912</v>
      </c>
      <c r="H133" s="11" t="s">
        <v>94</v>
      </c>
      <c r="I133" s="11" t="s">
        <v>121</v>
      </c>
      <c r="J133" s="11" t="s">
        <v>131</v>
      </c>
      <c r="K133" s="11"/>
      <c r="L133" s="11" t="s">
        <v>913</v>
      </c>
      <c r="M133" s="11" t="s">
        <v>99</v>
      </c>
      <c r="N133" s="11" t="s">
        <v>100</v>
      </c>
      <c r="O133" s="11" t="s">
        <v>101</v>
      </c>
      <c r="P133" s="11" t="s">
        <v>102</v>
      </c>
      <c r="Q133" s="12">
        <v>113.607136</v>
      </c>
      <c r="R133" s="13">
        <v>23.123425000000001</v>
      </c>
      <c r="S133" s="11" t="s">
        <v>914</v>
      </c>
      <c r="T133" s="11"/>
      <c r="U133" s="11" t="s">
        <v>104</v>
      </c>
      <c r="V133" s="11" t="s">
        <v>105</v>
      </c>
      <c r="W133" s="11" t="s">
        <v>106</v>
      </c>
      <c r="X133" s="11"/>
      <c r="Y133" s="11"/>
      <c r="Z133" s="11"/>
      <c r="AA133" s="12">
        <v>132</v>
      </c>
      <c r="AB133" s="12"/>
      <c r="AC133" s="11" t="s">
        <v>244</v>
      </c>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row>
    <row r="134" spans="1:56" ht="56" x14ac:dyDescent="0.25">
      <c r="A134" s="11" t="s">
        <v>915</v>
      </c>
      <c r="B134" s="11" t="s">
        <v>916</v>
      </c>
      <c r="C134" s="11"/>
      <c r="D134" s="11" t="s">
        <v>91</v>
      </c>
      <c r="E134" s="11" t="s">
        <v>92</v>
      </c>
      <c r="F134" s="11" t="s">
        <v>917</v>
      </c>
      <c r="G134" s="11" t="s">
        <v>918</v>
      </c>
      <c r="H134" s="11" t="s">
        <v>94</v>
      </c>
      <c r="I134" s="11" t="s">
        <v>112</v>
      </c>
      <c r="J134" s="11" t="s">
        <v>112</v>
      </c>
      <c r="K134" s="11" t="s">
        <v>919</v>
      </c>
      <c r="L134" s="11" t="s">
        <v>920</v>
      </c>
      <c r="M134" s="11" t="s">
        <v>99</v>
      </c>
      <c r="N134" s="11" t="s">
        <v>100</v>
      </c>
      <c r="O134" s="11" t="s">
        <v>101</v>
      </c>
      <c r="P134" s="11" t="s">
        <v>102</v>
      </c>
      <c r="Q134" s="12">
        <v>113.721605</v>
      </c>
      <c r="R134" s="13">
        <v>23.134864</v>
      </c>
      <c r="S134" s="11" t="s">
        <v>921</v>
      </c>
      <c r="T134" s="11"/>
      <c r="U134" s="11" t="s">
        <v>104</v>
      </c>
      <c r="V134" s="11" t="s">
        <v>105</v>
      </c>
      <c r="W134" s="11" t="s">
        <v>106</v>
      </c>
      <c r="X134" s="11"/>
      <c r="Y134" s="11"/>
      <c r="Z134" s="11"/>
      <c r="AA134" s="12">
        <v>133</v>
      </c>
      <c r="AB134" s="12"/>
      <c r="AC134" s="11" t="s">
        <v>244</v>
      </c>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row>
    <row r="135" spans="1:56" ht="56" x14ac:dyDescent="0.25">
      <c r="A135" s="11" t="s">
        <v>922</v>
      </c>
      <c r="B135" s="11" t="s">
        <v>923</v>
      </c>
      <c r="C135" s="11"/>
      <c r="D135" s="11" t="s">
        <v>91</v>
      </c>
      <c r="E135" s="11" t="s">
        <v>92</v>
      </c>
      <c r="F135" s="11" t="s">
        <v>924</v>
      </c>
      <c r="G135" s="11" t="s">
        <v>925</v>
      </c>
      <c r="H135" s="11" t="s">
        <v>94</v>
      </c>
      <c r="I135" s="11" t="s">
        <v>121</v>
      </c>
      <c r="J135" s="11" t="s">
        <v>131</v>
      </c>
      <c r="K135" s="11"/>
      <c r="L135" s="11" t="s">
        <v>926</v>
      </c>
      <c r="M135" s="11" t="s">
        <v>99</v>
      </c>
      <c r="N135" s="11" t="s">
        <v>100</v>
      </c>
      <c r="O135" s="11" t="s">
        <v>101</v>
      </c>
      <c r="P135" s="11" t="s">
        <v>102</v>
      </c>
      <c r="Q135" s="12">
        <v>113.555165</v>
      </c>
      <c r="R135" s="13">
        <v>23.109385</v>
      </c>
      <c r="S135" s="11" t="s">
        <v>927</v>
      </c>
      <c r="T135" s="11"/>
      <c r="U135" s="11" t="s">
        <v>104</v>
      </c>
      <c r="V135" s="11" t="s">
        <v>105</v>
      </c>
      <c r="W135" s="11" t="s">
        <v>106</v>
      </c>
      <c r="X135" s="11"/>
      <c r="Y135" s="11"/>
      <c r="Z135" s="11"/>
      <c r="AA135" s="12">
        <v>134</v>
      </c>
      <c r="AB135" s="12"/>
      <c r="AC135" s="11" t="s">
        <v>107</v>
      </c>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row>
    <row r="136" spans="1:56" ht="56" x14ac:dyDescent="0.25">
      <c r="A136" s="11" t="s">
        <v>928</v>
      </c>
      <c r="B136" s="11" t="s">
        <v>929</v>
      </c>
      <c r="C136" s="11"/>
      <c r="D136" s="11" t="s">
        <v>91</v>
      </c>
      <c r="E136" s="11" t="s">
        <v>92</v>
      </c>
      <c r="F136" s="11" t="s">
        <v>930</v>
      </c>
      <c r="G136" s="11" t="s">
        <v>931</v>
      </c>
      <c r="H136" s="11" t="s">
        <v>94</v>
      </c>
      <c r="I136" s="11" t="s">
        <v>121</v>
      </c>
      <c r="J136" s="11" t="s">
        <v>131</v>
      </c>
      <c r="K136" s="11"/>
      <c r="L136" s="11" t="s">
        <v>932</v>
      </c>
      <c r="M136" s="11" t="s">
        <v>99</v>
      </c>
      <c r="N136" s="11" t="s">
        <v>100</v>
      </c>
      <c r="O136" s="11" t="s">
        <v>101</v>
      </c>
      <c r="P136" s="11" t="s">
        <v>102</v>
      </c>
      <c r="Q136" s="12">
        <v>113.638747</v>
      </c>
      <c r="R136" s="13">
        <v>23.120394999999998</v>
      </c>
      <c r="S136" s="11" t="s">
        <v>933</v>
      </c>
      <c r="T136" s="11"/>
      <c r="U136" s="11" t="s">
        <v>104</v>
      </c>
      <c r="V136" s="11" t="s">
        <v>105</v>
      </c>
      <c r="W136" s="11" t="s">
        <v>106</v>
      </c>
      <c r="X136" s="11"/>
      <c r="Y136" s="11"/>
      <c r="Z136" s="11"/>
      <c r="AA136" s="12">
        <v>135</v>
      </c>
      <c r="AB136" s="12"/>
      <c r="AC136" s="11" t="s">
        <v>107</v>
      </c>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row>
    <row r="137" spans="1:56" ht="70" x14ac:dyDescent="0.25">
      <c r="A137" s="11" t="s">
        <v>934</v>
      </c>
      <c r="B137" s="11" t="s">
        <v>935</v>
      </c>
      <c r="C137" s="11"/>
      <c r="D137" s="11" t="s">
        <v>91</v>
      </c>
      <c r="E137" s="11" t="s">
        <v>92</v>
      </c>
      <c r="F137" s="11" t="s">
        <v>936</v>
      </c>
      <c r="G137" s="11" t="s">
        <v>937</v>
      </c>
      <c r="H137" s="11" t="s">
        <v>94</v>
      </c>
      <c r="I137" s="11" t="s">
        <v>121</v>
      </c>
      <c r="J137" s="11" t="s">
        <v>131</v>
      </c>
      <c r="K137" s="11"/>
      <c r="L137" s="11" t="s">
        <v>938</v>
      </c>
      <c r="M137" s="11" t="s">
        <v>99</v>
      </c>
      <c r="N137" s="11" t="s">
        <v>100</v>
      </c>
      <c r="O137" s="11" t="s">
        <v>101</v>
      </c>
      <c r="P137" s="11" t="s">
        <v>102</v>
      </c>
      <c r="Q137" s="12">
        <v>113.604158</v>
      </c>
      <c r="R137" s="13">
        <v>23.116536</v>
      </c>
      <c r="S137" s="11" t="s">
        <v>939</v>
      </c>
      <c r="T137" s="11"/>
      <c r="U137" s="11" t="s">
        <v>104</v>
      </c>
      <c r="V137" s="11" t="s">
        <v>105</v>
      </c>
      <c r="W137" s="11" t="s">
        <v>106</v>
      </c>
      <c r="X137" s="11"/>
      <c r="Y137" s="11"/>
      <c r="Z137" s="11"/>
      <c r="AA137" s="12">
        <v>136</v>
      </c>
      <c r="AB137" s="12"/>
      <c r="AC137" s="11" t="s">
        <v>244</v>
      </c>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row>
    <row r="138" spans="1:56" ht="56" x14ac:dyDescent="0.25">
      <c r="A138" s="11" t="s">
        <v>940</v>
      </c>
      <c r="B138" s="11" t="s">
        <v>941</v>
      </c>
      <c r="C138" s="11"/>
      <c r="D138" s="11" t="s">
        <v>91</v>
      </c>
      <c r="E138" s="11" t="s">
        <v>92</v>
      </c>
      <c r="F138" s="11" t="s">
        <v>936</v>
      </c>
      <c r="G138" s="11" t="s">
        <v>937</v>
      </c>
      <c r="H138" s="11" t="s">
        <v>94</v>
      </c>
      <c r="I138" s="11" t="s">
        <v>121</v>
      </c>
      <c r="J138" s="11" t="s">
        <v>131</v>
      </c>
      <c r="K138" s="11"/>
      <c r="L138" s="11" t="s">
        <v>942</v>
      </c>
      <c r="M138" s="11" t="s">
        <v>99</v>
      </c>
      <c r="N138" s="11" t="s">
        <v>100</v>
      </c>
      <c r="O138" s="11" t="s">
        <v>101</v>
      </c>
      <c r="P138" s="11" t="s">
        <v>102</v>
      </c>
      <c r="Q138" s="12">
        <v>113.59430500000001</v>
      </c>
      <c r="R138" s="13">
        <v>23.115894000000001</v>
      </c>
      <c r="S138" s="11" t="s">
        <v>943</v>
      </c>
      <c r="T138" s="11"/>
      <c r="U138" s="11" t="s">
        <v>104</v>
      </c>
      <c r="V138" s="11" t="s">
        <v>105</v>
      </c>
      <c r="W138" s="11" t="s">
        <v>106</v>
      </c>
      <c r="X138" s="11"/>
      <c r="Y138" s="11"/>
      <c r="Z138" s="11"/>
      <c r="AA138" s="12">
        <v>137</v>
      </c>
      <c r="AB138" s="12"/>
      <c r="AC138" s="11" t="s">
        <v>107</v>
      </c>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row>
    <row r="139" spans="1:56" ht="56" x14ac:dyDescent="0.25">
      <c r="A139" s="11" t="s">
        <v>944</v>
      </c>
      <c r="B139" s="11" t="s">
        <v>945</v>
      </c>
      <c r="C139" s="11"/>
      <c r="D139" s="11" t="s">
        <v>91</v>
      </c>
      <c r="E139" s="11" t="s">
        <v>92</v>
      </c>
      <c r="F139" s="11" t="s">
        <v>946</v>
      </c>
      <c r="G139" s="11" t="s">
        <v>947</v>
      </c>
      <c r="H139" s="11" t="s">
        <v>94</v>
      </c>
      <c r="I139" s="11" t="s">
        <v>121</v>
      </c>
      <c r="J139" s="11" t="s">
        <v>131</v>
      </c>
      <c r="K139" s="11"/>
      <c r="L139" s="11" t="s">
        <v>948</v>
      </c>
      <c r="M139" s="11" t="s">
        <v>99</v>
      </c>
      <c r="N139" s="11" t="s">
        <v>100</v>
      </c>
      <c r="O139" s="11" t="s">
        <v>101</v>
      </c>
      <c r="P139" s="11" t="s">
        <v>102</v>
      </c>
      <c r="Q139" s="12">
        <v>113.639077</v>
      </c>
      <c r="R139" s="13">
        <v>23.164021000000002</v>
      </c>
      <c r="S139" s="11" t="s">
        <v>949</v>
      </c>
      <c r="T139" s="11"/>
      <c r="U139" s="11" t="s">
        <v>104</v>
      </c>
      <c r="V139" s="11" t="s">
        <v>105</v>
      </c>
      <c r="W139" s="11" t="s">
        <v>106</v>
      </c>
      <c r="X139" s="11"/>
      <c r="Y139" s="11"/>
      <c r="Z139" s="11"/>
      <c r="AA139" s="12">
        <v>138</v>
      </c>
      <c r="AB139" s="12"/>
      <c r="AC139" s="11" t="s">
        <v>107</v>
      </c>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row>
    <row r="140" spans="1:56" ht="56" x14ac:dyDescent="0.25">
      <c r="A140" s="11" t="s">
        <v>950</v>
      </c>
      <c r="B140" s="11" t="s">
        <v>951</v>
      </c>
      <c r="C140" s="11"/>
      <c r="D140" s="11" t="s">
        <v>91</v>
      </c>
      <c r="E140" s="11" t="s">
        <v>92</v>
      </c>
      <c r="F140" s="11" t="s">
        <v>952</v>
      </c>
      <c r="G140" s="11" t="s">
        <v>953</v>
      </c>
      <c r="H140" s="11" t="s">
        <v>94</v>
      </c>
      <c r="I140" s="11" t="s">
        <v>121</v>
      </c>
      <c r="J140" s="11" t="s">
        <v>131</v>
      </c>
      <c r="K140" s="11"/>
      <c r="L140" s="11" t="s">
        <v>954</v>
      </c>
      <c r="M140" s="11" t="s">
        <v>99</v>
      </c>
      <c r="N140" s="11" t="s">
        <v>100</v>
      </c>
      <c r="O140" s="11" t="s">
        <v>101</v>
      </c>
      <c r="P140" s="11" t="s">
        <v>102</v>
      </c>
      <c r="Q140" s="12">
        <v>113.553539</v>
      </c>
      <c r="R140" s="13">
        <v>23.104333</v>
      </c>
      <c r="S140" s="11" t="s">
        <v>955</v>
      </c>
      <c r="T140" s="11"/>
      <c r="U140" s="11" t="s">
        <v>104</v>
      </c>
      <c r="V140" s="11" t="s">
        <v>105</v>
      </c>
      <c r="W140" s="11" t="s">
        <v>106</v>
      </c>
      <c r="X140" s="11"/>
      <c r="Y140" s="11"/>
      <c r="Z140" s="11"/>
      <c r="AA140" s="12">
        <v>139</v>
      </c>
      <c r="AB140" s="12"/>
      <c r="AC140" s="11" t="s">
        <v>244</v>
      </c>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row>
    <row r="141" spans="1:56" ht="56" x14ac:dyDescent="0.25">
      <c r="A141" s="11" t="s">
        <v>956</v>
      </c>
      <c r="B141" s="11" t="s">
        <v>957</v>
      </c>
      <c r="C141" s="11"/>
      <c r="D141" s="11" t="s">
        <v>91</v>
      </c>
      <c r="E141" s="11" t="s">
        <v>92</v>
      </c>
      <c r="F141" s="11" t="s">
        <v>958</v>
      </c>
      <c r="G141" s="11" t="s">
        <v>959</v>
      </c>
      <c r="H141" s="11" t="s">
        <v>94</v>
      </c>
      <c r="I141" s="11" t="s">
        <v>121</v>
      </c>
      <c r="J141" s="11" t="s">
        <v>131</v>
      </c>
      <c r="K141" s="11"/>
      <c r="L141" s="11" t="s">
        <v>960</v>
      </c>
      <c r="M141" s="11" t="s">
        <v>99</v>
      </c>
      <c r="N141" s="11" t="s">
        <v>100</v>
      </c>
      <c r="O141" s="11" t="s">
        <v>101</v>
      </c>
      <c r="P141" s="11" t="s">
        <v>102</v>
      </c>
      <c r="Q141" s="12">
        <v>113.607071</v>
      </c>
      <c r="R141" s="13">
        <v>23.123681000000001</v>
      </c>
      <c r="S141" s="11" t="s">
        <v>961</v>
      </c>
      <c r="T141" s="11"/>
      <c r="U141" s="11" t="s">
        <v>104</v>
      </c>
      <c r="V141" s="11" t="s">
        <v>105</v>
      </c>
      <c r="W141" s="11" t="s">
        <v>106</v>
      </c>
      <c r="X141" s="11"/>
      <c r="Y141" s="11"/>
      <c r="Z141" s="11"/>
      <c r="AA141" s="12">
        <v>140</v>
      </c>
      <c r="AB141" s="12"/>
      <c r="AC141" s="11" t="s">
        <v>107</v>
      </c>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row>
    <row r="142" spans="1:56" ht="56" x14ac:dyDescent="0.25">
      <c r="A142" s="11" t="s">
        <v>962</v>
      </c>
      <c r="B142" s="11" t="s">
        <v>963</v>
      </c>
      <c r="C142" s="11"/>
      <c r="D142" s="11" t="s">
        <v>91</v>
      </c>
      <c r="E142" s="11" t="s">
        <v>92</v>
      </c>
      <c r="F142" s="11" t="s">
        <v>601</v>
      </c>
      <c r="G142" s="11" t="s">
        <v>964</v>
      </c>
      <c r="H142" s="11" t="s">
        <v>94</v>
      </c>
      <c r="I142" s="11" t="s">
        <v>121</v>
      </c>
      <c r="J142" s="11" t="s">
        <v>131</v>
      </c>
      <c r="K142" s="11"/>
      <c r="L142" s="11" t="s">
        <v>965</v>
      </c>
      <c r="M142" s="11" t="s">
        <v>99</v>
      </c>
      <c r="N142" s="11" t="s">
        <v>100</v>
      </c>
      <c r="O142" s="11" t="s">
        <v>101</v>
      </c>
      <c r="P142" s="11" t="s">
        <v>102</v>
      </c>
      <c r="Q142" s="12" t="s">
        <v>103</v>
      </c>
      <c r="R142" s="13" t="s">
        <v>103</v>
      </c>
      <c r="S142" s="11" t="s">
        <v>966</v>
      </c>
      <c r="T142" s="11"/>
      <c r="U142" s="11" t="s">
        <v>104</v>
      </c>
      <c r="V142" s="11" t="s">
        <v>105</v>
      </c>
      <c r="W142" s="11" t="s">
        <v>106</v>
      </c>
      <c r="X142" s="11"/>
      <c r="Y142" s="11"/>
      <c r="Z142" s="11"/>
      <c r="AA142" s="12">
        <v>141</v>
      </c>
      <c r="AB142" s="12"/>
      <c r="AC142" s="11" t="s">
        <v>107</v>
      </c>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row>
    <row r="143" spans="1:56" ht="56" x14ac:dyDescent="0.25">
      <c r="A143" s="11" t="s">
        <v>967</v>
      </c>
      <c r="B143" s="11" t="s">
        <v>968</v>
      </c>
      <c r="C143" s="11"/>
      <c r="D143" s="11" t="s">
        <v>91</v>
      </c>
      <c r="E143" s="11" t="s">
        <v>92</v>
      </c>
      <c r="F143" s="11" t="s">
        <v>969</v>
      </c>
      <c r="G143" s="11" t="s">
        <v>970</v>
      </c>
      <c r="H143" s="11" t="s">
        <v>94</v>
      </c>
      <c r="I143" s="11" t="s">
        <v>121</v>
      </c>
      <c r="J143" s="11" t="s">
        <v>971</v>
      </c>
      <c r="K143" s="11"/>
      <c r="L143" s="11" t="s">
        <v>972</v>
      </c>
      <c r="M143" s="11" t="s">
        <v>99</v>
      </c>
      <c r="N143" s="11" t="s">
        <v>100</v>
      </c>
      <c r="O143" s="11" t="s">
        <v>101</v>
      </c>
      <c r="P143" s="11" t="s">
        <v>102</v>
      </c>
      <c r="Q143" s="12">
        <v>113.320256</v>
      </c>
      <c r="R143" s="13">
        <v>23.266143</v>
      </c>
      <c r="S143" s="11" t="s">
        <v>973</v>
      </c>
      <c r="T143" s="11"/>
      <c r="U143" s="11" t="s">
        <v>104</v>
      </c>
      <c r="V143" s="11" t="s">
        <v>105</v>
      </c>
      <c r="W143" s="11" t="s">
        <v>106</v>
      </c>
      <c r="X143" s="11"/>
      <c r="Y143" s="11"/>
      <c r="Z143" s="11"/>
      <c r="AA143" s="12">
        <v>142</v>
      </c>
      <c r="AB143" s="12"/>
      <c r="AC143" s="11" t="s">
        <v>244</v>
      </c>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row>
    <row r="144" spans="1:56" ht="56" x14ac:dyDescent="0.25">
      <c r="A144" s="11" t="s">
        <v>974</v>
      </c>
      <c r="B144" s="11" t="s">
        <v>975</v>
      </c>
      <c r="C144" s="11"/>
      <c r="D144" s="11" t="s">
        <v>91</v>
      </c>
      <c r="E144" s="11" t="s">
        <v>92</v>
      </c>
      <c r="F144" s="11" t="s">
        <v>976</v>
      </c>
      <c r="G144" s="11" t="s">
        <v>977</v>
      </c>
      <c r="H144" s="11" t="s">
        <v>94</v>
      </c>
      <c r="I144" s="11" t="s">
        <v>121</v>
      </c>
      <c r="J144" s="11" t="s">
        <v>971</v>
      </c>
      <c r="K144" s="11"/>
      <c r="L144" s="11" t="s">
        <v>978</v>
      </c>
      <c r="M144" s="11" t="s">
        <v>99</v>
      </c>
      <c r="N144" s="11" t="s">
        <v>100</v>
      </c>
      <c r="O144" s="11" t="s">
        <v>101</v>
      </c>
      <c r="P144" s="11" t="s">
        <v>102</v>
      </c>
      <c r="Q144" s="12">
        <v>113.266126</v>
      </c>
      <c r="R144" s="13">
        <v>23.214497000000001</v>
      </c>
      <c r="S144" s="11" t="s">
        <v>979</v>
      </c>
      <c r="T144" s="11"/>
      <c r="U144" s="11" t="s">
        <v>104</v>
      </c>
      <c r="V144" s="11" t="s">
        <v>105</v>
      </c>
      <c r="W144" s="11" t="s">
        <v>106</v>
      </c>
      <c r="X144" s="11"/>
      <c r="Y144" s="11"/>
      <c r="Z144" s="11"/>
      <c r="AA144" s="12">
        <v>143</v>
      </c>
      <c r="AB144" s="12"/>
      <c r="AC144" s="11" t="s">
        <v>244</v>
      </c>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row>
    <row r="145" spans="1:56" ht="70" x14ac:dyDescent="0.25">
      <c r="A145" s="11" t="s">
        <v>980</v>
      </c>
      <c r="B145" s="11" t="s">
        <v>981</v>
      </c>
      <c r="C145" s="11"/>
      <c r="D145" s="11" t="s">
        <v>91</v>
      </c>
      <c r="E145" s="11" t="s">
        <v>92</v>
      </c>
      <c r="F145" s="11" t="s">
        <v>982</v>
      </c>
      <c r="G145" s="11" t="s">
        <v>983</v>
      </c>
      <c r="H145" s="11" t="s">
        <v>94</v>
      </c>
      <c r="I145" s="11" t="s">
        <v>121</v>
      </c>
      <c r="J145" s="11" t="s">
        <v>971</v>
      </c>
      <c r="K145" s="11"/>
      <c r="L145" s="11" t="s">
        <v>984</v>
      </c>
      <c r="M145" s="11" t="s">
        <v>99</v>
      </c>
      <c r="N145" s="11" t="s">
        <v>100</v>
      </c>
      <c r="O145" s="11" t="s">
        <v>101</v>
      </c>
      <c r="P145" s="11" t="s">
        <v>102</v>
      </c>
      <c r="Q145" s="12">
        <v>113.25251900000001</v>
      </c>
      <c r="R145" s="13">
        <v>23.214368</v>
      </c>
      <c r="S145" s="11" t="s">
        <v>985</v>
      </c>
      <c r="T145" s="11"/>
      <c r="U145" s="11" t="s">
        <v>104</v>
      </c>
      <c r="V145" s="11" t="s">
        <v>105</v>
      </c>
      <c r="W145" s="11" t="s">
        <v>106</v>
      </c>
      <c r="X145" s="11"/>
      <c r="Y145" s="11"/>
      <c r="Z145" s="11"/>
      <c r="AA145" s="12">
        <v>144</v>
      </c>
      <c r="AB145" s="12"/>
      <c r="AC145" s="11" t="s">
        <v>244</v>
      </c>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row>
    <row r="146" spans="1:56" ht="56" x14ac:dyDescent="0.25">
      <c r="A146" s="11" t="s">
        <v>986</v>
      </c>
      <c r="B146" s="11" t="s">
        <v>987</v>
      </c>
      <c r="C146" s="11"/>
      <c r="D146" s="11" t="s">
        <v>91</v>
      </c>
      <c r="E146" s="11" t="s">
        <v>92</v>
      </c>
      <c r="F146" s="11" t="s">
        <v>988</v>
      </c>
      <c r="G146" s="11" t="s">
        <v>989</v>
      </c>
      <c r="H146" s="11" t="s">
        <v>94</v>
      </c>
      <c r="I146" s="11" t="s">
        <v>121</v>
      </c>
      <c r="J146" s="11" t="s">
        <v>971</v>
      </c>
      <c r="K146" s="11"/>
      <c r="L146" s="11" t="s">
        <v>990</v>
      </c>
      <c r="M146" s="11" t="s">
        <v>99</v>
      </c>
      <c r="N146" s="11" t="s">
        <v>100</v>
      </c>
      <c r="O146" s="11" t="s">
        <v>101</v>
      </c>
      <c r="P146" s="11" t="s">
        <v>102</v>
      </c>
      <c r="Q146" s="12">
        <v>113.278749</v>
      </c>
      <c r="R146" s="13">
        <v>23.241811999999999</v>
      </c>
      <c r="S146" s="11" t="s">
        <v>991</v>
      </c>
      <c r="T146" s="11"/>
      <c r="U146" s="11" t="s">
        <v>104</v>
      </c>
      <c r="V146" s="11" t="s">
        <v>105</v>
      </c>
      <c r="W146" s="11" t="s">
        <v>106</v>
      </c>
      <c r="X146" s="11"/>
      <c r="Y146" s="11"/>
      <c r="Z146" s="11"/>
      <c r="AA146" s="12">
        <v>145</v>
      </c>
      <c r="AB146" s="12"/>
      <c r="AC146" s="11" t="s">
        <v>244</v>
      </c>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row>
    <row r="147" spans="1:56" ht="56" x14ac:dyDescent="0.25">
      <c r="A147" s="11" t="s">
        <v>992</v>
      </c>
      <c r="B147" s="11" t="s">
        <v>993</v>
      </c>
      <c r="C147" s="11"/>
      <c r="D147" s="11" t="s">
        <v>91</v>
      </c>
      <c r="E147" s="11" t="s">
        <v>92</v>
      </c>
      <c r="F147" s="11" t="s">
        <v>994</v>
      </c>
      <c r="G147" s="11" t="s">
        <v>995</v>
      </c>
      <c r="H147" s="11" t="s">
        <v>94</v>
      </c>
      <c r="I147" s="11" t="s">
        <v>121</v>
      </c>
      <c r="J147" s="11" t="s">
        <v>971</v>
      </c>
      <c r="K147" s="11"/>
      <c r="L147" s="11" t="s">
        <v>996</v>
      </c>
      <c r="M147" s="11" t="s">
        <v>99</v>
      </c>
      <c r="N147" s="11" t="s">
        <v>100</v>
      </c>
      <c r="O147" s="11" t="s">
        <v>101</v>
      </c>
      <c r="P147" s="11" t="s">
        <v>102</v>
      </c>
      <c r="Q147" s="12">
        <v>113.354322</v>
      </c>
      <c r="R147" s="13">
        <v>23.297350999999999</v>
      </c>
      <c r="S147" s="11" t="s">
        <v>997</v>
      </c>
      <c r="T147" s="11"/>
      <c r="U147" s="11" t="s">
        <v>104</v>
      </c>
      <c r="V147" s="11" t="s">
        <v>105</v>
      </c>
      <c r="W147" s="11" t="s">
        <v>106</v>
      </c>
      <c r="X147" s="11"/>
      <c r="Y147" s="11"/>
      <c r="Z147" s="11"/>
      <c r="AA147" s="12">
        <v>146</v>
      </c>
      <c r="AB147" s="12"/>
      <c r="AC147" s="11" t="s">
        <v>244</v>
      </c>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row>
    <row r="148" spans="1:56" ht="56" x14ac:dyDescent="0.25">
      <c r="A148" s="11" t="s">
        <v>998</v>
      </c>
      <c r="B148" s="11" t="s">
        <v>999</v>
      </c>
      <c r="C148" s="11"/>
      <c r="D148" s="11" t="s">
        <v>91</v>
      </c>
      <c r="E148" s="11" t="s">
        <v>92</v>
      </c>
      <c r="F148" s="11" t="s">
        <v>1000</v>
      </c>
      <c r="G148" s="11" t="s">
        <v>1001</v>
      </c>
      <c r="H148" s="11" t="s">
        <v>94</v>
      </c>
      <c r="I148" s="11" t="s">
        <v>121</v>
      </c>
      <c r="J148" s="11" t="s">
        <v>971</v>
      </c>
      <c r="K148" s="11"/>
      <c r="L148" s="11" t="s">
        <v>1002</v>
      </c>
      <c r="M148" s="11" t="s">
        <v>99</v>
      </c>
      <c r="N148" s="11" t="s">
        <v>100</v>
      </c>
      <c r="O148" s="11" t="s">
        <v>101</v>
      </c>
      <c r="P148" s="11" t="s">
        <v>102</v>
      </c>
      <c r="Q148" s="12">
        <v>113.34034</v>
      </c>
      <c r="R148" s="13">
        <v>23.190275</v>
      </c>
      <c r="S148" s="11" t="s">
        <v>1003</v>
      </c>
      <c r="T148" s="11"/>
      <c r="U148" s="11" t="s">
        <v>104</v>
      </c>
      <c r="V148" s="11" t="s">
        <v>105</v>
      </c>
      <c r="W148" s="11" t="s">
        <v>106</v>
      </c>
      <c r="X148" s="11"/>
      <c r="Y148" s="11"/>
      <c r="Z148" s="11"/>
      <c r="AA148" s="12">
        <v>147</v>
      </c>
      <c r="AB148" s="12"/>
      <c r="AC148" s="11" t="s">
        <v>244</v>
      </c>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row>
    <row r="149" spans="1:56" ht="70" x14ac:dyDescent="0.25">
      <c r="A149" s="11" t="s">
        <v>1004</v>
      </c>
      <c r="B149" s="11" t="s">
        <v>1005</v>
      </c>
      <c r="C149" s="11"/>
      <c r="D149" s="11" t="s">
        <v>91</v>
      </c>
      <c r="E149" s="11" t="s">
        <v>92</v>
      </c>
      <c r="F149" s="11" t="s">
        <v>1006</v>
      </c>
      <c r="G149" s="11" t="s">
        <v>1007</v>
      </c>
      <c r="H149" s="11" t="s">
        <v>94</v>
      </c>
      <c r="I149" s="11" t="s">
        <v>121</v>
      </c>
      <c r="J149" s="11" t="s">
        <v>971</v>
      </c>
      <c r="K149" s="11"/>
      <c r="L149" s="11" t="s">
        <v>1008</v>
      </c>
      <c r="M149" s="11" t="s">
        <v>99</v>
      </c>
      <c r="N149" s="11" t="s">
        <v>100</v>
      </c>
      <c r="O149" s="11" t="s">
        <v>101</v>
      </c>
      <c r="P149" s="11" t="s">
        <v>102</v>
      </c>
      <c r="Q149" s="12">
        <v>113.34996700000001</v>
      </c>
      <c r="R149" s="13">
        <v>23.246369000000001</v>
      </c>
      <c r="S149" s="11" t="s">
        <v>1009</v>
      </c>
      <c r="T149" s="11"/>
      <c r="U149" s="11" t="s">
        <v>104</v>
      </c>
      <c r="V149" s="11" t="s">
        <v>105</v>
      </c>
      <c r="W149" s="11" t="s">
        <v>106</v>
      </c>
      <c r="X149" s="11"/>
      <c r="Y149" s="11"/>
      <c r="Z149" s="11"/>
      <c r="AA149" s="12">
        <v>148</v>
      </c>
      <c r="AB149" s="12"/>
      <c r="AC149" s="11" t="s">
        <v>244</v>
      </c>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row>
    <row r="150" spans="1:56" ht="70" x14ac:dyDescent="0.25">
      <c r="A150" s="11" t="s">
        <v>1010</v>
      </c>
      <c r="B150" s="11" t="s">
        <v>1011</v>
      </c>
      <c r="C150" s="11"/>
      <c r="D150" s="11" t="s">
        <v>91</v>
      </c>
      <c r="E150" s="11" t="s">
        <v>92</v>
      </c>
      <c r="F150" s="11" t="s">
        <v>1012</v>
      </c>
      <c r="G150" s="11" t="s">
        <v>1013</v>
      </c>
      <c r="H150" s="11" t="s">
        <v>94</v>
      </c>
      <c r="I150" s="11" t="s">
        <v>121</v>
      </c>
      <c r="J150" s="11" t="s">
        <v>971</v>
      </c>
      <c r="K150" s="11"/>
      <c r="L150" s="11" t="s">
        <v>1014</v>
      </c>
      <c r="M150" s="11" t="s">
        <v>99</v>
      </c>
      <c r="N150" s="11" t="s">
        <v>100</v>
      </c>
      <c r="O150" s="11" t="s">
        <v>101</v>
      </c>
      <c r="P150" s="11" t="s">
        <v>102</v>
      </c>
      <c r="Q150" s="12">
        <v>113.296165</v>
      </c>
      <c r="R150" s="13">
        <v>23.26512</v>
      </c>
      <c r="S150" s="11" t="s">
        <v>1015</v>
      </c>
      <c r="T150" s="11"/>
      <c r="U150" s="11" t="s">
        <v>104</v>
      </c>
      <c r="V150" s="11" t="s">
        <v>105</v>
      </c>
      <c r="W150" s="11" t="s">
        <v>106</v>
      </c>
      <c r="X150" s="11"/>
      <c r="Y150" s="11"/>
      <c r="Z150" s="11"/>
      <c r="AA150" s="12">
        <v>149</v>
      </c>
      <c r="AB150" s="12"/>
      <c r="AC150" s="11" t="s">
        <v>244</v>
      </c>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row>
    <row r="151" spans="1:56" ht="56" x14ac:dyDescent="0.25">
      <c r="A151" s="11" t="s">
        <v>1016</v>
      </c>
      <c r="B151" s="11" t="s">
        <v>1017</v>
      </c>
      <c r="C151" s="11"/>
      <c r="D151" s="11" t="s">
        <v>91</v>
      </c>
      <c r="E151" s="11" t="s">
        <v>92</v>
      </c>
      <c r="F151" s="11" t="s">
        <v>1018</v>
      </c>
      <c r="G151" s="11" t="s">
        <v>1019</v>
      </c>
      <c r="H151" s="11" t="s">
        <v>94</v>
      </c>
      <c r="I151" s="11" t="s">
        <v>121</v>
      </c>
      <c r="J151" s="11" t="s">
        <v>971</v>
      </c>
      <c r="K151" s="11"/>
      <c r="L151" s="11" t="s">
        <v>1020</v>
      </c>
      <c r="M151" s="11" t="s">
        <v>99</v>
      </c>
      <c r="N151" s="11" t="s">
        <v>100</v>
      </c>
      <c r="O151" s="11" t="s">
        <v>101</v>
      </c>
      <c r="P151" s="11" t="s">
        <v>102</v>
      </c>
      <c r="Q151" s="12">
        <v>113.22842900000001</v>
      </c>
      <c r="R151" s="13">
        <v>23.210871000000001</v>
      </c>
      <c r="S151" s="11" t="s">
        <v>1021</v>
      </c>
      <c r="T151" s="11"/>
      <c r="U151" s="11" t="s">
        <v>104</v>
      </c>
      <c r="V151" s="11" t="s">
        <v>105</v>
      </c>
      <c r="W151" s="11" t="s">
        <v>106</v>
      </c>
      <c r="X151" s="11"/>
      <c r="Y151" s="11"/>
      <c r="Z151" s="11"/>
      <c r="AA151" s="12">
        <v>150</v>
      </c>
      <c r="AB151" s="12"/>
      <c r="AC151" s="11" t="s">
        <v>107</v>
      </c>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row>
    <row r="152" spans="1:56" ht="70" x14ac:dyDescent="0.25">
      <c r="A152" s="11" t="s">
        <v>1022</v>
      </c>
      <c r="B152" s="11" t="s">
        <v>1023</v>
      </c>
      <c r="C152" s="11"/>
      <c r="D152" s="11" t="s">
        <v>91</v>
      </c>
      <c r="E152" s="11" t="s">
        <v>92</v>
      </c>
      <c r="F152" s="11" t="s">
        <v>1024</v>
      </c>
      <c r="G152" s="11" t="s">
        <v>1025</v>
      </c>
      <c r="H152" s="11" t="s">
        <v>94</v>
      </c>
      <c r="I152" s="11" t="s">
        <v>95</v>
      </c>
      <c r="J152" s="11" t="s">
        <v>96</v>
      </c>
      <c r="K152" s="11"/>
      <c r="L152" s="11" t="s">
        <v>1026</v>
      </c>
      <c r="M152" s="11" t="s">
        <v>99</v>
      </c>
      <c r="N152" s="11" t="s">
        <v>100</v>
      </c>
      <c r="O152" s="11" t="s">
        <v>101</v>
      </c>
      <c r="P152" s="11" t="s">
        <v>102</v>
      </c>
      <c r="Q152" s="12">
        <v>113.19294600000001</v>
      </c>
      <c r="R152" s="13">
        <v>23.109887000000001</v>
      </c>
      <c r="S152" s="11" t="s">
        <v>1027</v>
      </c>
      <c r="T152" s="11"/>
      <c r="U152" s="11" t="s">
        <v>104</v>
      </c>
      <c r="V152" s="11" t="s">
        <v>105</v>
      </c>
      <c r="W152" s="11" t="s">
        <v>106</v>
      </c>
      <c r="X152" s="11"/>
      <c r="Y152" s="11"/>
      <c r="Z152" s="11"/>
      <c r="AA152" s="12">
        <v>151</v>
      </c>
      <c r="AB152" s="12"/>
      <c r="AC152" s="11" t="s">
        <v>244</v>
      </c>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row>
    <row r="153" spans="1:56" ht="70" x14ac:dyDescent="0.25">
      <c r="A153" s="11" t="s">
        <v>1028</v>
      </c>
      <c r="B153" s="11" t="s">
        <v>1029</v>
      </c>
      <c r="C153" s="11"/>
      <c r="D153" s="11" t="s">
        <v>91</v>
      </c>
      <c r="E153" s="11" t="s">
        <v>92</v>
      </c>
      <c r="F153" s="11" t="s">
        <v>1030</v>
      </c>
      <c r="G153" s="11" t="s">
        <v>1031</v>
      </c>
      <c r="H153" s="11" t="s">
        <v>94</v>
      </c>
      <c r="I153" s="11" t="s">
        <v>95</v>
      </c>
      <c r="J153" s="11" t="s">
        <v>96</v>
      </c>
      <c r="K153" s="11"/>
      <c r="L153" s="11" t="s">
        <v>1032</v>
      </c>
      <c r="M153" s="11" t="s">
        <v>99</v>
      </c>
      <c r="N153" s="11" t="s">
        <v>100</v>
      </c>
      <c r="O153" s="11" t="s">
        <v>101</v>
      </c>
      <c r="P153" s="11" t="s">
        <v>102</v>
      </c>
      <c r="Q153" s="12">
        <v>113.19301</v>
      </c>
      <c r="R153" s="13">
        <v>23.111304000000001</v>
      </c>
      <c r="S153" s="11" t="s">
        <v>1033</v>
      </c>
      <c r="T153" s="11"/>
      <c r="U153" s="11" t="s">
        <v>104</v>
      </c>
      <c r="V153" s="11" t="s">
        <v>105</v>
      </c>
      <c r="W153" s="11" t="s">
        <v>106</v>
      </c>
      <c r="X153" s="11"/>
      <c r="Y153" s="11"/>
      <c r="Z153" s="11"/>
      <c r="AA153" s="12">
        <v>152</v>
      </c>
      <c r="AB153" s="12"/>
      <c r="AC153" s="11" t="s">
        <v>244</v>
      </c>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row>
    <row r="154" spans="1:56" ht="70" x14ac:dyDescent="0.25">
      <c r="A154" s="11" t="s">
        <v>1034</v>
      </c>
      <c r="B154" s="11" t="s">
        <v>1035</v>
      </c>
      <c r="C154" s="11"/>
      <c r="D154" s="11" t="s">
        <v>91</v>
      </c>
      <c r="E154" s="11" t="s">
        <v>92</v>
      </c>
      <c r="F154" s="11" t="s">
        <v>1036</v>
      </c>
      <c r="G154" s="11" t="s">
        <v>1037</v>
      </c>
      <c r="H154" s="11" t="s">
        <v>94</v>
      </c>
      <c r="I154" s="11" t="s">
        <v>95</v>
      </c>
      <c r="J154" s="11" t="s">
        <v>96</v>
      </c>
      <c r="K154" s="11"/>
      <c r="L154" s="11" t="s">
        <v>1038</v>
      </c>
      <c r="M154" s="11" t="s">
        <v>99</v>
      </c>
      <c r="N154" s="11" t="s">
        <v>100</v>
      </c>
      <c r="O154" s="11" t="s">
        <v>101</v>
      </c>
      <c r="P154" s="11" t="s">
        <v>102</v>
      </c>
      <c r="Q154" s="12">
        <v>113.144543</v>
      </c>
      <c r="R154" s="13">
        <v>23.234086999999999</v>
      </c>
      <c r="S154" s="11" t="s">
        <v>1039</v>
      </c>
      <c r="T154" s="11"/>
      <c r="U154" s="11" t="s">
        <v>104</v>
      </c>
      <c r="V154" s="11" t="s">
        <v>105</v>
      </c>
      <c r="W154" s="11" t="s">
        <v>106</v>
      </c>
      <c r="X154" s="11"/>
      <c r="Y154" s="11"/>
      <c r="Z154" s="11"/>
      <c r="AA154" s="12">
        <v>153</v>
      </c>
      <c r="AB154" s="12"/>
      <c r="AC154" s="11" t="s">
        <v>244</v>
      </c>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row>
    <row r="155" spans="1:56" ht="84" x14ac:dyDescent="0.25">
      <c r="A155" s="11" t="s">
        <v>1040</v>
      </c>
      <c r="B155" s="11" t="s">
        <v>1041</v>
      </c>
      <c r="C155" s="11"/>
      <c r="D155" s="11" t="s">
        <v>91</v>
      </c>
      <c r="E155" s="11" t="s">
        <v>92</v>
      </c>
      <c r="F155" s="11" t="s">
        <v>1042</v>
      </c>
      <c r="G155" s="11" t="s">
        <v>1043</v>
      </c>
      <c r="H155" s="11" t="s">
        <v>94</v>
      </c>
      <c r="I155" s="11" t="s">
        <v>95</v>
      </c>
      <c r="J155" s="11" t="s">
        <v>96</v>
      </c>
      <c r="K155" s="11"/>
      <c r="L155" s="11" t="s">
        <v>1044</v>
      </c>
      <c r="M155" s="11" t="s">
        <v>99</v>
      </c>
      <c r="N155" s="11" t="s">
        <v>100</v>
      </c>
      <c r="O155" s="11" t="s">
        <v>101</v>
      </c>
      <c r="P155" s="11" t="s">
        <v>102</v>
      </c>
      <c r="Q155" s="12">
        <v>113.19294600000001</v>
      </c>
      <c r="R155" s="13">
        <v>23.109887000000001</v>
      </c>
      <c r="S155" s="11" t="s">
        <v>1045</v>
      </c>
      <c r="T155" s="11"/>
      <c r="U155" s="11" t="s">
        <v>104</v>
      </c>
      <c r="V155" s="11" t="s">
        <v>105</v>
      </c>
      <c r="W155" s="11" t="s">
        <v>106</v>
      </c>
      <c r="X155" s="11"/>
      <c r="Y155" s="11"/>
      <c r="Z155" s="11"/>
      <c r="AA155" s="12">
        <v>154</v>
      </c>
      <c r="AB155" s="12"/>
      <c r="AC155" s="11" t="s">
        <v>244</v>
      </c>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row>
    <row r="156" spans="1:56" ht="56" x14ac:dyDescent="0.25">
      <c r="A156" s="11" t="s">
        <v>1046</v>
      </c>
      <c r="B156" s="11" t="s">
        <v>1047</v>
      </c>
      <c r="C156" s="11"/>
      <c r="D156" s="11" t="s">
        <v>91</v>
      </c>
      <c r="E156" s="11" t="s">
        <v>92</v>
      </c>
      <c r="F156" s="11" t="s">
        <v>1048</v>
      </c>
      <c r="G156" s="11" t="s">
        <v>1049</v>
      </c>
      <c r="H156" s="11" t="s">
        <v>94</v>
      </c>
      <c r="I156" s="11" t="s">
        <v>95</v>
      </c>
      <c r="J156" s="11" t="s">
        <v>96</v>
      </c>
      <c r="K156" s="11"/>
      <c r="L156" s="11" t="s">
        <v>1050</v>
      </c>
      <c r="M156" s="11" t="s">
        <v>99</v>
      </c>
      <c r="N156" s="11" t="s">
        <v>100</v>
      </c>
      <c r="O156" s="11" t="s">
        <v>101</v>
      </c>
      <c r="P156" s="11" t="s">
        <v>102</v>
      </c>
      <c r="Q156" s="12">
        <v>113.162859</v>
      </c>
      <c r="R156" s="13">
        <v>23.082381999999999</v>
      </c>
      <c r="S156" s="11" t="s">
        <v>1051</v>
      </c>
      <c r="T156" s="11"/>
      <c r="U156" s="11" t="s">
        <v>104</v>
      </c>
      <c r="V156" s="11" t="s">
        <v>105</v>
      </c>
      <c r="W156" s="11" t="s">
        <v>106</v>
      </c>
      <c r="X156" s="11"/>
      <c r="Y156" s="11"/>
      <c r="Z156" s="11"/>
      <c r="AA156" s="12">
        <v>155</v>
      </c>
      <c r="AB156" s="12"/>
      <c r="AC156" s="11" t="s">
        <v>244</v>
      </c>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row>
    <row r="157" spans="1:56" ht="70" x14ac:dyDescent="0.25">
      <c r="A157" s="11" t="s">
        <v>1052</v>
      </c>
      <c r="B157" s="11" t="s">
        <v>1053</v>
      </c>
      <c r="C157" s="11"/>
      <c r="D157" s="11" t="s">
        <v>91</v>
      </c>
      <c r="E157" s="11" t="s">
        <v>92</v>
      </c>
      <c r="F157" s="11" t="s">
        <v>1054</v>
      </c>
      <c r="G157" s="11" t="s">
        <v>1055</v>
      </c>
      <c r="H157" s="11" t="s">
        <v>94</v>
      </c>
      <c r="I157" s="11" t="s">
        <v>95</v>
      </c>
      <c r="J157" s="11" t="s">
        <v>1056</v>
      </c>
      <c r="K157" s="11"/>
      <c r="L157" s="11" t="s">
        <v>1057</v>
      </c>
      <c r="M157" s="11" t="s">
        <v>99</v>
      </c>
      <c r="N157" s="11" t="s">
        <v>100</v>
      </c>
      <c r="O157" s="11" t="s">
        <v>101</v>
      </c>
      <c r="P157" s="11" t="s">
        <v>102</v>
      </c>
      <c r="Q157" s="12">
        <v>112.862049</v>
      </c>
      <c r="R157" s="13">
        <v>23.162355000000002</v>
      </c>
      <c r="S157" s="11" t="s">
        <v>1058</v>
      </c>
      <c r="T157" s="11"/>
      <c r="U157" s="11" t="s">
        <v>104</v>
      </c>
      <c r="V157" s="11" t="s">
        <v>105</v>
      </c>
      <c r="W157" s="11" t="s">
        <v>106</v>
      </c>
      <c r="X157" s="11"/>
      <c r="Y157" s="11"/>
      <c r="Z157" s="11"/>
      <c r="AA157" s="12">
        <v>156</v>
      </c>
      <c r="AB157" s="12"/>
      <c r="AC157" s="11" t="s">
        <v>244</v>
      </c>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row>
    <row r="158" spans="1:56" ht="56" x14ac:dyDescent="0.25">
      <c r="A158" s="11" t="s">
        <v>1059</v>
      </c>
      <c r="B158" s="11" t="s">
        <v>1060</v>
      </c>
      <c r="C158" s="11"/>
      <c r="D158" s="11" t="s">
        <v>91</v>
      </c>
      <c r="E158" s="11" t="s">
        <v>92</v>
      </c>
      <c r="F158" s="11" t="s">
        <v>1061</v>
      </c>
      <c r="G158" s="11" t="s">
        <v>1062</v>
      </c>
      <c r="H158" s="11" t="s">
        <v>94</v>
      </c>
      <c r="I158" s="11" t="s">
        <v>95</v>
      </c>
      <c r="J158" s="11" t="s">
        <v>96</v>
      </c>
      <c r="K158" s="11"/>
      <c r="L158" s="11" t="s">
        <v>1063</v>
      </c>
      <c r="M158" s="11" t="s">
        <v>99</v>
      </c>
      <c r="N158" s="11" t="s">
        <v>100</v>
      </c>
      <c r="O158" s="11" t="s">
        <v>101</v>
      </c>
      <c r="P158" s="11" t="s">
        <v>102</v>
      </c>
      <c r="Q158" s="12">
        <v>112.99138499999999</v>
      </c>
      <c r="R158" s="13">
        <v>23.115542999999999</v>
      </c>
      <c r="S158" s="11" t="s">
        <v>1064</v>
      </c>
      <c r="T158" s="11"/>
      <c r="U158" s="11" t="s">
        <v>104</v>
      </c>
      <c r="V158" s="11" t="s">
        <v>105</v>
      </c>
      <c r="W158" s="11" t="s">
        <v>106</v>
      </c>
      <c r="X158" s="11"/>
      <c r="Y158" s="11"/>
      <c r="Z158" s="11"/>
      <c r="AA158" s="12">
        <v>157</v>
      </c>
      <c r="AB158" s="12"/>
      <c r="AC158" s="11" t="s">
        <v>244</v>
      </c>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row>
    <row r="159" spans="1:56" ht="56" x14ac:dyDescent="0.25">
      <c r="A159" s="11" t="s">
        <v>1065</v>
      </c>
      <c r="B159" s="11" t="s">
        <v>1066</v>
      </c>
      <c r="C159" s="11"/>
      <c r="D159" s="11" t="s">
        <v>91</v>
      </c>
      <c r="E159" s="11" t="s">
        <v>92</v>
      </c>
      <c r="F159" s="11" t="s">
        <v>1067</v>
      </c>
      <c r="G159" s="11" t="s">
        <v>1068</v>
      </c>
      <c r="H159" s="11" t="s">
        <v>94</v>
      </c>
      <c r="I159" s="11" t="s">
        <v>95</v>
      </c>
      <c r="J159" s="11" t="s">
        <v>1056</v>
      </c>
      <c r="K159" s="11"/>
      <c r="L159" s="11" t="s">
        <v>1069</v>
      </c>
      <c r="M159" s="11" t="s">
        <v>99</v>
      </c>
      <c r="N159" s="11" t="s">
        <v>100</v>
      </c>
      <c r="O159" s="11" t="s">
        <v>101</v>
      </c>
      <c r="P159" s="11" t="s">
        <v>102</v>
      </c>
      <c r="Q159" s="12">
        <v>112.87829600000001</v>
      </c>
      <c r="R159" s="13">
        <v>23.164679</v>
      </c>
      <c r="S159" s="11" t="s">
        <v>1070</v>
      </c>
      <c r="T159" s="11"/>
      <c r="U159" s="11" t="s">
        <v>104</v>
      </c>
      <c r="V159" s="11" t="s">
        <v>105</v>
      </c>
      <c r="W159" s="11" t="s">
        <v>106</v>
      </c>
      <c r="X159" s="11"/>
      <c r="Y159" s="11"/>
      <c r="Z159" s="11"/>
      <c r="AA159" s="12">
        <v>158</v>
      </c>
      <c r="AB159" s="12"/>
      <c r="AC159" s="11" t="s">
        <v>244</v>
      </c>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row>
    <row r="160" spans="1:56" ht="70" x14ac:dyDescent="0.25">
      <c r="A160" s="11" t="s">
        <v>1071</v>
      </c>
      <c r="B160" s="11" t="s">
        <v>1072</v>
      </c>
      <c r="C160" s="11"/>
      <c r="D160" s="11" t="s">
        <v>91</v>
      </c>
      <c r="E160" s="11" t="s">
        <v>92</v>
      </c>
      <c r="F160" s="11" t="s">
        <v>1073</v>
      </c>
      <c r="G160" s="11" t="s">
        <v>1074</v>
      </c>
      <c r="H160" s="11" t="s">
        <v>94</v>
      </c>
      <c r="I160" s="11" t="s">
        <v>95</v>
      </c>
      <c r="J160" s="11" t="s">
        <v>1056</v>
      </c>
      <c r="K160" s="11"/>
      <c r="L160" s="11" t="s">
        <v>1075</v>
      </c>
      <c r="M160" s="11" t="s">
        <v>99</v>
      </c>
      <c r="N160" s="11" t="s">
        <v>100</v>
      </c>
      <c r="O160" s="11" t="s">
        <v>101</v>
      </c>
      <c r="P160" s="11" t="s">
        <v>102</v>
      </c>
      <c r="Q160" s="12">
        <v>112.866657</v>
      </c>
      <c r="R160" s="13">
        <v>23.165969</v>
      </c>
      <c r="S160" s="11" t="s">
        <v>1076</v>
      </c>
      <c r="T160" s="11"/>
      <c r="U160" s="11" t="s">
        <v>104</v>
      </c>
      <c r="V160" s="11" t="s">
        <v>105</v>
      </c>
      <c r="W160" s="11" t="s">
        <v>106</v>
      </c>
      <c r="X160" s="11"/>
      <c r="Y160" s="11"/>
      <c r="Z160" s="11"/>
      <c r="AA160" s="12">
        <v>159</v>
      </c>
      <c r="AB160" s="12"/>
      <c r="AC160" s="11" t="s">
        <v>244</v>
      </c>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row>
    <row r="161" spans="1:56" ht="70" x14ac:dyDescent="0.25">
      <c r="A161" s="11" t="s">
        <v>1077</v>
      </c>
      <c r="B161" s="11" t="s">
        <v>1078</v>
      </c>
      <c r="C161" s="11"/>
      <c r="D161" s="11" t="s">
        <v>91</v>
      </c>
      <c r="E161" s="11" t="s">
        <v>92</v>
      </c>
      <c r="F161" s="11" t="s">
        <v>1079</v>
      </c>
      <c r="G161" s="11" t="s">
        <v>1080</v>
      </c>
      <c r="H161" s="11" t="s">
        <v>94</v>
      </c>
      <c r="I161" s="11" t="s">
        <v>95</v>
      </c>
      <c r="J161" s="11" t="s">
        <v>96</v>
      </c>
      <c r="K161" s="11"/>
      <c r="L161" s="11" t="s">
        <v>1081</v>
      </c>
      <c r="M161" s="11" t="s">
        <v>99</v>
      </c>
      <c r="N161" s="11" t="s">
        <v>100</v>
      </c>
      <c r="O161" s="11" t="s">
        <v>101</v>
      </c>
      <c r="P161" s="11" t="s">
        <v>102</v>
      </c>
      <c r="Q161" s="12">
        <v>112.922247</v>
      </c>
      <c r="R161" s="13">
        <v>23.108466</v>
      </c>
      <c r="S161" s="11" t="s">
        <v>1082</v>
      </c>
      <c r="T161" s="11"/>
      <c r="U161" s="11" t="s">
        <v>104</v>
      </c>
      <c r="V161" s="11" t="s">
        <v>105</v>
      </c>
      <c r="W161" s="11" t="s">
        <v>106</v>
      </c>
      <c r="X161" s="11"/>
      <c r="Y161" s="11"/>
      <c r="Z161" s="11"/>
      <c r="AA161" s="12">
        <v>160</v>
      </c>
      <c r="AB161" s="12"/>
      <c r="AC161" s="11" t="s">
        <v>244</v>
      </c>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row>
    <row r="162" spans="1:56" ht="84" x14ac:dyDescent="0.25">
      <c r="A162" s="11" t="s">
        <v>1083</v>
      </c>
      <c r="B162" s="11" t="s">
        <v>1084</v>
      </c>
      <c r="C162" s="11"/>
      <c r="D162" s="11" t="s">
        <v>91</v>
      </c>
      <c r="E162" s="11" t="s">
        <v>92</v>
      </c>
      <c r="F162" s="11" t="s">
        <v>1085</v>
      </c>
      <c r="G162" s="11" t="s">
        <v>1086</v>
      </c>
      <c r="H162" s="11" t="s">
        <v>94</v>
      </c>
      <c r="I162" s="11" t="s">
        <v>95</v>
      </c>
      <c r="J162" s="11" t="s">
        <v>1087</v>
      </c>
      <c r="K162" s="11"/>
      <c r="L162" s="11" t="s">
        <v>1088</v>
      </c>
      <c r="M162" s="11" t="s">
        <v>99</v>
      </c>
      <c r="N162" s="11" t="s">
        <v>100</v>
      </c>
      <c r="O162" s="11" t="s">
        <v>101</v>
      </c>
      <c r="P162" s="11" t="s">
        <v>102</v>
      </c>
      <c r="Q162" s="12">
        <v>113.15175600000001</v>
      </c>
      <c r="R162" s="13">
        <v>22.989387000000001</v>
      </c>
      <c r="S162" s="11" t="s">
        <v>1089</v>
      </c>
      <c r="T162" s="11"/>
      <c r="U162" s="11" t="s">
        <v>104</v>
      </c>
      <c r="V162" s="11" t="s">
        <v>105</v>
      </c>
      <c r="W162" s="11" t="s">
        <v>106</v>
      </c>
      <c r="X162" s="11"/>
      <c r="Y162" s="11"/>
      <c r="Z162" s="11"/>
      <c r="AA162" s="12">
        <v>161</v>
      </c>
      <c r="AB162" s="12"/>
      <c r="AC162" s="11" t="s">
        <v>244</v>
      </c>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row>
    <row r="163" spans="1:56" ht="70" x14ac:dyDescent="0.25">
      <c r="A163" s="11" t="s">
        <v>1090</v>
      </c>
      <c r="B163" s="11" t="s">
        <v>1091</v>
      </c>
      <c r="C163" s="11"/>
      <c r="D163" s="11" t="s">
        <v>91</v>
      </c>
      <c r="E163" s="11" t="s">
        <v>92</v>
      </c>
      <c r="F163" s="11" t="s">
        <v>1092</v>
      </c>
      <c r="G163" s="11" t="s">
        <v>1093</v>
      </c>
      <c r="H163" s="11" t="s">
        <v>94</v>
      </c>
      <c r="I163" s="11" t="s">
        <v>121</v>
      </c>
      <c r="J163" s="11" t="s">
        <v>737</v>
      </c>
      <c r="K163" s="11"/>
      <c r="L163" s="11" t="s">
        <v>1094</v>
      </c>
      <c r="M163" s="11" t="s">
        <v>99</v>
      </c>
      <c r="N163" s="11" t="s">
        <v>100</v>
      </c>
      <c r="O163" s="11" t="s">
        <v>101</v>
      </c>
      <c r="P163" s="11" t="s">
        <v>102</v>
      </c>
      <c r="Q163" s="12">
        <v>113.326185</v>
      </c>
      <c r="R163" s="13">
        <v>23.022565</v>
      </c>
      <c r="S163" s="11" t="s">
        <v>1095</v>
      </c>
      <c r="T163" s="11"/>
      <c r="U163" s="11" t="s">
        <v>104</v>
      </c>
      <c r="V163" s="11" t="s">
        <v>105</v>
      </c>
      <c r="W163" s="11" t="s">
        <v>106</v>
      </c>
      <c r="X163" s="11"/>
      <c r="Y163" s="11"/>
      <c r="Z163" s="11"/>
      <c r="AA163" s="12">
        <v>162</v>
      </c>
      <c r="AB163" s="12"/>
      <c r="AC163" s="11" t="s">
        <v>107</v>
      </c>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row>
    <row r="164" spans="1:56" ht="56" x14ac:dyDescent="0.25">
      <c r="A164" s="11" t="s">
        <v>1096</v>
      </c>
      <c r="B164" s="11" t="s">
        <v>1097</v>
      </c>
      <c r="C164" s="11"/>
      <c r="D164" s="11" t="s">
        <v>91</v>
      </c>
      <c r="E164" s="11" t="s">
        <v>92</v>
      </c>
      <c r="F164" s="11" t="s">
        <v>1098</v>
      </c>
      <c r="G164" s="11" t="s">
        <v>1099</v>
      </c>
      <c r="H164" s="11" t="s">
        <v>94</v>
      </c>
      <c r="I164" s="11" t="s">
        <v>121</v>
      </c>
      <c r="J164" s="11" t="s">
        <v>737</v>
      </c>
      <c r="K164" s="11"/>
      <c r="L164" s="11" t="s">
        <v>1100</v>
      </c>
      <c r="M164" s="11" t="s">
        <v>99</v>
      </c>
      <c r="N164" s="11" t="s">
        <v>100</v>
      </c>
      <c r="O164" s="11" t="s">
        <v>101</v>
      </c>
      <c r="P164" s="11" t="s">
        <v>102</v>
      </c>
      <c r="Q164" s="12">
        <v>113.40027000000001</v>
      </c>
      <c r="R164" s="13">
        <v>22.931896999999999</v>
      </c>
      <c r="S164" s="11" t="s">
        <v>1101</v>
      </c>
      <c r="T164" s="11"/>
      <c r="U164" s="11" t="s">
        <v>104</v>
      </c>
      <c r="V164" s="11" t="s">
        <v>105</v>
      </c>
      <c r="W164" s="11" t="s">
        <v>106</v>
      </c>
      <c r="X164" s="11"/>
      <c r="Y164" s="11"/>
      <c r="Z164" s="11"/>
      <c r="AA164" s="12">
        <v>163</v>
      </c>
      <c r="AB164" s="12"/>
      <c r="AC164" s="11" t="s">
        <v>107</v>
      </c>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row>
    <row r="165" spans="1:56" ht="84" x14ac:dyDescent="0.25">
      <c r="A165" s="11" t="s">
        <v>1102</v>
      </c>
      <c r="B165" s="11" t="s">
        <v>1103</v>
      </c>
      <c r="C165" s="11"/>
      <c r="D165" s="11" t="s">
        <v>91</v>
      </c>
      <c r="E165" s="11" t="s">
        <v>92</v>
      </c>
      <c r="F165" s="11" t="s">
        <v>107</v>
      </c>
      <c r="G165" s="11" t="s">
        <v>1104</v>
      </c>
      <c r="H165" s="11" t="s">
        <v>94</v>
      </c>
      <c r="I165" s="11" t="s">
        <v>121</v>
      </c>
      <c r="J165" s="11" t="s">
        <v>737</v>
      </c>
      <c r="K165" s="11"/>
      <c r="L165" s="11" t="s">
        <v>1105</v>
      </c>
      <c r="M165" s="11" t="s">
        <v>99</v>
      </c>
      <c r="N165" s="11" t="s">
        <v>100</v>
      </c>
      <c r="O165" s="11" t="s">
        <v>101</v>
      </c>
      <c r="P165" s="11" t="s">
        <v>102</v>
      </c>
      <c r="Q165" s="12">
        <v>113.30108300000001</v>
      </c>
      <c r="R165" s="13">
        <v>23.008264</v>
      </c>
      <c r="S165" s="11" t="s">
        <v>1106</v>
      </c>
      <c r="T165" s="11"/>
      <c r="U165" s="11" t="s">
        <v>104</v>
      </c>
      <c r="V165" s="11" t="s">
        <v>105</v>
      </c>
      <c r="W165" s="11" t="s">
        <v>106</v>
      </c>
      <c r="X165" s="11"/>
      <c r="Y165" s="11"/>
      <c r="Z165" s="11"/>
      <c r="AA165" s="12">
        <v>164</v>
      </c>
      <c r="AB165" s="12"/>
      <c r="AC165" s="11" t="s">
        <v>244</v>
      </c>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row>
    <row r="166" spans="1:56" ht="56" x14ac:dyDescent="0.25">
      <c r="A166" s="11" t="s">
        <v>1107</v>
      </c>
      <c r="B166" s="11" t="s">
        <v>1108</v>
      </c>
      <c r="C166" s="11"/>
      <c r="D166" s="11" t="s">
        <v>91</v>
      </c>
      <c r="E166" s="11" t="s">
        <v>92</v>
      </c>
      <c r="F166" s="11" t="s">
        <v>1109</v>
      </c>
      <c r="G166" s="11" t="s">
        <v>1110</v>
      </c>
      <c r="H166" s="11" t="s">
        <v>94</v>
      </c>
      <c r="I166" s="11" t="s">
        <v>121</v>
      </c>
      <c r="J166" s="11" t="s">
        <v>792</v>
      </c>
      <c r="K166" s="11"/>
      <c r="L166" s="11" t="s">
        <v>1111</v>
      </c>
      <c r="M166" s="11" t="s">
        <v>99</v>
      </c>
      <c r="N166" s="11" t="s">
        <v>100</v>
      </c>
      <c r="O166" s="11" t="s">
        <v>101</v>
      </c>
      <c r="P166" s="11" t="s">
        <v>102</v>
      </c>
      <c r="Q166" s="12">
        <v>113.51128199999999</v>
      </c>
      <c r="R166" s="13">
        <v>23.134255</v>
      </c>
      <c r="S166" s="11" t="s">
        <v>1112</v>
      </c>
      <c r="T166" s="11"/>
      <c r="U166" s="11" t="s">
        <v>104</v>
      </c>
      <c r="V166" s="11" t="s">
        <v>105</v>
      </c>
      <c r="W166" s="11" t="s">
        <v>106</v>
      </c>
      <c r="X166" s="11"/>
      <c r="Y166" s="11"/>
      <c r="Z166" s="11"/>
      <c r="AA166" s="12">
        <v>165</v>
      </c>
      <c r="AB166" s="12"/>
      <c r="AC166" s="11" t="s">
        <v>244</v>
      </c>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row>
    <row r="167" spans="1:56" ht="56" x14ac:dyDescent="0.25">
      <c r="A167" s="11" t="s">
        <v>1113</v>
      </c>
      <c r="B167" s="11" t="s">
        <v>1114</v>
      </c>
      <c r="C167" s="11"/>
      <c r="D167" s="11" t="s">
        <v>91</v>
      </c>
      <c r="E167" s="11" t="s">
        <v>92</v>
      </c>
      <c r="F167" s="11" t="s">
        <v>601</v>
      </c>
      <c r="G167" s="11" t="s">
        <v>1115</v>
      </c>
      <c r="H167" s="11" t="s">
        <v>94</v>
      </c>
      <c r="I167" s="11" t="s">
        <v>121</v>
      </c>
      <c r="J167" s="11" t="s">
        <v>792</v>
      </c>
      <c r="K167" s="11"/>
      <c r="L167" s="11" t="s">
        <v>1116</v>
      </c>
      <c r="M167" s="11" t="s">
        <v>99</v>
      </c>
      <c r="N167" s="11" t="s">
        <v>100</v>
      </c>
      <c r="O167" s="11" t="s">
        <v>101</v>
      </c>
      <c r="P167" s="11" t="s">
        <v>102</v>
      </c>
      <c r="Q167" s="12">
        <v>113.538887</v>
      </c>
      <c r="R167" s="13">
        <v>23.093119000000002</v>
      </c>
      <c r="S167" s="11" t="s">
        <v>1117</v>
      </c>
      <c r="T167" s="11"/>
      <c r="U167" s="11" t="s">
        <v>104</v>
      </c>
      <c r="V167" s="11" t="s">
        <v>105</v>
      </c>
      <c r="W167" s="11" t="s">
        <v>106</v>
      </c>
      <c r="X167" s="11"/>
      <c r="Y167" s="11"/>
      <c r="Z167" s="11"/>
      <c r="AA167" s="12">
        <v>166</v>
      </c>
      <c r="AB167" s="12"/>
      <c r="AC167" s="11" t="s">
        <v>244</v>
      </c>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row>
    <row r="168" spans="1:56" ht="56" x14ac:dyDescent="0.25">
      <c r="A168" s="11" t="s">
        <v>1118</v>
      </c>
      <c r="B168" s="11" t="s">
        <v>1119</v>
      </c>
      <c r="C168" s="11"/>
      <c r="D168" s="11" t="s">
        <v>91</v>
      </c>
      <c r="E168" s="11" t="s">
        <v>92</v>
      </c>
      <c r="F168" s="11" t="s">
        <v>1120</v>
      </c>
      <c r="G168" s="11" t="s">
        <v>1121</v>
      </c>
      <c r="H168" s="11" t="s">
        <v>94</v>
      </c>
      <c r="I168" s="11" t="s">
        <v>180</v>
      </c>
      <c r="J168" s="11" t="s">
        <v>181</v>
      </c>
      <c r="K168" s="11"/>
      <c r="L168" s="11" t="s">
        <v>1122</v>
      </c>
      <c r="M168" s="11" t="s">
        <v>99</v>
      </c>
      <c r="N168" s="11" t="s">
        <v>100</v>
      </c>
      <c r="O168" s="11" t="s">
        <v>101</v>
      </c>
      <c r="P168" s="11" t="s">
        <v>102</v>
      </c>
      <c r="Q168" s="12">
        <v>113.776128</v>
      </c>
      <c r="R168" s="13">
        <v>22.715578000000001</v>
      </c>
      <c r="S168" s="11" t="s">
        <v>1123</v>
      </c>
      <c r="T168" s="11"/>
      <c r="U168" s="11" t="s">
        <v>104</v>
      </c>
      <c r="V168" s="11" t="s">
        <v>105</v>
      </c>
      <c r="W168" s="11" t="s">
        <v>106</v>
      </c>
      <c r="X168" s="11"/>
      <c r="Y168" s="11"/>
      <c r="Z168" s="11"/>
      <c r="AA168" s="12">
        <v>167</v>
      </c>
      <c r="AB168" s="12"/>
      <c r="AC168" s="11" t="s">
        <v>244</v>
      </c>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row>
    <row r="169" spans="1:56" ht="56" x14ac:dyDescent="0.25">
      <c r="A169" s="11" t="s">
        <v>1124</v>
      </c>
      <c r="B169" s="11" t="s">
        <v>1125</v>
      </c>
      <c r="C169" s="11"/>
      <c r="D169" s="11" t="s">
        <v>91</v>
      </c>
      <c r="E169" s="11" t="s">
        <v>92</v>
      </c>
      <c r="F169" s="11" t="s">
        <v>537</v>
      </c>
      <c r="G169" s="11" t="s">
        <v>1126</v>
      </c>
      <c r="H169" s="11" t="s">
        <v>94</v>
      </c>
      <c r="I169" s="11" t="s">
        <v>180</v>
      </c>
      <c r="J169" s="11" t="s">
        <v>181</v>
      </c>
      <c r="K169" s="11"/>
      <c r="L169" s="11" t="s">
        <v>1127</v>
      </c>
      <c r="M169" s="11" t="s">
        <v>99</v>
      </c>
      <c r="N169" s="11" t="s">
        <v>100</v>
      </c>
      <c r="O169" s="11" t="s">
        <v>101</v>
      </c>
      <c r="P169" s="11" t="s">
        <v>102</v>
      </c>
      <c r="Q169" s="12">
        <v>113.825529</v>
      </c>
      <c r="R169" s="13">
        <v>22.696314000000001</v>
      </c>
      <c r="S169" s="11" t="s">
        <v>1128</v>
      </c>
      <c r="T169" s="11"/>
      <c r="U169" s="11" t="s">
        <v>104</v>
      </c>
      <c r="V169" s="11" t="s">
        <v>105</v>
      </c>
      <c r="W169" s="11" t="s">
        <v>106</v>
      </c>
      <c r="X169" s="11"/>
      <c r="Y169" s="11"/>
      <c r="Z169" s="11"/>
      <c r="AA169" s="12">
        <v>168</v>
      </c>
      <c r="AB169" s="12"/>
      <c r="AC169" s="11" t="s">
        <v>244</v>
      </c>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row>
    <row r="170" spans="1:56" ht="84" x14ac:dyDescent="0.25">
      <c r="A170" s="11" t="s">
        <v>1129</v>
      </c>
      <c r="B170" s="11" t="s">
        <v>1130</v>
      </c>
      <c r="C170" s="11"/>
      <c r="D170" s="11" t="s">
        <v>91</v>
      </c>
      <c r="E170" s="11" t="s">
        <v>92</v>
      </c>
      <c r="F170" s="11" t="s">
        <v>1131</v>
      </c>
      <c r="G170" s="11" t="s">
        <v>1132</v>
      </c>
      <c r="H170" s="11" t="s">
        <v>94</v>
      </c>
      <c r="I170" s="11" t="s">
        <v>180</v>
      </c>
      <c r="J170" s="11" t="s">
        <v>181</v>
      </c>
      <c r="K170" s="11"/>
      <c r="L170" s="11" t="s">
        <v>1133</v>
      </c>
      <c r="M170" s="11" t="s">
        <v>99</v>
      </c>
      <c r="N170" s="11" t="s">
        <v>100</v>
      </c>
      <c r="O170" s="11" t="s">
        <v>101</v>
      </c>
      <c r="P170" s="11" t="s">
        <v>102</v>
      </c>
      <c r="Q170" s="12">
        <v>113.784828</v>
      </c>
      <c r="R170" s="13">
        <v>22.680391</v>
      </c>
      <c r="S170" s="11" t="s">
        <v>1134</v>
      </c>
      <c r="T170" s="11"/>
      <c r="U170" s="11" t="s">
        <v>104</v>
      </c>
      <c r="V170" s="11" t="s">
        <v>105</v>
      </c>
      <c r="W170" s="11" t="s">
        <v>106</v>
      </c>
      <c r="X170" s="11"/>
      <c r="Y170" s="11"/>
      <c r="Z170" s="11"/>
      <c r="AA170" s="12">
        <v>169</v>
      </c>
      <c r="AB170" s="12"/>
      <c r="AC170" s="11" t="s">
        <v>107</v>
      </c>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row>
    <row r="171" spans="1:56" ht="56" x14ac:dyDescent="0.25">
      <c r="A171" s="11" t="s">
        <v>1135</v>
      </c>
      <c r="B171" s="11" t="s">
        <v>1136</v>
      </c>
      <c r="C171" s="11"/>
      <c r="D171" s="11" t="s">
        <v>91</v>
      </c>
      <c r="E171" s="11" t="s">
        <v>92</v>
      </c>
      <c r="F171" s="11" t="s">
        <v>1120</v>
      </c>
      <c r="G171" s="11" t="s">
        <v>1137</v>
      </c>
      <c r="H171" s="11" t="s">
        <v>94</v>
      </c>
      <c r="I171" s="11" t="s">
        <v>180</v>
      </c>
      <c r="J171" s="11" t="s">
        <v>181</v>
      </c>
      <c r="K171" s="11"/>
      <c r="L171" s="11" t="s">
        <v>1138</v>
      </c>
      <c r="M171" s="11" t="s">
        <v>99</v>
      </c>
      <c r="N171" s="11" t="s">
        <v>100</v>
      </c>
      <c r="O171" s="11" t="s">
        <v>101</v>
      </c>
      <c r="P171" s="11" t="s">
        <v>102</v>
      </c>
      <c r="Q171" s="12">
        <v>113.806033</v>
      </c>
      <c r="R171" s="13">
        <v>22.702746000000001</v>
      </c>
      <c r="S171" s="11" t="s">
        <v>1139</v>
      </c>
      <c r="T171" s="11"/>
      <c r="U171" s="11" t="s">
        <v>104</v>
      </c>
      <c r="V171" s="11" t="s">
        <v>105</v>
      </c>
      <c r="W171" s="11" t="s">
        <v>106</v>
      </c>
      <c r="X171" s="11"/>
      <c r="Y171" s="11"/>
      <c r="Z171" s="11"/>
      <c r="AA171" s="12">
        <v>170</v>
      </c>
      <c r="AB171" s="12"/>
      <c r="AC171" s="11" t="s">
        <v>244</v>
      </c>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row>
    <row r="172" spans="1:56" ht="70" x14ac:dyDescent="0.25">
      <c r="A172" s="11" t="s">
        <v>1140</v>
      </c>
      <c r="B172" s="11" t="s">
        <v>1141</v>
      </c>
      <c r="C172" s="11"/>
      <c r="D172" s="11" t="s">
        <v>91</v>
      </c>
      <c r="E172" s="11" t="s">
        <v>92</v>
      </c>
      <c r="F172" s="11" t="s">
        <v>924</v>
      </c>
      <c r="G172" s="11" t="s">
        <v>1142</v>
      </c>
      <c r="H172" s="11" t="s">
        <v>94</v>
      </c>
      <c r="I172" s="11" t="s">
        <v>180</v>
      </c>
      <c r="J172" s="11" t="s">
        <v>181</v>
      </c>
      <c r="K172" s="11"/>
      <c r="L172" s="11" t="s">
        <v>1143</v>
      </c>
      <c r="M172" s="11" t="s">
        <v>99</v>
      </c>
      <c r="N172" s="11" t="s">
        <v>100</v>
      </c>
      <c r="O172" s="11" t="s">
        <v>101</v>
      </c>
      <c r="P172" s="11" t="s">
        <v>102</v>
      </c>
      <c r="Q172" s="12">
        <v>113.83108300000001</v>
      </c>
      <c r="R172" s="13">
        <v>22.702649000000001</v>
      </c>
      <c r="S172" s="11" t="s">
        <v>1144</v>
      </c>
      <c r="T172" s="11"/>
      <c r="U172" s="11" t="s">
        <v>104</v>
      </c>
      <c r="V172" s="11" t="s">
        <v>105</v>
      </c>
      <c r="W172" s="11" t="s">
        <v>106</v>
      </c>
      <c r="X172" s="11"/>
      <c r="Y172" s="11"/>
      <c r="Z172" s="11"/>
      <c r="AA172" s="12">
        <v>171</v>
      </c>
      <c r="AB172" s="12"/>
      <c r="AC172" s="11" t="s">
        <v>244</v>
      </c>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row>
    <row r="173" spans="1:56" ht="56" x14ac:dyDescent="0.25">
      <c r="A173" s="11" t="s">
        <v>1145</v>
      </c>
      <c r="B173" s="11" t="s">
        <v>1146</v>
      </c>
      <c r="C173" s="11"/>
      <c r="D173" s="11" t="s">
        <v>91</v>
      </c>
      <c r="E173" s="11" t="s">
        <v>92</v>
      </c>
      <c r="F173" s="11" t="s">
        <v>840</v>
      </c>
      <c r="G173" s="11" t="s">
        <v>1147</v>
      </c>
      <c r="H173" s="11" t="s">
        <v>94</v>
      </c>
      <c r="I173" s="11" t="s">
        <v>180</v>
      </c>
      <c r="J173" s="11" t="s">
        <v>181</v>
      </c>
      <c r="K173" s="11"/>
      <c r="L173" s="11" t="s">
        <v>1148</v>
      </c>
      <c r="M173" s="11" t="s">
        <v>99</v>
      </c>
      <c r="N173" s="11" t="s">
        <v>100</v>
      </c>
      <c r="O173" s="11" t="s">
        <v>101</v>
      </c>
      <c r="P173" s="11" t="s">
        <v>102</v>
      </c>
      <c r="Q173" s="12">
        <v>113.800175</v>
      </c>
      <c r="R173" s="13">
        <v>22.709391</v>
      </c>
      <c r="S173" s="11" t="s">
        <v>1149</v>
      </c>
      <c r="T173" s="11"/>
      <c r="U173" s="11" t="s">
        <v>104</v>
      </c>
      <c r="V173" s="11" t="s">
        <v>105</v>
      </c>
      <c r="W173" s="11" t="s">
        <v>106</v>
      </c>
      <c r="X173" s="11"/>
      <c r="Y173" s="11"/>
      <c r="Z173" s="11"/>
      <c r="AA173" s="12">
        <v>172</v>
      </c>
      <c r="AB173" s="12"/>
      <c r="AC173" s="11" t="s">
        <v>244</v>
      </c>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row>
    <row r="174" spans="1:56" ht="56" x14ac:dyDescent="0.25">
      <c r="A174" s="11" t="s">
        <v>1150</v>
      </c>
      <c r="B174" s="11" t="s">
        <v>1151</v>
      </c>
      <c r="C174" s="11"/>
      <c r="D174" s="11" t="s">
        <v>91</v>
      </c>
      <c r="E174" s="11" t="s">
        <v>92</v>
      </c>
      <c r="F174" s="11" t="s">
        <v>1152</v>
      </c>
      <c r="G174" s="11" t="s">
        <v>1153</v>
      </c>
      <c r="H174" s="11" t="s">
        <v>94</v>
      </c>
      <c r="I174" s="11" t="s">
        <v>180</v>
      </c>
      <c r="J174" s="11" t="s">
        <v>181</v>
      </c>
      <c r="K174" s="11"/>
      <c r="L174" s="11" t="s">
        <v>1154</v>
      </c>
      <c r="M174" s="11" t="s">
        <v>99</v>
      </c>
      <c r="N174" s="11" t="s">
        <v>100</v>
      </c>
      <c r="O174" s="11" t="s">
        <v>101</v>
      </c>
      <c r="P174" s="11" t="s">
        <v>102</v>
      </c>
      <c r="Q174" s="12">
        <v>113.822525</v>
      </c>
      <c r="R174" s="13">
        <v>22.694675</v>
      </c>
      <c r="S174" s="11" t="s">
        <v>1155</v>
      </c>
      <c r="T174" s="11"/>
      <c r="U174" s="11" t="s">
        <v>104</v>
      </c>
      <c r="V174" s="11" t="s">
        <v>105</v>
      </c>
      <c r="W174" s="11" t="s">
        <v>106</v>
      </c>
      <c r="X174" s="11"/>
      <c r="Y174" s="11"/>
      <c r="Z174" s="11"/>
      <c r="AA174" s="12">
        <v>173</v>
      </c>
      <c r="AB174" s="12"/>
      <c r="AC174" s="11" t="s">
        <v>107</v>
      </c>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row>
    <row r="175" spans="1:56" ht="56" x14ac:dyDescent="0.25">
      <c r="A175" s="11" t="s">
        <v>1156</v>
      </c>
      <c r="B175" s="11" t="s">
        <v>1157</v>
      </c>
      <c r="C175" s="11"/>
      <c r="D175" s="11" t="s">
        <v>91</v>
      </c>
      <c r="E175" s="11" t="s">
        <v>92</v>
      </c>
      <c r="F175" s="11" t="s">
        <v>1158</v>
      </c>
      <c r="G175" s="11" t="s">
        <v>1159</v>
      </c>
      <c r="H175" s="11" t="s">
        <v>94</v>
      </c>
      <c r="I175" s="11" t="s">
        <v>180</v>
      </c>
      <c r="J175" s="11" t="s">
        <v>181</v>
      </c>
      <c r="K175" s="11"/>
      <c r="L175" s="11" t="s">
        <v>1160</v>
      </c>
      <c r="M175" s="11" t="s">
        <v>99</v>
      </c>
      <c r="N175" s="11" t="s">
        <v>100</v>
      </c>
      <c r="O175" s="11" t="s">
        <v>101</v>
      </c>
      <c r="P175" s="11" t="s">
        <v>102</v>
      </c>
      <c r="Q175" s="12">
        <v>113.82470600000001</v>
      </c>
      <c r="R175" s="13">
        <v>22.753304</v>
      </c>
      <c r="S175" s="11" t="s">
        <v>1161</v>
      </c>
      <c r="T175" s="11"/>
      <c r="U175" s="11" t="s">
        <v>104</v>
      </c>
      <c r="V175" s="11" t="s">
        <v>105</v>
      </c>
      <c r="W175" s="11" t="s">
        <v>106</v>
      </c>
      <c r="X175" s="11"/>
      <c r="Y175" s="11"/>
      <c r="Z175" s="11"/>
      <c r="AA175" s="12">
        <v>174</v>
      </c>
      <c r="AB175" s="12"/>
      <c r="AC175" s="11" t="s">
        <v>244</v>
      </c>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row>
    <row r="176" spans="1:56" ht="56" x14ac:dyDescent="0.25">
      <c r="A176" s="11" t="s">
        <v>1162</v>
      </c>
      <c r="B176" s="11" t="s">
        <v>1163</v>
      </c>
      <c r="C176" s="11"/>
      <c r="D176" s="11" t="s">
        <v>91</v>
      </c>
      <c r="E176" s="11" t="s">
        <v>92</v>
      </c>
      <c r="F176" s="11" t="s">
        <v>840</v>
      </c>
      <c r="G176" s="11" t="s">
        <v>1164</v>
      </c>
      <c r="H176" s="11" t="s">
        <v>94</v>
      </c>
      <c r="I176" s="11" t="s">
        <v>180</v>
      </c>
      <c r="J176" s="11" t="s">
        <v>181</v>
      </c>
      <c r="K176" s="11"/>
      <c r="L176" s="11" t="s">
        <v>1165</v>
      </c>
      <c r="M176" s="11" t="s">
        <v>99</v>
      </c>
      <c r="N176" s="11" t="s">
        <v>100</v>
      </c>
      <c r="O176" s="11" t="s">
        <v>101</v>
      </c>
      <c r="P176" s="11" t="s">
        <v>102</v>
      </c>
      <c r="Q176" s="12">
        <v>113.803327</v>
      </c>
      <c r="R176" s="13">
        <v>22.671023000000002</v>
      </c>
      <c r="S176" s="11" t="s">
        <v>1166</v>
      </c>
      <c r="T176" s="11"/>
      <c r="U176" s="11" t="s">
        <v>104</v>
      </c>
      <c r="V176" s="11" t="s">
        <v>105</v>
      </c>
      <c r="W176" s="11" t="s">
        <v>106</v>
      </c>
      <c r="X176" s="11"/>
      <c r="Y176" s="11"/>
      <c r="Z176" s="11"/>
      <c r="AA176" s="12">
        <v>175</v>
      </c>
      <c r="AB176" s="12"/>
      <c r="AC176" s="11" t="s">
        <v>244</v>
      </c>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row>
    <row r="177" spans="1:56" ht="56" x14ac:dyDescent="0.25">
      <c r="A177" s="11" t="s">
        <v>1167</v>
      </c>
      <c r="B177" s="11" t="s">
        <v>1168</v>
      </c>
      <c r="C177" s="11"/>
      <c r="D177" s="11" t="s">
        <v>91</v>
      </c>
      <c r="E177" s="11" t="s">
        <v>92</v>
      </c>
      <c r="F177" s="11" t="s">
        <v>840</v>
      </c>
      <c r="G177" s="11" t="s">
        <v>1169</v>
      </c>
      <c r="H177" s="11" t="s">
        <v>94</v>
      </c>
      <c r="I177" s="11" t="s">
        <v>180</v>
      </c>
      <c r="J177" s="11" t="s">
        <v>181</v>
      </c>
      <c r="K177" s="11"/>
      <c r="L177" s="11" t="s">
        <v>1170</v>
      </c>
      <c r="M177" s="11" t="s">
        <v>99</v>
      </c>
      <c r="N177" s="11" t="s">
        <v>100</v>
      </c>
      <c r="O177" s="11" t="s">
        <v>101</v>
      </c>
      <c r="P177" s="11" t="s">
        <v>102</v>
      </c>
      <c r="Q177" s="12">
        <v>113.801334</v>
      </c>
      <c r="R177" s="13">
        <v>22.717431000000001</v>
      </c>
      <c r="S177" s="11" t="s">
        <v>1171</v>
      </c>
      <c r="T177" s="11"/>
      <c r="U177" s="11" t="s">
        <v>104</v>
      </c>
      <c r="V177" s="11" t="s">
        <v>105</v>
      </c>
      <c r="W177" s="11" t="s">
        <v>106</v>
      </c>
      <c r="X177" s="11"/>
      <c r="Y177" s="11"/>
      <c r="Z177" s="11"/>
      <c r="AA177" s="12">
        <v>176</v>
      </c>
      <c r="AB177" s="12"/>
      <c r="AC177" s="11" t="s">
        <v>244</v>
      </c>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row>
    <row r="178" spans="1:56" ht="56" x14ac:dyDescent="0.25">
      <c r="A178" s="11" t="s">
        <v>1172</v>
      </c>
      <c r="B178" s="11" t="s">
        <v>1173</v>
      </c>
      <c r="C178" s="11"/>
      <c r="D178" s="11" t="s">
        <v>91</v>
      </c>
      <c r="E178" s="11" t="s">
        <v>92</v>
      </c>
      <c r="F178" s="11" t="s">
        <v>1174</v>
      </c>
      <c r="G178" s="11" t="s">
        <v>1175</v>
      </c>
      <c r="H178" s="11" t="s">
        <v>94</v>
      </c>
      <c r="I178" s="11" t="s">
        <v>180</v>
      </c>
      <c r="J178" s="11" t="s">
        <v>181</v>
      </c>
      <c r="K178" s="11"/>
      <c r="L178" s="11" t="s">
        <v>1176</v>
      </c>
      <c r="M178" s="11" t="s">
        <v>99</v>
      </c>
      <c r="N178" s="11" t="s">
        <v>100</v>
      </c>
      <c r="O178" s="11" t="s">
        <v>101</v>
      </c>
      <c r="P178" s="11" t="s">
        <v>102</v>
      </c>
      <c r="Q178" s="12">
        <v>113.80019900000001</v>
      </c>
      <c r="R178" s="13">
        <v>22.765485999999999</v>
      </c>
      <c r="S178" s="11" t="s">
        <v>1177</v>
      </c>
      <c r="T178" s="11"/>
      <c r="U178" s="11" t="s">
        <v>104</v>
      </c>
      <c r="V178" s="11" t="s">
        <v>105</v>
      </c>
      <c r="W178" s="11" t="s">
        <v>106</v>
      </c>
      <c r="X178" s="11"/>
      <c r="Y178" s="11"/>
      <c r="Z178" s="11"/>
      <c r="AA178" s="12">
        <v>177</v>
      </c>
      <c r="AB178" s="12"/>
      <c r="AC178" s="11" t="s">
        <v>244</v>
      </c>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row>
    <row r="179" spans="1:56" ht="56" x14ac:dyDescent="0.25">
      <c r="A179" s="11" t="s">
        <v>1178</v>
      </c>
      <c r="B179" s="11" t="s">
        <v>1179</v>
      </c>
      <c r="C179" s="11"/>
      <c r="D179" s="11" t="s">
        <v>91</v>
      </c>
      <c r="E179" s="11" t="s">
        <v>92</v>
      </c>
      <c r="F179" s="11" t="s">
        <v>936</v>
      </c>
      <c r="G179" s="11" t="s">
        <v>1180</v>
      </c>
      <c r="H179" s="11" t="s">
        <v>94</v>
      </c>
      <c r="I179" s="11" t="s">
        <v>180</v>
      </c>
      <c r="J179" s="11" t="s">
        <v>181</v>
      </c>
      <c r="K179" s="11"/>
      <c r="L179" s="11" t="s">
        <v>1181</v>
      </c>
      <c r="M179" s="11" t="s">
        <v>99</v>
      </c>
      <c r="N179" s="11" t="s">
        <v>100</v>
      </c>
      <c r="O179" s="11" t="s">
        <v>101</v>
      </c>
      <c r="P179" s="11" t="s">
        <v>102</v>
      </c>
      <c r="Q179" s="12">
        <v>113.80674</v>
      </c>
      <c r="R179" s="13">
        <v>22.765639</v>
      </c>
      <c r="S179" s="11" t="s">
        <v>1182</v>
      </c>
      <c r="T179" s="11"/>
      <c r="U179" s="11" t="s">
        <v>104</v>
      </c>
      <c r="V179" s="11" t="s">
        <v>105</v>
      </c>
      <c r="W179" s="11" t="s">
        <v>106</v>
      </c>
      <c r="X179" s="11"/>
      <c r="Y179" s="11"/>
      <c r="Z179" s="11"/>
      <c r="AA179" s="12">
        <v>178</v>
      </c>
      <c r="AB179" s="12"/>
      <c r="AC179" s="11" t="s">
        <v>244</v>
      </c>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row>
    <row r="180" spans="1:56" ht="56" x14ac:dyDescent="0.25">
      <c r="A180" s="11" t="s">
        <v>1183</v>
      </c>
      <c r="B180" s="11" t="s">
        <v>1184</v>
      </c>
      <c r="C180" s="11"/>
      <c r="D180" s="11" t="s">
        <v>91</v>
      </c>
      <c r="E180" s="11" t="s">
        <v>92</v>
      </c>
      <c r="F180" s="11" t="s">
        <v>1185</v>
      </c>
      <c r="G180" s="11" t="s">
        <v>1186</v>
      </c>
      <c r="H180" s="11" t="s">
        <v>94</v>
      </c>
      <c r="I180" s="11" t="s">
        <v>180</v>
      </c>
      <c r="J180" s="11" t="s">
        <v>181</v>
      </c>
      <c r="K180" s="11"/>
      <c r="L180" s="11" t="s">
        <v>1187</v>
      </c>
      <c r="M180" s="11" t="s">
        <v>99</v>
      </c>
      <c r="N180" s="11" t="s">
        <v>100</v>
      </c>
      <c r="O180" s="11" t="s">
        <v>101</v>
      </c>
      <c r="P180" s="11" t="s">
        <v>102</v>
      </c>
      <c r="Q180" s="12">
        <v>113.82928099999999</v>
      </c>
      <c r="R180" s="13">
        <v>22.714124999999999</v>
      </c>
      <c r="S180" s="11" t="s">
        <v>1188</v>
      </c>
      <c r="T180" s="11"/>
      <c r="U180" s="11" t="s">
        <v>104</v>
      </c>
      <c r="V180" s="11" t="s">
        <v>105</v>
      </c>
      <c r="W180" s="11" t="s">
        <v>106</v>
      </c>
      <c r="X180" s="11"/>
      <c r="Y180" s="11"/>
      <c r="Z180" s="11"/>
      <c r="AA180" s="12">
        <v>179</v>
      </c>
      <c r="AB180" s="12"/>
      <c r="AC180" s="11" t="s">
        <v>244</v>
      </c>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row>
    <row r="181" spans="1:56" ht="56" x14ac:dyDescent="0.25">
      <c r="A181" s="11" t="s">
        <v>1189</v>
      </c>
      <c r="B181" s="11" t="s">
        <v>1190</v>
      </c>
      <c r="C181" s="11"/>
      <c r="D181" s="11" t="s">
        <v>91</v>
      </c>
      <c r="E181" s="11" t="s">
        <v>92</v>
      </c>
      <c r="F181" s="11" t="s">
        <v>1191</v>
      </c>
      <c r="G181" s="11" t="s">
        <v>1192</v>
      </c>
      <c r="H181" s="11" t="s">
        <v>94</v>
      </c>
      <c r="I181" s="11" t="s">
        <v>180</v>
      </c>
      <c r="J181" s="11" t="s">
        <v>181</v>
      </c>
      <c r="K181" s="11"/>
      <c r="L181" s="11" t="s">
        <v>1193</v>
      </c>
      <c r="M181" s="11" t="s">
        <v>99</v>
      </c>
      <c r="N181" s="11" t="s">
        <v>100</v>
      </c>
      <c r="O181" s="11" t="s">
        <v>101</v>
      </c>
      <c r="P181" s="11" t="s">
        <v>102</v>
      </c>
      <c r="Q181" s="12">
        <v>113.855487</v>
      </c>
      <c r="R181" s="13">
        <v>22.741213999999999</v>
      </c>
      <c r="S181" s="11" t="s">
        <v>1194</v>
      </c>
      <c r="T181" s="11"/>
      <c r="U181" s="11" t="s">
        <v>104</v>
      </c>
      <c r="V181" s="11" t="s">
        <v>105</v>
      </c>
      <c r="W181" s="11" t="s">
        <v>106</v>
      </c>
      <c r="X181" s="11"/>
      <c r="Y181" s="11"/>
      <c r="Z181" s="11"/>
      <c r="AA181" s="12">
        <v>180</v>
      </c>
      <c r="AB181" s="12"/>
      <c r="AC181" s="11" t="s">
        <v>244</v>
      </c>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row>
    <row r="182" spans="1:56" ht="56" x14ac:dyDescent="0.25">
      <c r="A182" s="11" t="s">
        <v>1195</v>
      </c>
      <c r="B182" s="11" t="s">
        <v>1196</v>
      </c>
      <c r="C182" s="11"/>
      <c r="D182" s="11" t="s">
        <v>91</v>
      </c>
      <c r="E182" s="11" t="s">
        <v>92</v>
      </c>
      <c r="F182" s="11" t="s">
        <v>924</v>
      </c>
      <c r="G182" s="11" t="s">
        <v>1142</v>
      </c>
      <c r="H182" s="11" t="s">
        <v>94</v>
      </c>
      <c r="I182" s="11" t="s">
        <v>180</v>
      </c>
      <c r="J182" s="11" t="s">
        <v>181</v>
      </c>
      <c r="K182" s="11"/>
      <c r="L182" s="11" t="s">
        <v>1197</v>
      </c>
      <c r="M182" s="11" t="s">
        <v>99</v>
      </c>
      <c r="N182" s="11" t="s">
        <v>100</v>
      </c>
      <c r="O182" s="11" t="s">
        <v>101</v>
      </c>
      <c r="P182" s="11" t="s">
        <v>102</v>
      </c>
      <c r="Q182" s="12">
        <v>113.815575</v>
      </c>
      <c r="R182" s="13">
        <v>22.754002</v>
      </c>
      <c r="S182" s="11" t="s">
        <v>1198</v>
      </c>
      <c r="T182" s="11"/>
      <c r="U182" s="11" t="s">
        <v>104</v>
      </c>
      <c r="V182" s="11" t="s">
        <v>105</v>
      </c>
      <c r="W182" s="11" t="s">
        <v>106</v>
      </c>
      <c r="X182" s="11"/>
      <c r="Y182" s="11"/>
      <c r="Z182" s="11"/>
      <c r="AA182" s="12">
        <v>181</v>
      </c>
      <c r="AB182" s="12"/>
      <c r="AC182" s="11" t="s">
        <v>244</v>
      </c>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row>
    <row r="183" spans="1:56" ht="56" x14ac:dyDescent="0.25">
      <c r="A183" s="11" t="s">
        <v>1199</v>
      </c>
      <c r="B183" s="11" t="s">
        <v>1200</v>
      </c>
      <c r="C183" s="11"/>
      <c r="D183" s="11" t="s">
        <v>91</v>
      </c>
      <c r="E183" s="11" t="s">
        <v>92</v>
      </c>
      <c r="F183" s="11" t="s">
        <v>1191</v>
      </c>
      <c r="G183" s="11" t="s">
        <v>1201</v>
      </c>
      <c r="H183" s="11" t="s">
        <v>94</v>
      </c>
      <c r="I183" s="11" t="s">
        <v>180</v>
      </c>
      <c r="J183" s="11" t="s">
        <v>181</v>
      </c>
      <c r="K183" s="11"/>
      <c r="L183" s="11" t="s">
        <v>1202</v>
      </c>
      <c r="M183" s="11" t="s">
        <v>99</v>
      </c>
      <c r="N183" s="11" t="s">
        <v>100</v>
      </c>
      <c r="O183" s="11" t="s">
        <v>101</v>
      </c>
      <c r="P183" s="11" t="s">
        <v>102</v>
      </c>
      <c r="Q183" s="12">
        <v>113.819523</v>
      </c>
      <c r="R183" s="13">
        <v>22.759333999999999</v>
      </c>
      <c r="S183" s="11" t="s">
        <v>1203</v>
      </c>
      <c r="T183" s="11"/>
      <c r="U183" s="11" t="s">
        <v>104</v>
      </c>
      <c r="V183" s="11" t="s">
        <v>105</v>
      </c>
      <c r="W183" s="11" t="s">
        <v>106</v>
      </c>
      <c r="X183" s="11"/>
      <c r="Y183" s="11"/>
      <c r="Z183" s="11"/>
      <c r="AA183" s="12">
        <v>182</v>
      </c>
      <c r="AB183" s="12"/>
      <c r="AC183" s="11" t="s">
        <v>244</v>
      </c>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row>
    <row r="184" spans="1:56" ht="56" x14ac:dyDescent="0.25">
      <c r="A184" s="11" t="s">
        <v>1204</v>
      </c>
      <c r="B184" s="11" t="s">
        <v>1205</v>
      </c>
      <c r="C184" s="11"/>
      <c r="D184" s="11" t="s">
        <v>91</v>
      </c>
      <c r="E184" s="11" t="s">
        <v>92</v>
      </c>
      <c r="F184" s="11" t="s">
        <v>1191</v>
      </c>
      <c r="G184" s="11" t="s">
        <v>1206</v>
      </c>
      <c r="H184" s="11" t="s">
        <v>94</v>
      </c>
      <c r="I184" s="11" t="s">
        <v>180</v>
      </c>
      <c r="J184" s="11" t="s">
        <v>181</v>
      </c>
      <c r="K184" s="11"/>
      <c r="L184" s="11" t="s">
        <v>1207</v>
      </c>
      <c r="M184" s="11" t="s">
        <v>99</v>
      </c>
      <c r="N184" s="11" t="s">
        <v>100</v>
      </c>
      <c r="O184" s="11" t="s">
        <v>101</v>
      </c>
      <c r="P184" s="11" t="s">
        <v>102</v>
      </c>
      <c r="Q184" s="12">
        <v>113.81189999999999</v>
      </c>
      <c r="R184" s="13">
        <v>22.678682999999999</v>
      </c>
      <c r="S184" s="11" t="s">
        <v>1208</v>
      </c>
      <c r="T184" s="11"/>
      <c r="U184" s="11" t="s">
        <v>104</v>
      </c>
      <c r="V184" s="11" t="s">
        <v>105</v>
      </c>
      <c r="W184" s="11" t="s">
        <v>106</v>
      </c>
      <c r="X184" s="11"/>
      <c r="Y184" s="11"/>
      <c r="Z184" s="11"/>
      <c r="AA184" s="12">
        <v>183</v>
      </c>
      <c r="AB184" s="12"/>
      <c r="AC184" s="11" t="s">
        <v>244</v>
      </c>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row>
    <row r="185" spans="1:56" ht="56" x14ac:dyDescent="0.25">
      <c r="A185" s="11" t="s">
        <v>1209</v>
      </c>
      <c r="B185" s="11" t="s">
        <v>1210</v>
      </c>
      <c r="C185" s="11"/>
      <c r="D185" s="11" t="s">
        <v>91</v>
      </c>
      <c r="E185" s="11" t="s">
        <v>92</v>
      </c>
      <c r="F185" s="11" t="s">
        <v>1211</v>
      </c>
      <c r="G185" s="11" t="s">
        <v>1212</v>
      </c>
      <c r="H185" s="11" t="s">
        <v>94</v>
      </c>
      <c r="I185" s="11" t="s">
        <v>180</v>
      </c>
      <c r="J185" s="11" t="s">
        <v>1213</v>
      </c>
      <c r="K185" s="11"/>
      <c r="L185" s="11" t="s">
        <v>1214</v>
      </c>
      <c r="M185" s="11" t="s">
        <v>99</v>
      </c>
      <c r="N185" s="11" t="s">
        <v>100</v>
      </c>
      <c r="O185" s="11" t="s">
        <v>101</v>
      </c>
      <c r="P185" s="11" t="s">
        <v>102</v>
      </c>
      <c r="Q185" s="12">
        <v>113.880106</v>
      </c>
      <c r="R185" s="13">
        <v>22.785458999999999</v>
      </c>
      <c r="S185" s="11" t="s">
        <v>1215</v>
      </c>
      <c r="T185" s="11"/>
      <c r="U185" s="11" t="s">
        <v>104</v>
      </c>
      <c r="V185" s="11" t="s">
        <v>105</v>
      </c>
      <c r="W185" s="11" t="s">
        <v>106</v>
      </c>
      <c r="X185" s="11"/>
      <c r="Y185" s="11"/>
      <c r="Z185" s="11"/>
      <c r="AA185" s="12">
        <v>184</v>
      </c>
      <c r="AB185" s="12"/>
      <c r="AC185" s="11" t="s">
        <v>107</v>
      </c>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row>
    <row r="186" spans="1:56" ht="70" x14ac:dyDescent="0.25">
      <c r="A186" s="11" t="s">
        <v>1216</v>
      </c>
      <c r="B186" s="11" t="s">
        <v>1217</v>
      </c>
      <c r="C186" s="11"/>
      <c r="D186" s="11" t="s">
        <v>91</v>
      </c>
      <c r="E186" s="11" t="s">
        <v>92</v>
      </c>
      <c r="F186" s="11" t="s">
        <v>1218</v>
      </c>
      <c r="G186" s="11" t="s">
        <v>1219</v>
      </c>
      <c r="H186" s="11" t="s">
        <v>94</v>
      </c>
      <c r="I186" s="11" t="s">
        <v>180</v>
      </c>
      <c r="J186" s="11" t="s">
        <v>181</v>
      </c>
      <c r="K186" s="11"/>
      <c r="L186" s="11" t="s">
        <v>1220</v>
      </c>
      <c r="M186" s="11" t="s">
        <v>99</v>
      </c>
      <c r="N186" s="11" t="s">
        <v>100</v>
      </c>
      <c r="O186" s="11" t="s">
        <v>101</v>
      </c>
      <c r="P186" s="11" t="s">
        <v>102</v>
      </c>
      <c r="Q186" s="12">
        <v>113.804176</v>
      </c>
      <c r="R186" s="13">
        <v>22.713639000000001</v>
      </c>
      <c r="S186" s="11" t="s">
        <v>1221</v>
      </c>
      <c r="T186" s="11"/>
      <c r="U186" s="11" t="s">
        <v>104</v>
      </c>
      <c r="V186" s="11" t="s">
        <v>105</v>
      </c>
      <c r="W186" s="11" t="s">
        <v>106</v>
      </c>
      <c r="X186" s="11"/>
      <c r="Y186" s="11"/>
      <c r="Z186" s="11"/>
      <c r="AA186" s="12">
        <v>185</v>
      </c>
      <c r="AB186" s="12"/>
      <c r="AC186" s="11" t="s">
        <v>244</v>
      </c>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row>
    <row r="187" spans="1:56" ht="56" x14ac:dyDescent="0.25">
      <c r="A187" s="11" t="s">
        <v>1222</v>
      </c>
      <c r="B187" s="11" t="s">
        <v>1223</v>
      </c>
      <c r="C187" s="11"/>
      <c r="D187" s="11" t="s">
        <v>91</v>
      </c>
      <c r="E187" s="11" t="s">
        <v>92</v>
      </c>
      <c r="F187" s="11" t="s">
        <v>537</v>
      </c>
      <c r="G187" s="11" t="s">
        <v>1224</v>
      </c>
      <c r="H187" s="11" t="s">
        <v>94</v>
      </c>
      <c r="I187" s="11" t="s">
        <v>180</v>
      </c>
      <c r="J187" s="11" t="s">
        <v>181</v>
      </c>
      <c r="K187" s="11"/>
      <c r="L187" s="11" t="s">
        <v>1225</v>
      </c>
      <c r="M187" s="11" t="s">
        <v>99</v>
      </c>
      <c r="N187" s="11" t="s">
        <v>100</v>
      </c>
      <c r="O187" s="11" t="s">
        <v>101</v>
      </c>
      <c r="P187" s="11" t="s">
        <v>102</v>
      </c>
      <c r="Q187" s="12">
        <v>113.809104</v>
      </c>
      <c r="R187" s="13">
        <v>22.751947000000001</v>
      </c>
      <c r="S187" s="11" t="s">
        <v>1226</v>
      </c>
      <c r="T187" s="11"/>
      <c r="U187" s="11" t="s">
        <v>104</v>
      </c>
      <c r="V187" s="11" t="s">
        <v>105</v>
      </c>
      <c r="W187" s="11" t="s">
        <v>106</v>
      </c>
      <c r="X187" s="11"/>
      <c r="Y187" s="11"/>
      <c r="Z187" s="11"/>
      <c r="AA187" s="12">
        <v>186</v>
      </c>
      <c r="AB187" s="12"/>
      <c r="AC187" s="11" t="s">
        <v>107</v>
      </c>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row>
    <row r="188" spans="1:56" ht="56" x14ac:dyDescent="0.25">
      <c r="A188" s="11" t="s">
        <v>1227</v>
      </c>
      <c r="B188" s="11" t="s">
        <v>1228</v>
      </c>
      <c r="C188" s="11"/>
      <c r="D188" s="11" t="s">
        <v>91</v>
      </c>
      <c r="E188" s="11" t="s">
        <v>92</v>
      </c>
      <c r="F188" s="11" t="s">
        <v>1218</v>
      </c>
      <c r="G188" s="11" t="s">
        <v>1229</v>
      </c>
      <c r="H188" s="11" t="s">
        <v>94</v>
      </c>
      <c r="I188" s="11" t="s">
        <v>180</v>
      </c>
      <c r="J188" s="11" t="s">
        <v>181</v>
      </c>
      <c r="K188" s="11"/>
      <c r="L188" s="11" t="s">
        <v>1230</v>
      </c>
      <c r="M188" s="11" t="s">
        <v>99</v>
      </c>
      <c r="N188" s="11" t="s">
        <v>100</v>
      </c>
      <c r="O188" s="11" t="s">
        <v>101</v>
      </c>
      <c r="P188" s="11" t="s">
        <v>102</v>
      </c>
      <c r="Q188" s="12">
        <v>113.800382</v>
      </c>
      <c r="R188" s="13">
        <v>22.707706999999999</v>
      </c>
      <c r="S188" s="11" t="s">
        <v>1231</v>
      </c>
      <c r="T188" s="11"/>
      <c r="U188" s="11" t="s">
        <v>104</v>
      </c>
      <c r="V188" s="11" t="s">
        <v>105</v>
      </c>
      <c r="W188" s="11" t="s">
        <v>106</v>
      </c>
      <c r="X188" s="11"/>
      <c r="Y188" s="11"/>
      <c r="Z188" s="11"/>
      <c r="AA188" s="12">
        <v>187</v>
      </c>
      <c r="AB188" s="12"/>
      <c r="AC188" s="11" t="s">
        <v>107</v>
      </c>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row>
    <row r="189" spans="1:56" ht="56" x14ac:dyDescent="0.25">
      <c r="A189" s="11" t="s">
        <v>1232</v>
      </c>
      <c r="B189" s="11" t="s">
        <v>1233</v>
      </c>
      <c r="C189" s="11"/>
      <c r="D189" s="11" t="s">
        <v>91</v>
      </c>
      <c r="E189" s="11" t="s">
        <v>92</v>
      </c>
      <c r="F189" s="11" t="s">
        <v>810</v>
      </c>
      <c r="G189" s="11" t="s">
        <v>1234</v>
      </c>
      <c r="H189" s="11" t="s">
        <v>94</v>
      </c>
      <c r="I189" s="11" t="s">
        <v>180</v>
      </c>
      <c r="J189" s="11" t="s">
        <v>181</v>
      </c>
      <c r="K189" s="11"/>
      <c r="L189" s="11" t="s">
        <v>1235</v>
      </c>
      <c r="M189" s="11" t="s">
        <v>99</v>
      </c>
      <c r="N189" s="11" t="s">
        <v>100</v>
      </c>
      <c r="O189" s="11" t="s">
        <v>101</v>
      </c>
      <c r="P189" s="11" t="s">
        <v>102</v>
      </c>
      <c r="Q189" s="12">
        <v>113.801953</v>
      </c>
      <c r="R189" s="13">
        <v>22.739058</v>
      </c>
      <c r="S189" s="11" t="s">
        <v>1236</v>
      </c>
      <c r="T189" s="11"/>
      <c r="U189" s="11" t="s">
        <v>104</v>
      </c>
      <c r="V189" s="11" t="s">
        <v>105</v>
      </c>
      <c r="W189" s="11" t="s">
        <v>106</v>
      </c>
      <c r="X189" s="11"/>
      <c r="Y189" s="11"/>
      <c r="Z189" s="11"/>
      <c r="AA189" s="12">
        <v>188</v>
      </c>
      <c r="AB189" s="12"/>
      <c r="AC189" s="11" t="s">
        <v>107</v>
      </c>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row>
    <row r="190" spans="1:56" ht="56" x14ac:dyDescent="0.25">
      <c r="A190" s="11" t="s">
        <v>1237</v>
      </c>
      <c r="B190" s="11" t="s">
        <v>1238</v>
      </c>
      <c r="C190" s="11"/>
      <c r="D190" s="11" t="s">
        <v>91</v>
      </c>
      <c r="E190" s="11" t="s">
        <v>92</v>
      </c>
      <c r="F190" s="11" t="s">
        <v>1191</v>
      </c>
      <c r="G190" s="11" t="s">
        <v>1239</v>
      </c>
      <c r="H190" s="11" t="s">
        <v>94</v>
      </c>
      <c r="I190" s="11" t="s">
        <v>180</v>
      </c>
      <c r="J190" s="11" t="s">
        <v>181</v>
      </c>
      <c r="K190" s="11"/>
      <c r="L190" s="11" t="s">
        <v>1240</v>
      </c>
      <c r="M190" s="11" t="s">
        <v>99</v>
      </c>
      <c r="N190" s="11" t="s">
        <v>100</v>
      </c>
      <c r="O190" s="11" t="s">
        <v>101</v>
      </c>
      <c r="P190" s="11" t="s">
        <v>102</v>
      </c>
      <c r="Q190" s="12">
        <v>113.81679800000001</v>
      </c>
      <c r="R190" s="13">
        <v>22.717749999999999</v>
      </c>
      <c r="S190" s="11" t="s">
        <v>1241</v>
      </c>
      <c r="T190" s="11"/>
      <c r="U190" s="11" t="s">
        <v>104</v>
      </c>
      <c r="V190" s="11" t="s">
        <v>105</v>
      </c>
      <c r="W190" s="11" t="s">
        <v>106</v>
      </c>
      <c r="X190" s="11"/>
      <c r="Y190" s="11"/>
      <c r="Z190" s="11"/>
      <c r="AA190" s="12">
        <v>189</v>
      </c>
      <c r="AB190" s="12"/>
      <c r="AC190" s="11" t="s">
        <v>107</v>
      </c>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row>
    <row r="191" spans="1:56" ht="56" x14ac:dyDescent="0.25">
      <c r="A191" s="11" t="s">
        <v>1242</v>
      </c>
      <c r="B191" s="11" t="s">
        <v>1243</v>
      </c>
      <c r="C191" s="11"/>
      <c r="D191" s="11" t="s">
        <v>91</v>
      </c>
      <c r="E191" s="11" t="s">
        <v>92</v>
      </c>
      <c r="F191" s="11" t="s">
        <v>924</v>
      </c>
      <c r="G191" s="11" t="s">
        <v>1244</v>
      </c>
      <c r="H191" s="11" t="s">
        <v>94</v>
      </c>
      <c r="I191" s="11" t="s">
        <v>180</v>
      </c>
      <c r="J191" s="11" t="s">
        <v>181</v>
      </c>
      <c r="K191" s="11"/>
      <c r="L191" s="11" t="s">
        <v>1245</v>
      </c>
      <c r="M191" s="11" t="s">
        <v>99</v>
      </c>
      <c r="N191" s="11" t="s">
        <v>100</v>
      </c>
      <c r="O191" s="11" t="s">
        <v>101</v>
      </c>
      <c r="P191" s="11" t="s">
        <v>102</v>
      </c>
      <c r="Q191" s="12">
        <v>113.80315899999999</v>
      </c>
      <c r="R191" s="13">
        <v>22.757066999999999</v>
      </c>
      <c r="S191" s="11" t="s">
        <v>1246</v>
      </c>
      <c r="T191" s="11"/>
      <c r="U191" s="11" t="s">
        <v>104</v>
      </c>
      <c r="V191" s="11" t="s">
        <v>105</v>
      </c>
      <c r="W191" s="11" t="s">
        <v>106</v>
      </c>
      <c r="X191" s="11"/>
      <c r="Y191" s="11"/>
      <c r="Z191" s="11"/>
      <c r="AA191" s="12">
        <v>190</v>
      </c>
      <c r="AB191" s="12"/>
      <c r="AC191" s="11" t="s">
        <v>107</v>
      </c>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row>
    <row r="192" spans="1:56" ht="56" x14ac:dyDescent="0.25">
      <c r="A192" s="11" t="s">
        <v>1247</v>
      </c>
      <c r="B192" s="11" t="s">
        <v>1248</v>
      </c>
      <c r="C192" s="11"/>
      <c r="D192" s="11" t="s">
        <v>91</v>
      </c>
      <c r="E192" s="11" t="s">
        <v>92</v>
      </c>
      <c r="F192" s="11" t="s">
        <v>1249</v>
      </c>
      <c r="G192" s="11" t="s">
        <v>1250</v>
      </c>
      <c r="H192" s="11" t="s">
        <v>94</v>
      </c>
      <c r="I192" s="11" t="s">
        <v>180</v>
      </c>
      <c r="J192" s="11" t="s">
        <v>181</v>
      </c>
      <c r="K192" s="11"/>
      <c r="L192" s="11" t="s">
        <v>1251</v>
      </c>
      <c r="M192" s="11" t="s">
        <v>99</v>
      </c>
      <c r="N192" s="11" t="s">
        <v>100</v>
      </c>
      <c r="O192" s="11" t="s">
        <v>101</v>
      </c>
      <c r="P192" s="11" t="s">
        <v>102</v>
      </c>
      <c r="Q192" s="12">
        <v>113.804339</v>
      </c>
      <c r="R192" s="13">
        <v>22.688164</v>
      </c>
      <c r="S192" s="11" t="s">
        <v>1252</v>
      </c>
      <c r="T192" s="11"/>
      <c r="U192" s="11" t="s">
        <v>104</v>
      </c>
      <c r="V192" s="11" t="s">
        <v>105</v>
      </c>
      <c r="W192" s="11" t="s">
        <v>106</v>
      </c>
      <c r="X192" s="11"/>
      <c r="Y192" s="11"/>
      <c r="Z192" s="11"/>
      <c r="AA192" s="12">
        <v>191</v>
      </c>
      <c r="AB192" s="12"/>
      <c r="AC192" s="11" t="s">
        <v>244</v>
      </c>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row>
    <row r="193" spans="1:56" ht="56" x14ac:dyDescent="0.25">
      <c r="A193" s="11" t="s">
        <v>1253</v>
      </c>
      <c r="B193" s="11" t="s">
        <v>1254</v>
      </c>
      <c r="C193" s="11"/>
      <c r="D193" s="11" t="s">
        <v>91</v>
      </c>
      <c r="E193" s="11" t="s">
        <v>92</v>
      </c>
      <c r="F193" s="11" t="s">
        <v>1191</v>
      </c>
      <c r="G193" s="11" t="s">
        <v>1255</v>
      </c>
      <c r="H193" s="11" t="s">
        <v>94</v>
      </c>
      <c r="I193" s="11" t="s">
        <v>180</v>
      </c>
      <c r="J193" s="11" t="s">
        <v>181</v>
      </c>
      <c r="K193" s="11"/>
      <c r="L193" s="11" t="s">
        <v>1256</v>
      </c>
      <c r="M193" s="11" t="s">
        <v>99</v>
      </c>
      <c r="N193" s="11" t="s">
        <v>100</v>
      </c>
      <c r="O193" s="11" t="s">
        <v>101</v>
      </c>
      <c r="P193" s="11" t="s">
        <v>102</v>
      </c>
      <c r="Q193" s="12">
        <v>113.80099800000001</v>
      </c>
      <c r="R193" s="13">
        <v>22.737051000000001</v>
      </c>
      <c r="S193" s="11" t="s">
        <v>1257</v>
      </c>
      <c r="T193" s="11"/>
      <c r="U193" s="11" t="s">
        <v>104</v>
      </c>
      <c r="V193" s="11" t="s">
        <v>105</v>
      </c>
      <c r="W193" s="11" t="s">
        <v>106</v>
      </c>
      <c r="X193" s="11"/>
      <c r="Y193" s="11"/>
      <c r="Z193" s="11"/>
      <c r="AA193" s="12">
        <v>192</v>
      </c>
      <c r="AB193" s="12"/>
      <c r="AC193" s="11" t="s">
        <v>244</v>
      </c>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row>
    <row r="194" spans="1:56" ht="56" x14ac:dyDescent="0.25">
      <c r="A194" s="11" t="s">
        <v>1258</v>
      </c>
      <c r="B194" s="11" t="s">
        <v>1259</v>
      </c>
      <c r="C194" s="11"/>
      <c r="D194" s="11" t="s">
        <v>91</v>
      </c>
      <c r="E194" s="11" t="s">
        <v>92</v>
      </c>
      <c r="F194" s="11" t="s">
        <v>1260</v>
      </c>
      <c r="G194" s="11" t="s">
        <v>1261</v>
      </c>
      <c r="H194" s="11" t="s">
        <v>94</v>
      </c>
      <c r="I194" s="11" t="s">
        <v>180</v>
      </c>
      <c r="J194" s="11" t="s">
        <v>181</v>
      </c>
      <c r="K194" s="11"/>
      <c r="L194" s="11" t="s">
        <v>1262</v>
      </c>
      <c r="M194" s="11" t="s">
        <v>99</v>
      </c>
      <c r="N194" s="11" t="s">
        <v>100</v>
      </c>
      <c r="O194" s="11" t="s">
        <v>101</v>
      </c>
      <c r="P194" s="11" t="s">
        <v>102</v>
      </c>
      <c r="Q194" s="12">
        <v>113.81782200000001</v>
      </c>
      <c r="R194" s="13">
        <v>22.664244</v>
      </c>
      <c r="S194" s="11" t="s">
        <v>1263</v>
      </c>
      <c r="T194" s="11"/>
      <c r="U194" s="11" t="s">
        <v>104</v>
      </c>
      <c r="V194" s="11" t="s">
        <v>105</v>
      </c>
      <c r="W194" s="11" t="s">
        <v>106</v>
      </c>
      <c r="X194" s="11"/>
      <c r="Y194" s="11"/>
      <c r="Z194" s="11"/>
      <c r="AA194" s="12">
        <v>193</v>
      </c>
      <c r="AB194" s="12"/>
      <c r="AC194" s="11" t="s">
        <v>244</v>
      </c>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row>
    <row r="195" spans="1:56" ht="56" x14ac:dyDescent="0.25">
      <c r="A195" s="11" t="s">
        <v>1264</v>
      </c>
      <c r="B195" s="11" t="s">
        <v>1265</v>
      </c>
      <c r="C195" s="11"/>
      <c r="D195" s="11" t="s">
        <v>91</v>
      </c>
      <c r="E195" s="11" t="s">
        <v>92</v>
      </c>
      <c r="F195" s="11" t="s">
        <v>630</v>
      </c>
      <c r="G195" s="11" t="s">
        <v>1266</v>
      </c>
      <c r="H195" s="11" t="s">
        <v>94</v>
      </c>
      <c r="I195" s="11" t="s">
        <v>180</v>
      </c>
      <c r="J195" s="11" t="s">
        <v>181</v>
      </c>
      <c r="K195" s="11"/>
      <c r="L195" s="11" t="s">
        <v>1267</v>
      </c>
      <c r="M195" s="11" t="s">
        <v>99</v>
      </c>
      <c r="N195" s="11" t="s">
        <v>100</v>
      </c>
      <c r="O195" s="11" t="s">
        <v>101</v>
      </c>
      <c r="P195" s="11" t="s">
        <v>102</v>
      </c>
      <c r="Q195" s="12">
        <v>113.81761299999999</v>
      </c>
      <c r="R195" s="13">
        <v>22.661076000000001</v>
      </c>
      <c r="S195" s="11" t="s">
        <v>1268</v>
      </c>
      <c r="T195" s="11"/>
      <c r="U195" s="11" t="s">
        <v>104</v>
      </c>
      <c r="V195" s="11" t="s">
        <v>105</v>
      </c>
      <c r="W195" s="11" t="s">
        <v>106</v>
      </c>
      <c r="X195" s="11"/>
      <c r="Y195" s="11"/>
      <c r="Z195" s="11"/>
      <c r="AA195" s="12">
        <v>194</v>
      </c>
      <c r="AB195" s="12"/>
      <c r="AC195" s="11" t="s">
        <v>244</v>
      </c>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row>
    <row r="196" spans="1:56" ht="56" x14ac:dyDescent="0.25">
      <c r="A196" s="11" t="s">
        <v>1269</v>
      </c>
      <c r="B196" s="11" t="s">
        <v>1270</v>
      </c>
      <c r="C196" s="11"/>
      <c r="D196" s="11" t="s">
        <v>91</v>
      </c>
      <c r="E196" s="11" t="s">
        <v>92</v>
      </c>
      <c r="F196" s="11" t="s">
        <v>1271</v>
      </c>
      <c r="G196" s="11" t="s">
        <v>1272</v>
      </c>
      <c r="H196" s="11" t="s">
        <v>94</v>
      </c>
      <c r="I196" s="11" t="s">
        <v>1273</v>
      </c>
      <c r="J196" s="11" t="s">
        <v>1274</v>
      </c>
      <c r="K196" s="11"/>
      <c r="L196" s="11" t="s">
        <v>1275</v>
      </c>
      <c r="M196" s="11" t="s">
        <v>99</v>
      </c>
      <c r="N196" s="11" t="s">
        <v>100</v>
      </c>
      <c r="O196" s="11" t="s">
        <v>101</v>
      </c>
      <c r="P196" s="11" t="s">
        <v>102</v>
      </c>
      <c r="Q196" s="12">
        <v>114.492763</v>
      </c>
      <c r="R196" s="13">
        <v>23.109147</v>
      </c>
      <c r="S196" s="11" t="s">
        <v>1276</v>
      </c>
      <c r="T196" s="11"/>
      <c r="U196" s="11" t="s">
        <v>104</v>
      </c>
      <c r="V196" s="11" t="s">
        <v>105</v>
      </c>
      <c r="W196" s="11" t="s">
        <v>106</v>
      </c>
      <c r="X196" s="11"/>
      <c r="Y196" s="11"/>
      <c r="Z196" s="11"/>
      <c r="AA196" s="12">
        <v>195</v>
      </c>
      <c r="AB196" s="12"/>
      <c r="AC196" s="11" t="s">
        <v>244</v>
      </c>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row>
    <row r="197" spans="1:56" ht="56" x14ac:dyDescent="0.25">
      <c r="A197" s="11" t="s">
        <v>1277</v>
      </c>
      <c r="B197" s="11" t="s">
        <v>1278</v>
      </c>
      <c r="C197" s="11"/>
      <c r="D197" s="11" t="s">
        <v>91</v>
      </c>
      <c r="E197" s="11" t="s">
        <v>92</v>
      </c>
      <c r="F197" s="11" t="s">
        <v>1271</v>
      </c>
      <c r="G197" s="11" t="s">
        <v>1272</v>
      </c>
      <c r="H197" s="11" t="s">
        <v>94</v>
      </c>
      <c r="I197" s="11" t="s">
        <v>1273</v>
      </c>
      <c r="J197" s="11" t="s">
        <v>1274</v>
      </c>
      <c r="K197" s="11"/>
      <c r="L197" s="11" t="s">
        <v>1279</v>
      </c>
      <c r="M197" s="11" t="s">
        <v>99</v>
      </c>
      <c r="N197" s="11" t="s">
        <v>100</v>
      </c>
      <c r="O197" s="11" t="s">
        <v>101</v>
      </c>
      <c r="P197" s="11" t="s">
        <v>102</v>
      </c>
      <c r="Q197" s="12">
        <v>114.50975800000001</v>
      </c>
      <c r="R197" s="13">
        <v>23.119251999999999</v>
      </c>
      <c r="S197" s="11" t="s">
        <v>1280</v>
      </c>
      <c r="T197" s="11"/>
      <c r="U197" s="11" t="s">
        <v>104</v>
      </c>
      <c r="V197" s="11" t="s">
        <v>105</v>
      </c>
      <c r="W197" s="11" t="s">
        <v>106</v>
      </c>
      <c r="X197" s="11"/>
      <c r="Y197" s="11"/>
      <c r="Z197" s="11"/>
      <c r="AA197" s="12">
        <v>196</v>
      </c>
      <c r="AB197" s="12"/>
      <c r="AC197" s="11" t="s">
        <v>244</v>
      </c>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row>
    <row r="198" spans="1:56" ht="70" x14ac:dyDescent="0.25">
      <c r="A198" s="11" t="s">
        <v>1281</v>
      </c>
      <c r="B198" s="11" t="s">
        <v>1282</v>
      </c>
      <c r="C198" s="11"/>
      <c r="D198" s="11" t="s">
        <v>91</v>
      </c>
      <c r="E198" s="11" t="s">
        <v>92</v>
      </c>
      <c r="F198" s="11" t="s">
        <v>1283</v>
      </c>
      <c r="G198" s="11" t="s">
        <v>1284</v>
      </c>
      <c r="H198" s="11" t="s">
        <v>94</v>
      </c>
      <c r="I198" s="11" t="s">
        <v>112</v>
      </c>
      <c r="J198" s="11" t="s">
        <v>112</v>
      </c>
      <c r="K198" s="11" t="s">
        <v>1285</v>
      </c>
      <c r="L198" s="11" t="s">
        <v>1286</v>
      </c>
      <c r="M198" s="11" t="s">
        <v>99</v>
      </c>
      <c r="N198" s="11" t="s">
        <v>100</v>
      </c>
      <c r="O198" s="11" t="s">
        <v>101</v>
      </c>
      <c r="P198" s="11" t="s">
        <v>102</v>
      </c>
      <c r="Q198" s="12">
        <v>114.066287</v>
      </c>
      <c r="R198" s="13">
        <v>22.766757999999999</v>
      </c>
      <c r="S198" s="11" t="s">
        <v>1287</v>
      </c>
      <c r="T198" s="11"/>
      <c r="U198" s="11" t="s">
        <v>104</v>
      </c>
      <c r="V198" s="11" t="s">
        <v>105</v>
      </c>
      <c r="W198" s="11" t="s">
        <v>106</v>
      </c>
      <c r="X198" s="11"/>
      <c r="Y198" s="11"/>
      <c r="Z198" s="11"/>
      <c r="AA198" s="12">
        <v>197</v>
      </c>
      <c r="AB198" s="12"/>
      <c r="AC198" s="11" t="s">
        <v>244</v>
      </c>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row>
    <row r="199" spans="1:56" ht="56" x14ac:dyDescent="0.25">
      <c r="A199" s="11" t="s">
        <v>1288</v>
      </c>
      <c r="B199" s="11" t="s">
        <v>1289</v>
      </c>
      <c r="C199" s="11"/>
      <c r="D199" s="11" t="s">
        <v>91</v>
      </c>
      <c r="E199" s="11" t="s">
        <v>92</v>
      </c>
      <c r="F199" s="11" t="s">
        <v>1191</v>
      </c>
      <c r="G199" s="11" t="s">
        <v>1290</v>
      </c>
      <c r="H199" s="11" t="s">
        <v>94</v>
      </c>
      <c r="I199" s="11" t="s">
        <v>112</v>
      </c>
      <c r="J199" s="11" t="s">
        <v>112</v>
      </c>
      <c r="K199" s="11" t="s">
        <v>1291</v>
      </c>
      <c r="L199" s="11" t="s">
        <v>1292</v>
      </c>
      <c r="M199" s="11" t="s">
        <v>99</v>
      </c>
      <c r="N199" s="11" t="s">
        <v>100</v>
      </c>
      <c r="O199" s="11" t="s">
        <v>101</v>
      </c>
      <c r="P199" s="11" t="s">
        <v>102</v>
      </c>
      <c r="Q199" s="12">
        <v>114.163382</v>
      </c>
      <c r="R199" s="13">
        <v>22.756409000000001</v>
      </c>
      <c r="S199" s="11" t="s">
        <v>1293</v>
      </c>
      <c r="T199" s="11"/>
      <c r="U199" s="11" t="s">
        <v>104</v>
      </c>
      <c r="V199" s="11" t="s">
        <v>105</v>
      </c>
      <c r="W199" s="11" t="s">
        <v>106</v>
      </c>
      <c r="X199" s="11"/>
      <c r="Y199" s="11"/>
      <c r="Z199" s="11"/>
      <c r="AA199" s="12">
        <v>198</v>
      </c>
      <c r="AB199" s="12"/>
      <c r="AC199" s="11" t="s">
        <v>107</v>
      </c>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row>
    <row r="200" spans="1:56" ht="56" x14ac:dyDescent="0.25">
      <c r="A200" s="11" t="s">
        <v>1294</v>
      </c>
      <c r="B200" s="11" t="s">
        <v>1295</v>
      </c>
      <c r="C200" s="11"/>
      <c r="D200" s="11" t="s">
        <v>91</v>
      </c>
      <c r="E200" s="11" t="s">
        <v>92</v>
      </c>
      <c r="F200" s="11" t="s">
        <v>1296</v>
      </c>
      <c r="G200" s="11" t="s">
        <v>1297</v>
      </c>
      <c r="H200" s="11" t="s">
        <v>94</v>
      </c>
      <c r="I200" s="11" t="s">
        <v>112</v>
      </c>
      <c r="J200" s="11" t="s">
        <v>112</v>
      </c>
      <c r="K200" s="11" t="s">
        <v>1285</v>
      </c>
      <c r="L200" s="11" t="s">
        <v>1298</v>
      </c>
      <c r="M200" s="11" t="s">
        <v>99</v>
      </c>
      <c r="N200" s="11" t="s">
        <v>100</v>
      </c>
      <c r="O200" s="11" t="s">
        <v>101</v>
      </c>
      <c r="P200" s="11" t="s">
        <v>102</v>
      </c>
      <c r="Q200" s="12">
        <v>114.11372299999999</v>
      </c>
      <c r="R200" s="13">
        <v>22.781410000000001</v>
      </c>
      <c r="S200" s="11" t="s">
        <v>1299</v>
      </c>
      <c r="T200" s="11"/>
      <c r="U200" s="11" t="s">
        <v>104</v>
      </c>
      <c r="V200" s="11" t="s">
        <v>105</v>
      </c>
      <c r="W200" s="11" t="s">
        <v>106</v>
      </c>
      <c r="X200" s="11"/>
      <c r="Y200" s="11"/>
      <c r="Z200" s="11"/>
      <c r="AA200" s="12">
        <v>199</v>
      </c>
      <c r="AB200" s="12"/>
      <c r="AC200" s="11" t="s">
        <v>107</v>
      </c>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row>
    <row r="201" spans="1:56" ht="56" x14ac:dyDescent="0.25">
      <c r="A201" s="11" t="s">
        <v>1300</v>
      </c>
      <c r="B201" s="11" t="s">
        <v>1301</v>
      </c>
      <c r="C201" s="11"/>
      <c r="D201" s="11" t="s">
        <v>91</v>
      </c>
      <c r="E201" s="11" t="s">
        <v>92</v>
      </c>
      <c r="F201" s="11" t="s">
        <v>1302</v>
      </c>
      <c r="G201" s="11" t="s">
        <v>1303</v>
      </c>
      <c r="H201" s="11" t="s">
        <v>94</v>
      </c>
      <c r="I201" s="11" t="s">
        <v>112</v>
      </c>
      <c r="J201" s="11" t="s">
        <v>112</v>
      </c>
      <c r="K201" s="11" t="s">
        <v>1285</v>
      </c>
      <c r="L201" s="11" t="s">
        <v>1304</v>
      </c>
      <c r="M201" s="11" t="s">
        <v>99</v>
      </c>
      <c r="N201" s="11" t="s">
        <v>100</v>
      </c>
      <c r="O201" s="11" t="s">
        <v>101</v>
      </c>
      <c r="P201" s="11" t="s">
        <v>102</v>
      </c>
      <c r="Q201" s="12">
        <v>114.04979299999999</v>
      </c>
      <c r="R201" s="13">
        <v>22.795656999999999</v>
      </c>
      <c r="S201" s="11" t="s">
        <v>1305</v>
      </c>
      <c r="T201" s="11"/>
      <c r="U201" s="11" t="s">
        <v>104</v>
      </c>
      <c r="V201" s="11" t="s">
        <v>105</v>
      </c>
      <c r="W201" s="11" t="s">
        <v>106</v>
      </c>
      <c r="X201" s="11"/>
      <c r="Y201" s="11"/>
      <c r="Z201" s="11"/>
      <c r="AA201" s="12">
        <v>200</v>
      </c>
      <c r="AB201" s="12"/>
      <c r="AC201" s="11" t="s">
        <v>107</v>
      </c>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row>
    <row r="202" spans="1:56" ht="56" x14ac:dyDescent="0.25">
      <c r="A202" s="11" t="s">
        <v>1306</v>
      </c>
      <c r="B202" s="11" t="s">
        <v>1307</v>
      </c>
      <c r="C202" s="11"/>
      <c r="D202" s="11" t="s">
        <v>91</v>
      </c>
      <c r="E202" s="11" t="s">
        <v>92</v>
      </c>
      <c r="F202" s="11" t="s">
        <v>1308</v>
      </c>
      <c r="G202" s="11" t="s">
        <v>1309</v>
      </c>
      <c r="H202" s="11" t="s">
        <v>94</v>
      </c>
      <c r="I202" s="11" t="s">
        <v>112</v>
      </c>
      <c r="J202" s="11" t="s">
        <v>112</v>
      </c>
      <c r="K202" s="11" t="s">
        <v>1285</v>
      </c>
      <c r="L202" s="11" t="s">
        <v>1310</v>
      </c>
      <c r="M202" s="11" t="s">
        <v>99</v>
      </c>
      <c r="N202" s="11" t="s">
        <v>100</v>
      </c>
      <c r="O202" s="11" t="s">
        <v>101</v>
      </c>
      <c r="P202" s="11" t="s">
        <v>102</v>
      </c>
      <c r="Q202" s="12">
        <v>114.091471</v>
      </c>
      <c r="R202" s="13">
        <v>22.809141</v>
      </c>
      <c r="S202" s="11" t="s">
        <v>1311</v>
      </c>
      <c r="T202" s="11"/>
      <c r="U202" s="11" t="s">
        <v>104</v>
      </c>
      <c r="V202" s="11" t="s">
        <v>105</v>
      </c>
      <c r="W202" s="11" t="s">
        <v>106</v>
      </c>
      <c r="X202" s="11"/>
      <c r="Y202" s="11"/>
      <c r="Z202" s="11"/>
      <c r="AA202" s="12">
        <v>201</v>
      </c>
      <c r="AB202" s="12"/>
      <c r="AC202" s="11" t="s">
        <v>244</v>
      </c>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row>
    <row r="203" spans="1:56" ht="56" x14ac:dyDescent="0.25">
      <c r="A203" s="11" t="s">
        <v>1312</v>
      </c>
      <c r="B203" s="11" t="s">
        <v>1313</v>
      </c>
      <c r="C203" s="11"/>
      <c r="D203" s="11" t="s">
        <v>91</v>
      </c>
      <c r="E203" s="11" t="s">
        <v>92</v>
      </c>
      <c r="F203" s="11" t="s">
        <v>1314</v>
      </c>
      <c r="G203" s="11" t="s">
        <v>1315</v>
      </c>
      <c r="H203" s="11" t="s">
        <v>94</v>
      </c>
      <c r="I203" s="11" t="s">
        <v>112</v>
      </c>
      <c r="J203" s="11" t="s">
        <v>112</v>
      </c>
      <c r="K203" s="11" t="s">
        <v>1285</v>
      </c>
      <c r="L203" s="11" t="s">
        <v>1316</v>
      </c>
      <c r="M203" s="11" t="s">
        <v>99</v>
      </c>
      <c r="N203" s="11" t="s">
        <v>100</v>
      </c>
      <c r="O203" s="11" t="s">
        <v>101</v>
      </c>
      <c r="P203" s="11" t="s">
        <v>102</v>
      </c>
      <c r="Q203" s="12">
        <v>114.10598</v>
      </c>
      <c r="R203" s="13">
        <v>22.816495</v>
      </c>
      <c r="S203" s="11" t="s">
        <v>1317</v>
      </c>
      <c r="T203" s="11"/>
      <c r="U203" s="11" t="s">
        <v>104</v>
      </c>
      <c r="V203" s="11" t="s">
        <v>105</v>
      </c>
      <c r="W203" s="11" t="s">
        <v>106</v>
      </c>
      <c r="X203" s="11"/>
      <c r="Y203" s="11"/>
      <c r="Z203" s="11"/>
      <c r="AA203" s="12">
        <v>202</v>
      </c>
      <c r="AB203" s="12"/>
      <c r="AC203" s="11" t="s">
        <v>244</v>
      </c>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row>
    <row r="204" spans="1:56" ht="70" x14ac:dyDescent="0.25">
      <c r="A204" s="11" t="s">
        <v>1318</v>
      </c>
      <c r="B204" s="11" t="s">
        <v>1319</v>
      </c>
      <c r="C204" s="11"/>
      <c r="D204" s="11" t="s">
        <v>91</v>
      </c>
      <c r="E204" s="11" t="s">
        <v>92</v>
      </c>
      <c r="F204" s="11" t="s">
        <v>1320</v>
      </c>
      <c r="G204" s="11" t="s">
        <v>1321</v>
      </c>
      <c r="H204" s="11" t="s">
        <v>94</v>
      </c>
      <c r="I204" s="11" t="s">
        <v>112</v>
      </c>
      <c r="J204" s="11" t="s">
        <v>112</v>
      </c>
      <c r="K204" s="11" t="s">
        <v>1285</v>
      </c>
      <c r="L204" s="11" t="s">
        <v>1322</v>
      </c>
      <c r="M204" s="11" t="s">
        <v>99</v>
      </c>
      <c r="N204" s="11" t="s">
        <v>100</v>
      </c>
      <c r="O204" s="11" t="s">
        <v>101</v>
      </c>
      <c r="P204" s="11" t="s">
        <v>102</v>
      </c>
      <c r="Q204" s="12">
        <v>114.100201</v>
      </c>
      <c r="R204" s="13">
        <v>22.845236</v>
      </c>
      <c r="S204" s="11" t="s">
        <v>1323</v>
      </c>
      <c r="T204" s="11"/>
      <c r="U204" s="11" t="s">
        <v>104</v>
      </c>
      <c r="V204" s="11" t="s">
        <v>105</v>
      </c>
      <c r="W204" s="11" t="s">
        <v>106</v>
      </c>
      <c r="X204" s="11"/>
      <c r="Y204" s="11"/>
      <c r="Z204" s="11"/>
      <c r="AA204" s="12">
        <v>203</v>
      </c>
      <c r="AB204" s="12"/>
      <c r="AC204" s="11" t="s">
        <v>107</v>
      </c>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row>
    <row r="205" spans="1:56" ht="56" x14ac:dyDescent="0.25">
      <c r="A205" s="11" t="s">
        <v>1324</v>
      </c>
      <c r="B205" s="11" t="s">
        <v>1325</v>
      </c>
      <c r="C205" s="11"/>
      <c r="D205" s="11" t="s">
        <v>91</v>
      </c>
      <c r="E205" s="11" t="s">
        <v>92</v>
      </c>
      <c r="F205" s="11" t="s">
        <v>1326</v>
      </c>
      <c r="G205" s="11" t="s">
        <v>1327</v>
      </c>
      <c r="H205" s="11" t="s">
        <v>94</v>
      </c>
      <c r="I205" s="11" t="s">
        <v>112</v>
      </c>
      <c r="J205" s="11" t="s">
        <v>112</v>
      </c>
      <c r="K205" s="11" t="s">
        <v>1291</v>
      </c>
      <c r="L205" s="11" t="s">
        <v>1328</v>
      </c>
      <c r="M205" s="11" t="s">
        <v>99</v>
      </c>
      <c r="N205" s="11" t="s">
        <v>100</v>
      </c>
      <c r="O205" s="11" t="s">
        <v>101</v>
      </c>
      <c r="P205" s="11" t="s">
        <v>102</v>
      </c>
      <c r="Q205" s="12">
        <v>114.17659500000001</v>
      </c>
      <c r="R205" s="13">
        <v>22.752390999999999</v>
      </c>
      <c r="S205" s="11" t="s">
        <v>1329</v>
      </c>
      <c r="T205" s="11"/>
      <c r="U205" s="11" t="s">
        <v>104</v>
      </c>
      <c r="V205" s="11" t="s">
        <v>105</v>
      </c>
      <c r="W205" s="11" t="s">
        <v>106</v>
      </c>
      <c r="X205" s="11"/>
      <c r="Y205" s="11"/>
      <c r="Z205" s="11"/>
      <c r="AA205" s="12">
        <v>204</v>
      </c>
      <c r="AB205" s="12"/>
      <c r="AC205" s="11" t="s">
        <v>107</v>
      </c>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row>
    <row r="206" spans="1:56" ht="56" x14ac:dyDescent="0.25">
      <c r="A206" s="11" t="s">
        <v>1330</v>
      </c>
      <c r="B206" s="11" t="s">
        <v>1331</v>
      </c>
      <c r="C206" s="11"/>
      <c r="D206" s="11" t="s">
        <v>91</v>
      </c>
      <c r="E206" s="11" t="s">
        <v>92</v>
      </c>
      <c r="F206" s="11" t="s">
        <v>1332</v>
      </c>
      <c r="G206" s="11" t="s">
        <v>1333</v>
      </c>
      <c r="H206" s="11" t="s">
        <v>94</v>
      </c>
      <c r="I206" s="11" t="s">
        <v>112</v>
      </c>
      <c r="J206" s="11" t="s">
        <v>112</v>
      </c>
      <c r="K206" s="11" t="s">
        <v>1285</v>
      </c>
      <c r="L206" s="11" t="s">
        <v>1334</v>
      </c>
      <c r="M206" s="11" t="s">
        <v>99</v>
      </c>
      <c r="N206" s="11" t="s">
        <v>100</v>
      </c>
      <c r="O206" s="11" t="s">
        <v>101</v>
      </c>
      <c r="P206" s="11" t="s">
        <v>102</v>
      </c>
      <c r="Q206" s="12">
        <v>114.068122</v>
      </c>
      <c r="R206" s="13">
        <v>22.765350999999999</v>
      </c>
      <c r="S206" s="11" t="s">
        <v>1335</v>
      </c>
      <c r="T206" s="11"/>
      <c r="U206" s="11" t="s">
        <v>104</v>
      </c>
      <c r="V206" s="11" t="s">
        <v>105</v>
      </c>
      <c r="W206" s="11" t="s">
        <v>106</v>
      </c>
      <c r="X206" s="11"/>
      <c r="Y206" s="11"/>
      <c r="Z206" s="11"/>
      <c r="AA206" s="12">
        <v>205</v>
      </c>
      <c r="AB206" s="12"/>
      <c r="AC206" s="11" t="s">
        <v>107</v>
      </c>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row>
    <row r="207" spans="1:56" ht="56" x14ac:dyDescent="0.25">
      <c r="A207" s="11" t="s">
        <v>1336</v>
      </c>
      <c r="B207" s="11" t="s">
        <v>1337</v>
      </c>
      <c r="C207" s="11"/>
      <c r="D207" s="11" t="s">
        <v>91</v>
      </c>
      <c r="E207" s="11" t="s">
        <v>92</v>
      </c>
      <c r="F207" s="11" t="s">
        <v>1338</v>
      </c>
      <c r="G207" s="11" t="s">
        <v>1339</v>
      </c>
      <c r="H207" s="11" t="s">
        <v>94</v>
      </c>
      <c r="I207" s="11" t="s">
        <v>112</v>
      </c>
      <c r="J207" s="11" t="s">
        <v>112</v>
      </c>
      <c r="K207" s="11" t="s">
        <v>1291</v>
      </c>
      <c r="L207" s="11" t="s">
        <v>1340</v>
      </c>
      <c r="M207" s="11" t="s">
        <v>99</v>
      </c>
      <c r="N207" s="11" t="s">
        <v>100</v>
      </c>
      <c r="O207" s="11" t="s">
        <v>101</v>
      </c>
      <c r="P207" s="11" t="s">
        <v>102</v>
      </c>
      <c r="Q207" s="12">
        <v>114.117902</v>
      </c>
      <c r="R207" s="13">
        <v>22.739377000000001</v>
      </c>
      <c r="S207" s="11" t="s">
        <v>1341</v>
      </c>
      <c r="T207" s="11"/>
      <c r="U207" s="11" t="s">
        <v>104</v>
      </c>
      <c r="V207" s="11" t="s">
        <v>105</v>
      </c>
      <c r="W207" s="11" t="s">
        <v>106</v>
      </c>
      <c r="X207" s="11"/>
      <c r="Y207" s="11"/>
      <c r="Z207" s="11"/>
      <c r="AA207" s="12">
        <v>206</v>
      </c>
      <c r="AB207" s="12"/>
      <c r="AC207" s="11" t="s">
        <v>107</v>
      </c>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row>
    <row r="208" spans="1:56" ht="56" x14ac:dyDescent="0.25">
      <c r="A208" s="11" t="s">
        <v>1342</v>
      </c>
      <c r="B208" s="11" t="s">
        <v>1343</v>
      </c>
      <c r="C208" s="11"/>
      <c r="D208" s="11" t="s">
        <v>91</v>
      </c>
      <c r="E208" s="11" t="s">
        <v>92</v>
      </c>
      <c r="F208" s="11" t="s">
        <v>1191</v>
      </c>
      <c r="G208" s="11" t="s">
        <v>1344</v>
      </c>
      <c r="H208" s="11" t="s">
        <v>94</v>
      </c>
      <c r="I208" s="11" t="s">
        <v>112</v>
      </c>
      <c r="J208" s="11" t="s">
        <v>112</v>
      </c>
      <c r="K208" s="11" t="s">
        <v>1285</v>
      </c>
      <c r="L208" s="11" t="s">
        <v>1345</v>
      </c>
      <c r="M208" s="11" t="s">
        <v>99</v>
      </c>
      <c r="N208" s="11" t="s">
        <v>100</v>
      </c>
      <c r="O208" s="11" t="s">
        <v>101</v>
      </c>
      <c r="P208" s="11" t="s">
        <v>102</v>
      </c>
      <c r="Q208" s="12">
        <v>114.09159099999999</v>
      </c>
      <c r="R208" s="13">
        <v>22.805983999999999</v>
      </c>
      <c r="S208" s="11" t="s">
        <v>1346</v>
      </c>
      <c r="T208" s="11"/>
      <c r="U208" s="11" t="s">
        <v>104</v>
      </c>
      <c r="V208" s="11" t="s">
        <v>105</v>
      </c>
      <c r="W208" s="11" t="s">
        <v>106</v>
      </c>
      <c r="X208" s="11"/>
      <c r="Y208" s="11"/>
      <c r="Z208" s="11"/>
      <c r="AA208" s="12">
        <v>207</v>
      </c>
      <c r="AB208" s="12"/>
      <c r="AC208" s="11" t="s">
        <v>107</v>
      </c>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row>
    <row r="209" spans="1:56" ht="56" x14ac:dyDescent="0.25">
      <c r="A209" s="11" t="s">
        <v>1347</v>
      </c>
      <c r="B209" s="11" t="s">
        <v>1348</v>
      </c>
      <c r="C209" s="11"/>
      <c r="D209" s="11" t="s">
        <v>91</v>
      </c>
      <c r="E209" s="11" t="s">
        <v>92</v>
      </c>
      <c r="F209" s="11" t="s">
        <v>1349</v>
      </c>
      <c r="G209" s="11" t="s">
        <v>1350</v>
      </c>
      <c r="H209" s="11" t="s">
        <v>94</v>
      </c>
      <c r="I209" s="11" t="s">
        <v>112</v>
      </c>
      <c r="J209" s="11" t="s">
        <v>112</v>
      </c>
      <c r="K209" s="11" t="s">
        <v>1351</v>
      </c>
      <c r="L209" s="11" t="s">
        <v>1352</v>
      </c>
      <c r="M209" s="11" t="s">
        <v>99</v>
      </c>
      <c r="N209" s="11" t="s">
        <v>100</v>
      </c>
      <c r="O209" s="11" t="s">
        <v>101</v>
      </c>
      <c r="P209" s="11" t="s">
        <v>102</v>
      </c>
      <c r="Q209" s="12">
        <v>113.81961800000001</v>
      </c>
      <c r="R209" s="13">
        <v>23.019653000000002</v>
      </c>
      <c r="S209" s="11" t="s">
        <v>1353</v>
      </c>
      <c r="T209" s="11"/>
      <c r="U209" s="11" t="s">
        <v>104</v>
      </c>
      <c r="V209" s="11" t="s">
        <v>105</v>
      </c>
      <c r="W209" s="11" t="s">
        <v>106</v>
      </c>
      <c r="X209" s="11"/>
      <c r="Y209" s="11"/>
      <c r="Z209" s="11"/>
      <c r="AA209" s="12">
        <v>208</v>
      </c>
      <c r="AB209" s="12"/>
      <c r="AC209" s="11" t="s">
        <v>244</v>
      </c>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row>
    <row r="210" spans="1:56" ht="56" x14ac:dyDescent="0.25">
      <c r="A210" s="11" t="s">
        <v>1354</v>
      </c>
      <c r="B210" s="11" t="s">
        <v>1355</v>
      </c>
      <c r="C210" s="11"/>
      <c r="D210" s="11" t="s">
        <v>91</v>
      </c>
      <c r="E210" s="11" t="s">
        <v>92</v>
      </c>
      <c r="F210" s="11" t="s">
        <v>1356</v>
      </c>
      <c r="G210" s="11" t="s">
        <v>1357</v>
      </c>
      <c r="H210" s="11" t="s">
        <v>94</v>
      </c>
      <c r="I210" s="11" t="s">
        <v>112</v>
      </c>
      <c r="J210" s="11" t="s">
        <v>112</v>
      </c>
      <c r="K210" s="11" t="s">
        <v>1358</v>
      </c>
      <c r="L210" s="11" t="s">
        <v>1359</v>
      </c>
      <c r="M210" s="11" t="s">
        <v>99</v>
      </c>
      <c r="N210" s="11" t="s">
        <v>100</v>
      </c>
      <c r="O210" s="11" t="s">
        <v>101</v>
      </c>
      <c r="P210" s="11" t="s">
        <v>102</v>
      </c>
      <c r="Q210" s="12">
        <v>113.82784100000001</v>
      </c>
      <c r="R210" s="13">
        <v>23.044976999999999</v>
      </c>
      <c r="S210" s="11" t="s">
        <v>1360</v>
      </c>
      <c r="T210" s="11"/>
      <c r="U210" s="11" t="s">
        <v>104</v>
      </c>
      <c r="V210" s="11" t="s">
        <v>105</v>
      </c>
      <c r="W210" s="11" t="s">
        <v>106</v>
      </c>
      <c r="X210" s="11"/>
      <c r="Y210" s="11"/>
      <c r="Z210" s="11"/>
      <c r="AA210" s="12">
        <v>209</v>
      </c>
      <c r="AB210" s="12"/>
      <c r="AC210" s="11" t="s">
        <v>244</v>
      </c>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row>
    <row r="211" spans="1:56" ht="56" x14ac:dyDescent="0.25">
      <c r="A211" s="11" t="s">
        <v>1361</v>
      </c>
      <c r="B211" s="11" t="s">
        <v>1362</v>
      </c>
      <c r="C211" s="11"/>
      <c r="D211" s="11" t="s">
        <v>91</v>
      </c>
      <c r="E211" s="11" t="s">
        <v>92</v>
      </c>
      <c r="F211" s="11" t="s">
        <v>1363</v>
      </c>
      <c r="G211" s="11" t="s">
        <v>1364</v>
      </c>
      <c r="H211" s="11" t="s">
        <v>94</v>
      </c>
      <c r="I211" s="11" t="s">
        <v>112</v>
      </c>
      <c r="J211" s="11" t="s">
        <v>112</v>
      </c>
      <c r="K211" s="11" t="s">
        <v>1351</v>
      </c>
      <c r="L211" s="11" t="s">
        <v>1365</v>
      </c>
      <c r="M211" s="11" t="s">
        <v>99</v>
      </c>
      <c r="N211" s="11" t="s">
        <v>100</v>
      </c>
      <c r="O211" s="11" t="s">
        <v>101</v>
      </c>
      <c r="P211" s="11" t="s">
        <v>102</v>
      </c>
      <c r="Q211" s="12">
        <v>113.83358800000001</v>
      </c>
      <c r="R211" s="13">
        <v>23.029807999999999</v>
      </c>
      <c r="S211" s="11" t="s">
        <v>1366</v>
      </c>
      <c r="T211" s="11"/>
      <c r="U211" s="11" t="s">
        <v>104</v>
      </c>
      <c r="V211" s="11" t="s">
        <v>105</v>
      </c>
      <c r="W211" s="11" t="s">
        <v>106</v>
      </c>
      <c r="X211" s="11"/>
      <c r="Y211" s="11"/>
      <c r="Z211" s="11"/>
      <c r="AA211" s="12">
        <v>210</v>
      </c>
      <c r="AB211" s="12"/>
      <c r="AC211" s="11" t="s">
        <v>244</v>
      </c>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row>
    <row r="212" spans="1:56" ht="56" x14ac:dyDescent="0.25">
      <c r="A212" s="11" t="s">
        <v>1367</v>
      </c>
      <c r="B212" s="11" t="s">
        <v>1368</v>
      </c>
      <c r="C212" s="11"/>
      <c r="D212" s="11" t="s">
        <v>91</v>
      </c>
      <c r="E212" s="11" t="s">
        <v>92</v>
      </c>
      <c r="F212" s="11" t="s">
        <v>1191</v>
      </c>
      <c r="G212" s="11" t="s">
        <v>1369</v>
      </c>
      <c r="H212" s="11" t="s">
        <v>94</v>
      </c>
      <c r="I212" s="11" t="s">
        <v>112</v>
      </c>
      <c r="J212" s="11" t="s">
        <v>112</v>
      </c>
      <c r="K212" s="11" t="s">
        <v>1351</v>
      </c>
      <c r="L212" s="11" t="s">
        <v>1370</v>
      </c>
      <c r="M212" s="11" t="s">
        <v>99</v>
      </c>
      <c r="N212" s="11" t="s">
        <v>100</v>
      </c>
      <c r="O212" s="11" t="s">
        <v>101</v>
      </c>
      <c r="P212" s="11" t="s">
        <v>102</v>
      </c>
      <c r="Q212" s="12">
        <v>113.836659</v>
      </c>
      <c r="R212" s="13">
        <v>23.004531</v>
      </c>
      <c r="S212" s="11" t="s">
        <v>1371</v>
      </c>
      <c r="T212" s="11"/>
      <c r="U212" s="11" t="s">
        <v>104</v>
      </c>
      <c r="V212" s="11" t="s">
        <v>105</v>
      </c>
      <c r="W212" s="11" t="s">
        <v>106</v>
      </c>
      <c r="X212" s="11"/>
      <c r="Y212" s="11"/>
      <c r="Z212" s="11"/>
      <c r="AA212" s="12">
        <v>211</v>
      </c>
      <c r="AB212" s="12"/>
      <c r="AC212" s="11" t="s">
        <v>244</v>
      </c>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row>
    <row r="213" spans="1:56" ht="56" x14ac:dyDescent="0.25">
      <c r="A213" s="11" t="s">
        <v>1372</v>
      </c>
      <c r="B213" s="11" t="s">
        <v>1373</v>
      </c>
      <c r="C213" s="11"/>
      <c r="D213" s="11" t="s">
        <v>91</v>
      </c>
      <c r="E213" s="11" t="s">
        <v>92</v>
      </c>
      <c r="F213" s="11" t="s">
        <v>936</v>
      </c>
      <c r="G213" s="11" t="s">
        <v>1374</v>
      </c>
      <c r="H213" s="11" t="s">
        <v>94</v>
      </c>
      <c r="I213" s="11" t="s">
        <v>112</v>
      </c>
      <c r="J213" s="11" t="s">
        <v>112</v>
      </c>
      <c r="K213" s="11" t="s">
        <v>1358</v>
      </c>
      <c r="L213" s="11" t="s">
        <v>1375</v>
      </c>
      <c r="M213" s="11" t="s">
        <v>99</v>
      </c>
      <c r="N213" s="11" t="s">
        <v>100</v>
      </c>
      <c r="O213" s="11" t="s">
        <v>101</v>
      </c>
      <c r="P213" s="11" t="s">
        <v>102</v>
      </c>
      <c r="Q213" s="12">
        <v>113.827752</v>
      </c>
      <c r="R213" s="13">
        <v>22.984432999999999</v>
      </c>
      <c r="S213" s="11" t="s">
        <v>1376</v>
      </c>
      <c r="T213" s="11"/>
      <c r="U213" s="11" t="s">
        <v>104</v>
      </c>
      <c r="V213" s="11" t="s">
        <v>105</v>
      </c>
      <c r="W213" s="11" t="s">
        <v>106</v>
      </c>
      <c r="X213" s="11"/>
      <c r="Y213" s="11"/>
      <c r="Z213" s="11"/>
      <c r="AA213" s="12">
        <v>212</v>
      </c>
      <c r="AB213" s="12"/>
      <c r="AC213" s="11" t="s">
        <v>107</v>
      </c>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row>
    <row r="214" spans="1:56" ht="56" x14ac:dyDescent="0.25">
      <c r="A214" s="11" t="s">
        <v>1377</v>
      </c>
      <c r="B214" s="11" t="s">
        <v>1378</v>
      </c>
      <c r="C214" s="11"/>
      <c r="D214" s="11" t="s">
        <v>91</v>
      </c>
      <c r="E214" s="11" t="s">
        <v>92</v>
      </c>
      <c r="F214" s="11" t="s">
        <v>1218</v>
      </c>
      <c r="G214" s="11" t="s">
        <v>1379</v>
      </c>
      <c r="H214" s="11" t="s">
        <v>94</v>
      </c>
      <c r="I214" s="11" t="s">
        <v>112</v>
      </c>
      <c r="J214" s="11" t="s">
        <v>112</v>
      </c>
      <c r="K214" s="11" t="s">
        <v>1380</v>
      </c>
      <c r="L214" s="11" t="s">
        <v>1381</v>
      </c>
      <c r="M214" s="11" t="s">
        <v>99</v>
      </c>
      <c r="N214" s="11" t="s">
        <v>100</v>
      </c>
      <c r="O214" s="11" t="s">
        <v>101</v>
      </c>
      <c r="P214" s="11" t="s">
        <v>102</v>
      </c>
      <c r="Q214" s="12">
        <v>113.72342500000001</v>
      </c>
      <c r="R214" s="13">
        <v>23.061230999999999</v>
      </c>
      <c r="S214" s="11" t="s">
        <v>1382</v>
      </c>
      <c r="T214" s="11"/>
      <c r="U214" s="11" t="s">
        <v>104</v>
      </c>
      <c r="V214" s="11" t="s">
        <v>105</v>
      </c>
      <c r="W214" s="11" t="s">
        <v>106</v>
      </c>
      <c r="X214" s="11"/>
      <c r="Y214" s="11"/>
      <c r="Z214" s="11"/>
      <c r="AA214" s="12">
        <v>213</v>
      </c>
      <c r="AB214" s="12"/>
      <c r="AC214" s="11" t="s">
        <v>244</v>
      </c>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row>
    <row r="215" spans="1:56" ht="56" x14ac:dyDescent="0.25">
      <c r="A215" s="11" t="s">
        <v>1383</v>
      </c>
      <c r="B215" s="11" t="s">
        <v>1384</v>
      </c>
      <c r="C215" s="11"/>
      <c r="D215" s="11" t="s">
        <v>91</v>
      </c>
      <c r="E215" s="11" t="s">
        <v>92</v>
      </c>
      <c r="F215" s="11" t="s">
        <v>1385</v>
      </c>
      <c r="G215" s="11" t="s">
        <v>1386</v>
      </c>
      <c r="H215" s="11" t="s">
        <v>94</v>
      </c>
      <c r="I215" s="11" t="s">
        <v>112</v>
      </c>
      <c r="J215" s="11" t="s">
        <v>112</v>
      </c>
      <c r="K215" s="11" t="s">
        <v>1380</v>
      </c>
      <c r="L215" s="11" t="s">
        <v>1387</v>
      </c>
      <c r="M215" s="11" t="s">
        <v>99</v>
      </c>
      <c r="N215" s="11" t="s">
        <v>100</v>
      </c>
      <c r="O215" s="11" t="s">
        <v>101</v>
      </c>
      <c r="P215" s="11" t="s">
        <v>102</v>
      </c>
      <c r="Q215" s="12">
        <v>113.731404</v>
      </c>
      <c r="R215" s="13">
        <v>23.049676999999999</v>
      </c>
      <c r="S215" s="11" t="s">
        <v>1388</v>
      </c>
      <c r="T215" s="11"/>
      <c r="U215" s="11" t="s">
        <v>104</v>
      </c>
      <c r="V215" s="11" t="s">
        <v>105</v>
      </c>
      <c r="W215" s="11" t="s">
        <v>106</v>
      </c>
      <c r="X215" s="11"/>
      <c r="Y215" s="11"/>
      <c r="Z215" s="11"/>
      <c r="AA215" s="12">
        <v>214</v>
      </c>
      <c r="AB215" s="12"/>
      <c r="AC215" s="11" t="s">
        <v>244</v>
      </c>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row>
    <row r="216" spans="1:56" ht="70" x14ac:dyDescent="0.25">
      <c r="A216" s="11" t="s">
        <v>1389</v>
      </c>
      <c r="B216" s="11" t="s">
        <v>1390</v>
      </c>
      <c r="C216" s="11"/>
      <c r="D216" s="11" t="s">
        <v>91</v>
      </c>
      <c r="E216" s="11" t="s">
        <v>92</v>
      </c>
      <c r="F216" s="11" t="s">
        <v>840</v>
      </c>
      <c r="G216" s="11" t="s">
        <v>1391</v>
      </c>
      <c r="H216" s="11" t="s">
        <v>94</v>
      </c>
      <c r="I216" s="11" t="s">
        <v>112</v>
      </c>
      <c r="J216" s="11" t="s">
        <v>112</v>
      </c>
      <c r="K216" s="11" t="s">
        <v>1351</v>
      </c>
      <c r="L216" s="11" t="s">
        <v>1392</v>
      </c>
      <c r="M216" s="11" t="s">
        <v>99</v>
      </c>
      <c r="N216" s="11" t="s">
        <v>100</v>
      </c>
      <c r="O216" s="11" t="s">
        <v>101</v>
      </c>
      <c r="P216" s="11" t="s">
        <v>102</v>
      </c>
      <c r="Q216" s="12">
        <v>113.832464</v>
      </c>
      <c r="R216" s="13">
        <v>23.022396000000001</v>
      </c>
      <c r="S216" s="11" t="s">
        <v>1393</v>
      </c>
      <c r="T216" s="11"/>
      <c r="U216" s="11" t="s">
        <v>104</v>
      </c>
      <c r="V216" s="11" t="s">
        <v>105</v>
      </c>
      <c r="W216" s="11" t="s">
        <v>106</v>
      </c>
      <c r="X216" s="11"/>
      <c r="Y216" s="11"/>
      <c r="Z216" s="11"/>
      <c r="AA216" s="12">
        <v>215</v>
      </c>
      <c r="AB216" s="12"/>
      <c r="AC216" s="11" t="s">
        <v>107</v>
      </c>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row>
    <row r="217" spans="1:56" ht="70" x14ac:dyDescent="0.25">
      <c r="A217" s="11" t="s">
        <v>1394</v>
      </c>
      <c r="B217" s="11" t="s">
        <v>1395</v>
      </c>
      <c r="C217" s="11"/>
      <c r="D217" s="11" t="s">
        <v>91</v>
      </c>
      <c r="E217" s="11" t="s">
        <v>92</v>
      </c>
      <c r="F217" s="11" t="s">
        <v>1396</v>
      </c>
      <c r="G217" s="11" t="s">
        <v>1397</v>
      </c>
      <c r="H217" s="11" t="s">
        <v>94</v>
      </c>
      <c r="I217" s="11" t="s">
        <v>112</v>
      </c>
      <c r="J217" s="11" t="s">
        <v>112</v>
      </c>
      <c r="K217" s="11" t="s">
        <v>1351</v>
      </c>
      <c r="L217" s="11" t="s">
        <v>1398</v>
      </c>
      <c r="M217" s="11" t="s">
        <v>99</v>
      </c>
      <c r="N217" s="11" t="s">
        <v>100</v>
      </c>
      <c r="O217" s="11" t="s">
        <v>101</v>
      </c>
      <c r="P217" s="11" t="s">
        <v>102</v>
      </c>
      <c r="Q217" s="12">
        <v>113.88204399999999</v>
      </c>
      <c r="R217" s="13">
        <v>23.021318000000001</v>
      </c>
      <c r="S217" s="11" t="s">
        <v>1399</v>
      </c>
      <c r="T217" s="11"/>
      <c r="U217" s="11" t="s">
        <v>104</v>
      </c>
      <c r="V217" s="11" t="s">
        <v>105</v>
      </c>
      <c r="W217" s="11" t="s">
        <v>106</v>
      </c>
      <c r="X217" s="11"/>
      <c r="Y217" s="11"/>
      <c r="Z217" s="11"/>
      <c r="AA217" s="12">
        <v>216</v>
      </c>
      <c r="AB217" s="12"/>
      <c r="AC217" s="11" t="s">
        <v>244</v>
      </c>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row>
    <row r="218" spans="1:56" ht="84" x14ac:dyDescent="0.25">
      <c r="A218" s="11" t="s">
        <v>1400</v>
      </c>
      <c r="B218" s="11" t="s">
        <v>1401</v>
      </c>
      <c r="C218" s="11"/>
      <c r="D218" s="11" t="s">
        <v>91</v>
      </c>
      <c r="E218" s="11" t="s">
        <v>92</v>
      </c>
      <c r="F218" s="11" t="s">
        <v>1402</v>
      </c>
      <c r="G218" s="11" t="s">
        <v>1403</v>
      </c>
      <c r="H218" s="11" t="s">
        <v>94</v>
      </c>
      <c r="I218" s="11" t="s">
        <v>112</v>
      </c>
      <c r="J218" s="11" t="s">
        <v>112</v>
      </c>
      <c r="K218" s="11" t="s">
        <v>1351</v>
      </c>
      <c r="L218" s="11" t="s">
        <v>1404</v>
      </c>
      <c r="M218" s="11" t="s">
        <v>99</v>
      </c>
      <c r="N218" s="11" t="s">
        <v>100</v>
      </c>
      <c r="O218" s="11" t="s">
        <v>101</v>
      </c>
      <c r="P218" s="11" t="s">
        <v>102</v>
      </c>
      <c r="Q218" s="12">
        <v>113.88059699999999</v>
      </c>
      <c r="R218" s="13">
        <v>22.992934000000002</v>
      </c>
      <c r="S218" s="11" t="s">
        <v>1405</v>
      </c>
      <c r="T218" s="11"/>
      <c r="U218" s="11" t="s">
        <v>104</v>
      </c>
      <c r="V218" s="11" t="s">
        <v>105</v>
      </c>
      <c r="W218" s="11" t="s">
        <v>106</v>
      </c>
      <c r="X218" s="11"/>
      <c r="Y218" s="11"/>
      <c r="Z218" s="11"/>
      <c r="AA218" s="12">
        <v>217</v>
      </c>
      <c r="AB218" s="12"/>
      <c r="AC218" s="11" t="s">
        <v>244</v>
      </c>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row>
    <row r="219" spans="1:56" ht="70" x14ac:dyDescent="0.25">
      <c r="A219" s="11" t="s">
        <v>1406</v>
      </c>
      <c r="B219" s="11" t="s">
        <v>1407</v>
      </c>
      <c r="C219" s="11"/>
      <c r="D219" s="11" t="s">
        <v>91</v>
      </c>
      <c r="E219" s="11" t="s">
        <v>92</v>
      </c>
      <c r="F219" s="11" t="s">
        <v>1408</v>
      </c>
      <c r="G219" s="11" t="s">
        <v>1409</v>
      </c>
      <c r="H219" s="11" t="s">
        <v>94</v>
      </c>
      <c r="I219" s="11" t="s">
        <v>112</v>
      </c>
      <c r="J219" s="11" t="s">
        <v>112</v>
      </c>
      <c r="K219" s="11" t="s">
        <v>1351</v>
      </c>
      <c r="L219" s="11" t="s">
        <v>1410</v>
      </c>
      <c r="M219" s="11" t="s">
        <v>99</v>
      </c>
      <c r="N219" s="11" t="s">
        <v>100</v>
      </c>
      <c r="O219" s="11" t="s">
        <v>101</v>
      </c>
      <c r="P219" s="11" t="s">
        <v>102</v>
      </c>
      <c r="Q219" s="12">
        <v>113.86991999999999</v>
      </c>
      <c r="R219" s="13">
        <v>22.99258</v>
      </c>
      <c r="S219" s="11" t="s">
        <v>1411</v>
      </c>
      <c r="T219" s="11"/>
      <c r="U219" s="11" t="s">
        <v>104</v>
      </c>
      <c r="V219" s="11" t="s">
        <v>105</v>
      </c>
      <c r="W219" s="11" t="s">
        <v>106</v>
      </c>
      <c r="X219" s="11"/>
      <c r="Y219" s="11"/>
      <c r="Z219" s="11"/>
      <c r="AA219" s="12">
        <v>218</v>
      </c>
      <c r="AB219" s="12"/>
      <c r="AC219" s="11" t="s">
        <v>107</v>
      </c>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row>
    <row r="220" spans="1:56" ht="56" x14ac:dyDescent="0.25">
      <c r="A220" s="11" t="s">
        <v>1412</v>
      </c>
      <c r="B220" s="11" t="s">
        <v>1413</v>
      </c>
      <c r="C220" s="11"/>
      <c r="D220" s="11" t="s">
        <v>91</v>
      </c>
      <c r="E220" s="11" t="s">
        <v>92</v>
      </c>
      <c r="F220" s="11" t="s">
        <v>1414</v>
      </c>
      <c r="G220" s="11" t="s">
        <v>1415</v>
      </c>
      <c r="H220" s="11" t="s">
        <v>94</v>
      </c>
      <c r="I220" s="11" t="s">
        <v>112</v>
      </c>
      <c r="J220" s="11" t="s">
        <v>112</v>
      </c>
      <c r="K220" s="11" t="s">
        <v>1351</v>
      </c>
      <c r="L220" s="11" t="s">
        <v>1416</v>
      </c>
      <c r="M220" s="11" t="s">
        <v>99</v>
      </c>
      <c r="N220" s="11" t="s">
        <v>100</v>
      </c>
      <c r="O220" s="11" t="s">
        <v>101</v>
      </c>
      <c r="P220" s="11" t="s">
        <v>102</v>
      </c>
      <c r="Q220" s="12">
        <v>113.91547799999999</v>
      </c>
      <c r="R220" s="13">
        <v>22.986525</v>
      </c>
      <c r="S220" s="11" t="s">
        <v>1417</v>
      </c>
      <c r="T220" s="11"/>
      <c r="U220" s="11" t="s">
        <v>104</v>
      </c>
      <c r="V220" s="11" t="s">
        <v>105</v>
      </c>
      <c r="W220" s="11" t="s">
        <v>106</v>
      </c>
      <c r="X220" s="11"/>
      <c r="Y220" s="11"/>
      <c r="Z220" s="11"/>
      <c r="AA220" s="12">
        <v>219</v>
      </c>
      <c r="AB220" s="12"/>
      <c r="AC220" s="11" t="s">
        <v>244</v>
      </c>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row>
    <row r="221" spans="1:56" ht="56" x14ac:dyDescent="0.25">
      <c r="A221" s="11" t="s">
        <v>1418</v>
      </c>
      <c r="B221" s="11" t="s">
        <v>1419</v>
      </c>
      <c r="C221" s="11"/>
      <c r="D221" s="11" t="s">
        <v>91</v>
      </c>
      <c r="E221" s="11" t="s">
        <v>92</v>
      </c>
      <c r="F221" s="11" t="s">
        <v>1420</v>
      </c>
      <c r="G221" s="11" t="s">
        <v>1421</v>
      </c>
      <c r="H221" s="11" t="s">
        <v>94</v>
      </c>
      <c r="I221" s="11" t="s">
        <v>112</v>
      </c>
      <c r="J221" s="11" t="s">
        <v>112</v>
      </c>
      <c r="K221" s="11" t="s">
        <v>1351</v>
      </c>
      <c r="L221" s="11" t="s">
        <v>1422</v>
      </c>
      <c r="M221" s="11" t="s">
        <v>99</v>
      </c>
      <c r="N221" s="11" t="s">
        <v>100</v>
      </c>
      <c r="O221" s="11" t="s">
        <v>101</v>
      </c>
      <c r="P221" s="11" t="s">
        <v>102</v>
      </c>
      <c r="Q221" s="12">
        <v>113.88289899999999</v>
      </c>
      <c r="R221" s="13">
        <v>22.985507999999999</v>
      </c>
      <c r="S221" s="11" t="s">
        <v>1423</v>
      </c>
      <c r="T221" s="11"/>
      <c r="U221" s="11" t="s">
        <v>104</v>
      </c>
      <c r="V221" s="11" t="s">
        <v>105</v>
      </c>
      <c r="W221" s="11" t="s">
        <v>106</v>
      </c>
      <c r="X221" s="11"/>
      <c r="Y221" s="11"/>
      <c r="Z221" s="11"/>
      <c r="AA221" s="12">
        <v>220</v>
      </c>
      <c r="AB221" s="12"/>
      <c r="AC221" s="11" t="s">
        <v>244</v>
      </c>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row>
    <row r="222" spans="1:56" ht="56" x14ac:dyDescent="0.25">
      <c r="A222" s="11" t="s">
        <v>1424</v>
      </c>
      <c r="B222" s="11" t="s">
        <v>1425</v>
      </c>
      <c r="C222" s="11"/>
      <c r="D222" s="11" t="s">
        <v>91</v>
      </c>
      <c r="E222" s="11" t="s">
        <v>92</v>
      </c>
      <c r="F222" s="11" t="s">
        <v>1426</v>
      </c>
      <c r="G222" s="11" t="s">
        <v>1415</v>
      </c>
      <c r="H222" s="11" t="s">
        <v>94</v>
      </c>
      <c r="I222" s="11" t="s">
        <v>112</v>
      </c>
      <c r="J222" s="11" t="s">
        <v>112</v>
      </c>
      <c r="K222" s="11" t="s">
        <v>1351</v>
      </c>
      <c r="L222" s="11" t="s">
        <v>1427</v>
      </c>
      <c r="M222" s="11" t="s">
        <v>99</v>
      </c>
      <c r="N222" s="11" t="s">
        <v>100</v>
      </c>
      <c r="O222" s="11" t="s">
        <v>101</v>
      </c>
      <c r="P222" s="11" t="s">
        <v>102</v>
      </c>
      <c r="Q222" s="12">
        <v>113.880897</v>
      </c>
      <c r="R222" s="13">
        <v>22.984027000000001</v>
      </c>
      <c r="S222" s="11" t="s">
        <v>1428</v>
      </c>
      <c r="T222" s="11"/>
      <c r="U222" s="11" t="s">
        <v>104</v>
      </c>
      <c r="V222" s="11" t="s">
        <v>105</v>
      </c>
      <c r="W222" s="11" t="s">
        <v>106</v>
      </c>
      <c r="X222" s="11"/>
      <c r="Y222" s="11"/>
      <c r="Z222" s="11"/>
      <c r="AA222" s="12">
        <v>221</v>
      </c>
      <c r="AB222" s="12"/>
      <c r="AC222" s="11" t="s">
        <v>244</v>
      </c>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row>
    <row r="223" spans="1:56" ht="56" x14ac:dyDescent="0.25">
      <c r="A223" s="11" t="s">
        <v>1429</v>
      </c>
      <c r="B223" s="11" t="s">
        <v>1430</v>
      </c>
      <c r="C223" s="11"/>
      <c r="D223" s="11" t="s">
        <v>91</v>
      </c>
      <c r="E223" s="11" t="s">
        <v>92</v>
      </c>
      <c r="F223" s="11" t="s">
        <v>1431</v>
      </c>
      <c r="G223" s="11" t="s">
        <v>1432</v>
      </c>
      <c r="H223" s="11" t="s">
        <v>94</v>
      </c>
      <c r="I223" s="11" t="s">
        <v>112</v>
      </c>
      <c r="J223" s="11" t="s">
        <v>112</v>
      </c>
      <c r="K223" s="11" t="s">
        <v>1351</v>
      </c>
      <c r="L223" s="11" t="s">
        <v>1433</v>
      </c>
      <c r="M223" s="11" t="s">
        <v>99</v>
      </c>
      <c r="N223" s="11" t="s">
        <v>100</v>
      </c>
      <c r="O223" s="11" t="s">
        <v>101</v>
      </c>
      <c r="P223" s="11" t="s">
        <v>102</v>
      </c>
      <c r="Q223" s="12">
        <v>113.7379</v>
      </c>
      <c r="R223" s="13">
        <v>22.785399999999999</v>
      </c>
      <c r="S223" s="11" t="s">
        <v>1434</v>
      </c>
      <c r="T223" s="11"/>
      <c r="U223" s="11" t="s">
        <v>104</v>
      </c>
      <c r="V223" s="11" t="s">
        <v>105</v>
      </c>
      <c r="W223" s="11" t="s">
        <v>106</v>
      </c>
      <c r="X223" s="11"/>
      <c r="Y223" s="11"/>
      <c r="Z223" s="11"/>
      <c r="AA223" s="12">
        <v>222</v>
      </c>
      <c r="AB223" s="12"/>
      <c r="AC223" s="11" t="s">
        <v>244</v>
      </c>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row>
    <row r="224" spans="1:56" ht="56" x14ac:dyDescent="0.25">
      <c r="A224" s="11" t="s">
        <v>1435</v>
      </c>
      <c r="B224" s="11" t="s">
        <v>1436</v>
      </c>
      <c r="C224" s="11"/>
      <c r="D224" s="11" t="s">
        <v>91</v>
      </c>
      <c r="E224" s="11" t="s">
        <v>92</v>
      </c>
      <c r="F224" s="11" t="s">
        <v>1437</v>
      </c>
      <c r="G224" s="11" t="s">
        <v>1438</v>
      </c>
      <c r="H224" s="11" t="s">
        <v>94</v>
      </c>
      <c r="I224" s="11" t="s">
        <v>112</v>
      </c>
      <c r="J224" s="11" t="s">
        <v>112</v>
      </c>
      <c r="K224" s="11" t="s">
        <v>1351</v>
      </c>
      <c r="L224" s="11" t="s">
        <v>1439</v>
      </c>
      <c r="M224" s="11" t="s">
        <v>99</v>
      </c>
      <c r="N224" s="11" t="s">
        <v>100</v>
      </c>
      <c r="O224" s="11" t="s">
        <v>101</v>
      </c>
      <c r="P224" s="11" t="s">
        <v>102</v>
      </c>
      <c r="Q224" s="12">
        <v>113.904659</v>
      </c>
      <c r="R224" s="13">
        <v>22.998989000000002</v>
      </c>
      <c r="S224" s="11" t="s">
        <v>1440</v>
      </c>
      <c r="T224" s="11"/>
      <c r="U224" s="11" t="s">
        <v>104</v>
      </c>
      <c r="V224" s="11" t="s">
        <v>105</v>
      </c>
      <c r="W224" s="11" t="s">
        <v>106</v>
      </c>
      <c r="X224" s="11"/>
      <c r="Y224" s="11"/>
      <c r="Z224" s="11"/>
      <c r="AA224" s="12">
        <v>223</v>
      </c>
      <c r="AB224" s="12"/>
      <c r="AC224" s="11" t="s">
        <v>244</v>
      </c>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row>
    <row r="225" spans="1:56" ht="56" x14ac:dyDescent="0.25">
      <c r="A225" s="11" t="s">
        <v>1441</v>
      </c>
      <c r="B225" s="11" t="s">
        <v>1442</v>
      </c>
      <c r="C225" s="11"/>
      <c r="D225" s="11" t="s">
        <v>91</v>
      </c>
      <c r="E225" s="11" t="s">
        <v>92</v>
      </c>
      <c r="F225" s="11" t="s">
        <v>1443</v>
      </c>
      <c r="G225" s="11" t="s">
        <v>1444</v>
      </c>
      <c r="H225" s="11" t="s">
        <v>94</v>
      </c>
      <c r="I225" s="11" t="s">
        <v>112</v>
      </c>
      <c r="J225" s="11" t="s">
        <v>112</v>
      </c>
      <c r="K225" s="11" t="s">
        <v>1351</v>
      </c>
      <c r="L225" s="11" t="s">
        <v>1445</v>
      </c>
      <c r="M225" s="11" t="s">
        <v>99</v>
      </c>
      <c r="N225" s="11" t="s">
        <v>100</v>
      </c>
      <c r="O225" s="11" t="s">
        <v>101</v>
      </c>
      <c r="P225" s="11" t="s">
        <v>102</v>
      </c>
      <c r="Q225" s="12">
        <v>113.888806</v>
      </c>
      <c r="R225" s="13">
        <v>22.994485999999998</v>
      </c>
      <c r="S225" s="11" t="s">
        <v>1446</v>
      </c>
      <c r="T225" s="11"/>
      <c r="U225" s="11" t="s">
        <v>104</v>
      </c>
      <c r="V225" s="11" t="s">
        <v>105</v>
      </c>
      <c r="W225" s="11" t="s">
        <v>106</v>
      </c>
      <c r="X225" s="11"/>
      <c r="Y225" s="11"/>
      <c r="Z225" s="11"/>
      <c r="AA225" s="12">
        <v>224</v>
      </c>
      <c r="AB225" s="12"/>
      <c r="AC225" s="11" t="s">
        <v>244</v>
      </c>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row>
    <row r="226" spans="1:56" ht="56" x14ac:dyDescent="0.25">
      <c r="A226" s="11" t="s">
        <v>1447</v>
      </c>
      <c r="B226" s="11" t="s">
        <v>1448</v>
      </c>
      <c r="C226" s="11"/>
      <c r="D226" s="11" t="s">
        <v>91</v>
      </c>
      <c r="E226" s="11" t="s">
        <v>92</v>
      </c>
      <c r="F226" s="11" t="s">
        <v>1449</v>
      </c>
      <c r="G226" s="11" t="s">
        <v>1450</v>
      </c>
      <c r="H226" s="11" t="s">
        <v>94</v>
      </c>
      <c r="I226" s="11" t="s">
        <v>112</v>
      </c>
      <c r="J226" s="11" t="s">
        <v>112</v>
      </c>
      <c r="K226" s="11" t="s">
        <v>1351</v>
      </c>
      <c r="L226" s="11" t="s">
        <v>1451</v>
      </c>
      <c r="M226" s="11" t="s">
        <v>99</v>
      </c>
      <c r="N226" s="11" t="s">
        <v>100</v>
      </c>
      <c r="O226" s="11" t="s">
        <v>101</v>
      </c>
      <c r="P226" s="11" t="s">
        <v>102</v>
      </c>
      <c r="Q226" s="12">
        <v>113.86912700000001</v>
      </c>
      <c r="R226" s="13">
        <v>22.987836999999999</v>
      </c>
      <c r="S226" s="11" t="s">
        <v>1452</v>
      </c>
      <c r="T226" s="11"/>
      <c r="U226" s="11" t="s">
        <v>104</v>
      </c>
      <c r="V226" s="11" t="s">
        <v>105</v>
      </c>
      <c r="W226" s="11" t="s">
        <v>106</v>
      </c>
      <c r="X226" s="11"/>
      <c r="Y226" s="11"/>
      <c r="Z226" s="11"/>
      <c r="AA226" s="12">
        <v>225</v>
      </c>
      <c r="AB226" s="12"/>
      <c r="AC226" s="11" t="s">
        <v>244</v>
      </c>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row>
    <row r="227" spans="1:56" ht="56" x14ac:dyDescent="0.25">
      <c r="A227" s="11" t="s">
        <v>1453</v>
      </c>
      <c r="B227" s="11" t="s">
        <v>1454</v>
      </c>
      <c r="C227" s="11"/>
      <c r="D227" s="11" t="s">
        <v>91</v>
      </c>
      <c r="E227" s="11" t="s">
        <v>92</v>
      </c>
      <c r="F227" s="11" t="s">
        <v>1455</v>
      </c>
      <c r="G227" s="11" t="s">
        <v>1456</v>
      </c>
      <c r="H227" s="11" t="s">
        <v>94</v>
      </c>
      <c r="I227" s="11" t="s">
        <v>112</v>
      </c>
      <c r="J227" s="11" t="s">
        <v>112</v>
      </c>
      <c r="K227" s="11" t="s">
        <v>1351</v>
      </c>
      <c r="L227" s="11" t="s">
        <v>1457</v>
      </c>
      <c r="M227" s="11" t="s">
        <v>99</v>
      </c>
      <c r="N227" s="11" t="s">
        <v>100</v>
      </c>
      <c r="O227" s="11" t="s">
        <v>101</v>
      </c>
      <c r="P227" s="11" t="s">
        <v>102</v>
      </c>
      <c r="Q227" s="12">
        <v>113.90696699999999</v>
      </c>
      <c r="R227" s="13">
        <v>22.975912999999998</v>
      </c>
      <c r="S227" s="11" t="s">
        <v>1458</v>
      </c>
      <c r="T227" s="11"/>
      <c r="U227" s="11" t="s">
        <v>104</v>
      </c>
      <c r="V227" s="11" t="s">
        <v>105</v>
      </c>
      <c r="W227" s="11" t="s">
        <v>106</v>
      </c>
      <c r="X227" s="11"/>
      <c r="Y227" s="11"/>
      <c r="Z227" s="11"/>
      <c r="AA227" s="12">
        <v>226</v>
      </c>
      <c r="AB227" s="12"/>
      <c r="AC227" s="11" t="s">
        <v>244</v>
      </c>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row>
    <row r="228" spans="1:56" ht="70" x14ac:dyDescent="0.25">
      <c r="A228" s="11" t="s">
        <v>1459</v>
      </c>
      <c r="B228" s="11" t="s">
        <v>1460</v>
      </c>
      <c r="C228" s="11"/>
      <c r="D228" s="11" t="s">
        <v>91</v>
      </c>
      <c r="E228" s="11" t="s">
        <v>92</v>
      </c>
      <c r="F228" s="11" t="s">
        <v>1461</v>
      </c>
      <c r="G228" s="11" t="s">
        <v>1462</v>
      </c>
      <c r="H228" s="11" t="s">
        <v>94</v>
      </c>
      <c r="I228" s="11" t="s">
        <v>112</v>
      </c>
      <c r="J228" s="11" t="s">
        <v>112</v>
      </c>
      <c r="K228" s="11" t="s">
        <v>1351</v>
      </c>
      <c r="L228" s="11" t="s">
        <v>1463</v>
      </c>
      <c r="M228" s="11" t="s">
        <v>99</v>
      </c>
      <c r="N228" s="11" t="s">
        <v>100</v>
      </c>
      <c r="O228" s="11" t="s">
        <v>101</v>
      </c>
      <c r="P228" s="11" t="s">
        <v>102</v>
      </c>
      <c r="Q228" s="12">
        <v>113.88376100000001</v>
      </c>
      <c r="R228" s="13">
        <v>22.987762</v>
      </c>
      <c r="S228" s="11" t="s">
        <v>1464</v>
      </c>
      <c r="T228" s="11"/>
      <c r="U228" s="11" t="s">
        <v>104</v>
      </c>
      <c r="V228" s="11" t="s">
        <v>105</v>
      </c>
      <c r="W228" s="11" t="s">
        <v>106</v>
      </c>
      <c r="X228" s="11"/>
      <c r="Y228" s="11"/>
      <c r="Z228" s="11"/>
      <c r="AA228" s="12">
        <v>227</v>
      </c>
      <c r="AB228" s="12"/>
      <c r="AC228" s="11" t="s">
        <v>107</v>
      </c>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row>
    <row r="229" spans="1:56" ht="56" x14ac:dyDescent="0.25">
      <c r="A229" s="11" t="s">
        <v>1465</v>
      </c>
      <c r="B229" s="11" t="s">
        <v>1466</v>
      </c>
      <c r="C229" s="11"/>
      <c r="D229" s="11" t="s">
        <v>91</v>
      </c>
      <c r="E229" s="11" t="s">
        <v>92</v>
      </c>
      <c r="F229" s="11" t="s">
        <v>1467</v>
      </c>
      <c r="G229" s="11" t="s">
        <v>1468</v>
      </c>
      <c r="H229" s="11" t="s">
        <v>94</v>
      </c>
      <c r="I229" s="11" t="s">
        <v>112</v>
      </c>
      <c r="J229" s="11" t="s">
        <v>112</v>
      </c>
      <c r="K229" s="11" t="s">
        <v>1351</v>
      </c>
      <c r="L229" s="11" t="s">
        <v>1469</v>
      </c>
      <c r="M229" s="11" t="s">
        <v>99</v>
      </c>
      <c r="N229" s="11" t="s">
        <v>100</v>
      </c>
      <c r="O229" s="11" t="s">
        <v>101</v>
      </c>
      <c r="P229" s="11" t="s">
        <v>102</v>
      </c>
      <c r="Q229" s="12">
        <v>113.879088</v>
      </c>
      <c r="R229" s="13">
        <v>22.976219</v>
      </c>
      <c r="S229" s="11" t="s">
        <v>1470</v>
      </c>
      <c r="T229" s="11"/>
      <c r="U229" s="11" t="s">
        <v>104</v>
      </c>
      <c r="V229" s="11" t="s">
        <v>105</v>
      </c>
      <c r="W229" s="11" t="s">
        <v>106</v>
      </c>
      <c r="X229" s="11"/>
      <c r="Y229" s="11"/>
      <c r="Z229" s="11"/>
      <c r="AA229" s="12">
        <v>228</v>
      </c>
      <c r="AB229" s="12"/>
      <c r="AC229" s="11" t="s">
        <v>244</v>
      </c>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row>
    <row r="230" spans="1:56" ht="56" x14ac:dyDescent="0.25">
      <c r="A230" s="11" t="s">
        <v>1471</v>
      </c>
      <c r="B230" s="11" t="s">
        <v>1472</v>
      </c>
      <c r="C230" s="11"/>
      <c r="D230" s="11" t="s">
        <v>91</v>
      </c>
      <c r="E230" s="11" t="s">
        <v>92</v>
      </c>
      <c r="F230" s="11" t="s">
        <v>1473</v>
      </c>
      <c r="G230" s="11" t="s">
        <v>1474</v>
      </c>
      <c r="H230" s="11" t="s">
        <v>94</v>
      </c>
      <c r="I230" s="11" t="s">
        <v>112</v>
      </c>
      <c r="J230" s="11" t="s">
        <v>112</v>
      </c>
      <c r="K230" s="11" t="s">
        <v>1475</v>
      </c>
      <c r="L230" s="11" t="s">
        <v>1476</v>
      </c>
      <c r="M230" s="11" t="s">
        <v>99</v>
      </c>
      <c r="N230" s="11" t="s">
        <v>100</v>
      </c>
      <c r="O230" s="11" t="s">
        <v>101</v>
      </c>
      <c r="P230" s="11" t="s">
        <v>102</v>
      </c>
      <c r="Q230" s="12">
        <v>113.924877</v>
      </c>
      <c r="R230" s="13">
        <v>22.980187999999998</v>
      </c>
      <c r="S230" s="11" t="s">
        <v>1477</v>
      </c>
      <c r="T230" s="11"/>
      <c r="U230" s="11" t="s">
        <v>104</v>
      </c>
      <c r="V230" s="11" t="s">
        <v>105</v>
      </c>
      <c r="W230" s="11" t="s">
        <v>106</v>
      </c>
      <c r="X230" s="11"/>
      <c r="Y230" s="11"/>
      <c r="Z230" s="11"/>
      <c r="AA230" s="12">
        <v>229</v>
      </c>
      <c r="AB230" s="12"/>
      <c r="AC230" s="11" t="s">
        <v>244</v>
      </c>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row>
    <row r="231" spans="1:56" ht="56" x14ac:dyDescent="0.25">
      <c r="A231" s="11" t="s">
        <v>1478</v>
      </c>
      <c r="B231" s="11" t="s">
        <v>1479</v>
      </c>
      <c r="C231" s="11"/>
      <c r="D231" s="11" t="s">
        <v>91</v>
      </c>
      <c r="E231" s="11" t="s">
        <v>92</v>
      </c>
      <c r="F231" s="11" t="s">
        <v>1480</v>
      </c>
      <c r="G231" s="11" t="s">
        <v>1481</v>
      </c>
      <c r="H231" s="11" t="s">
        <v>94</v>
      </c>
      <c r="I231" s="11" t="s">
        <v>112</v>
      </c>
      <c r="J231" s="11" t="s">
        <v>112</v>
      </c>
      <c r="K231" s="11" t="s">
        <v>1351</v>
      </c>
      <c r="L231" s="11" t="s">
        <v>1482</v>
      </c>
      <c r="M231" s="11" t="s">
        <v>99</v>
      </c>
      <c r="N231" s="11" t="s">
        <v>100</v>
      </c>
      <c r="O231" s="11" t="s">
        <v>101</v>
      </c>
      <c r="P231" s="11" t="s">
        <v>102</v>
      </c>
      <c r="Q231" s="12">
        <v>113.866086</v>
      </c>
      <c r="R231" s="13">
        <v>23.014928000000001</v>
      </c>
      <c r="S231" s="11" t="s">
        <v>1483</v>
      </c>
      <c r="T231" s="11"/>
      <c r="U231" s="11" t="s">
        <v>104</v>
      </c>
      <c r="V231" s="11" t="s">
        <v>105</v>
      </c>
      <c r="W231" s="11" t="s">
        <v>106</v>
      </c>
      <c r="X231" s="11"/>
      <c r="Y231" s="11"/>
      <c r="Z231" s="11"/>
      <c r="AA231" s="12">
        <v>230</v>
      </c>
      <c r="AB231" s="12"/>
      <c r="AC231" s="11" t="s">
        <v>244</v>
      </c>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row>
    <row r="232" spans="1:56" ht="56" x14ac:dyDescent="0.25">
      <c r="A232" s="11" t="s">
        <v>1484</v>
      </c>
      <c r="B232" s="11" t="s">
        <v>1485</v>
      </c>
      <c r="C232" s="11"/>
      <c r="D232" s="11" t="s">
        <v>91</v>
      </c>
      <c r="E232" s="11" t="s">
        <v>92</v>
      </c>
      <c r="F232" s="11" t="s">
        <v>1486</v>
      </c>
      <c r="G232" s="11" t="s">
        <v>1487</v>
      </c>
      <c r="H232" s="11" t="s">
        <v>94</v>
      </c>
      <c r="I232" s="11" t="s">
        <v>112</v>
      </c>
      <c r="J232" s="11" t="s">
        <v>112</v>
      </c>
      <c r="K232" s="11" t="s">
        <v>1351</v>
      </c>
      <c r="L232" s="11" t="s">
        <v>1488</v>
      </c>
      <c r="M232" s="11" t="s">
        <v>99</v>
      </c>
      <c r="N232" s="11" t="s">
        <v>100</v>
      </c>
      <c r="O232" s="11" t="s">
        <v>101</v>
      </c>
      <c r="P232" s="11" t="s">
        <v>102</v>
      </c>
      <c r="Q232" s="12">
        <v>113.880152</v>
      </c>
      <c r="R232" s="13">
        <v>22.98706</v>
      </c>
      <c r="S232" s="11" t="s">
        <v>1489</v>
      </c>
      <c r="T232" s="11"/>
      <c r="U232" s="11" t="s">
        <v>104</v>
      </c>
      <c r="V232" s="11" t="s">
        <v>105</v>
      </c>
      <c r="W232" s="11" t="s">
        <v>106</v>
      </c>
      <c r="X232" s="11"/>
      <c r="Y232" s="11"/>
      <c r="Z232" s="11"/>
      <c r="AA232" s="12">
        <v>231</v>
      </c>
      <c r="AB232" s="12"/>
      <c r="AC232" s="11" t="s">
        <v>244</v>
      </c>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row>
    <row r="233" spans="1:56" ht="56" x14ac:dyDescent="0.25">
      <c r="A233" s="11" t="s">
        <v>1490</v>
      </c>
      <c r="B233" s="11" t="s">
        <v>1491</v>
      </c>
      <c r="C233" s="11"/>
      <c r="D233" s="11" t="s">
        <v>91</v>
      </c>
      <c r="E233" s="11" t="s">
        <v>92</v>
      </c>
      <c r="F233" s="11" t="s">
        <v>1492</v>
      </c>
      <c r="G233" s="11" t="s">
        <v>1493</v>
      </c>
      <c r="H233" s="11" t="s">
        <v>94</v>
      </c>
      <c r="I233" s="11" t="s">
        <v>112</v>
      </c>
      <c r="J233" s="11" t="s">
        <v>112</v>
      </c>
      <c r="K233" s="11" t="s">
        <v>1351</v>
      </c>
      <c r="L233" s="11" t="s">
        <v>1494</v>
      </c>
      <c r="M233" s="11" t="s">
        <v>99</v>
      </c>
      <c r="N233" s="11" t="s">
        <v>100</v>
      </c>
      <c r="O233" s="11" t="s">
        <v>101</v>
      </c>
      <c r="P233" s="11" t="s">
        <v>102</v>
      </c>
      <c r="Q233" s="12" t="s">
        <v>103</v>
      </c>
      <c r="R233" s="13" t="s">
        <v>103</v>
      </c>
      <c r="S233" s="11" t="s">
        <v>1495</v>
      </c>
      <c r="T233" s="11"/>
      <c r="U233" s="11" t="s">
        <v>104</v>
      </c>
      <c r="V233" s="11" t="s">
        <v>105</v>
      </c>
      <c r="W233" s="11" t="s">
        <v>106</v>
      </c>
      <c r="X233" s="11"/>
      <c r="Y233" s="11"/>
      <c r="Z233" s="11"/>
      <c r="AA233" s="12">
        <v>232</v>
      </c>
      <c r="AB233" s="12"/>
      <c r="AC233" s="11" t="s">
        <v>107</v>
      </c>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row>
    <row r="234" spans="1:56" ht="84" x14ac:dyDescent="0.25">
      <c r="A234" s="11" t="s">
        <v>1496</v>
      </c>
      <c r="B234" s="11" t="s">
        <v>1497</v>
      </c>
      <c r="C234" s="11"/>
      <c r="D234" s="11" t="s">
        <v>91</v>
      </c>
      <c r="E234" s="11" t="s">
        <v>92</v>
      </c>
      <c r="F234" s="11" t="s">
        <v>1498</v>
      </c>
      <c r="G234" s="11" t="s">
        <v>1499</v>
      </c>
      <c r="H234" s="11" t="s">
        <v>94</v>
      </c>
      <c r="I234" s="11" t="s">
        <v>112</v>
      </c>
      <c r="J234" s="11" t="s">
        <v>112</v>
      </c>
      <c r="K234" s="11" t="s">
        <v>1500</v>
      </c>
      <c r="L234" s="11" t="s">
        <v>1501</v>
      </c>
      <c r="M234" s="11" t="s">
        <v>99</v>
      </c>
      <c r="N234" s="11" t="s">
        <v>100</v>
      </c>
      <c r="O234" s="11" t="s">
        <v>101</v>
      </c>
      <c r="P234" s="11" t="s">
        <v>102</v>
      </c>
      <c r="Q234" s="12">
        <v>113.796165</v>
      </c>
      <c r="R234" s="13">
        <v>22.815178</v>
      </c>
      <c r="S234" s="11" t="s">
        <v>1502</v>
      </c>
      <c r="T234" s="11"/>
      <c r="U234" s="11" t="s">
        <v>104</v>
      </c>
      <c r="V234" s="11" t="s">
        <v>105</v>
      </c>
      <c r="W234" s="11" t="s">
        <v>106</v>
      </c>
      <c r="X234" s="11"/>
      <c r="Y234" s="11"/>
      <c r="Z234" s="11"/>
      <c r="AA234" s="12">
        <v>233</v>
      </c>
      <c r="AB234" s="12"/>
      <c r="AC234" s="11" t="s">
        <v>244</v>
      </c>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row>
    <row r="235" spans="1:56" ht="84" x14ac:dyDescent="0.25">
      <c r="A235" s="11" t="s">
        <v>1503</v>
      </c>
      <c r="B235" s="11" t="s">
        <v>1504</v>
      </c>
      <c r="C235" s="11"/>
      <c r="D235" s="11" t="s">
        <v>91</v>
      </c>
      <c r="E235" s="11" t="s">
        <v>92</v>
      </c>
      <c r="F235" s="11" t="s">
        <v>1505</v>
      </c>
      <c r="G235" s="11" t="s">
        <v>1506</v>
      </c>
      <c r="H235" s="11" t="s">
        <v>94</v>
      </c>
      <c r="I235" s="11" t="s">
        <v>112</v>
      </c>
      <c r="J235" s="11" t="s">
        <v>112</v>
      </c>
      <c r="K235" s="11" t="s">
        <v>1500</v>
      </c>
      <c r="L235" s="11" t="s">
        <v>1507</v>
      </c>
      <c r="M235" s="11" t="s">
        <v>99</v>
      </c>
      <c r="N235" s="11" t="s">
        <v>100</v>
      </c>
      <c r="O235" s="11" t="s">
        <v>101</v>
      </c>
      <c r="P235" s="11" t="s">
        <v>102</v>
      </c>
      <c r="Q235" s="12">
        <v>113.759694</v>
      </c>
      <c r="R235" s="13">
        <v>22.755575</v>
      </c>
      <c r="S235" s="11" t="s">
        <v>1508</v>
      </c>
      <c r="T235" s="11"/>
      <c r="U235" s="11" t="s">
        <v>104</v>
      </c>
      <c r="V235" s="11" t="s">
        <v>105</v>
      </c>
      <c r="W235" s="11" t="s">
        <v>106</v>
      </c>
      <c r="X235" s="11"/>
      <c r="Y235" s="11"/>
      <c r="Z235" s="11"/>
      <c r="AA235" s="12">
        <v>234</v>
      </c>
      <c r="AB235" s="12"/>
      <c r="AC235" s="11" t="s">
        <v>107</v>
      </c>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row>
    <row r="236" spans="1:56" ht="70" x14ac:dyDescent="0.25">
      <c r="A236" s="11" t="s">
        <v>1509</v>
      </c>
      <c r="B236" s="11" t="s">
        <v>1510</v>
      </c>
      <c r="C236" s="11"/>
      <c r="D236" s="11" t="s">
        <v>91</v>
      </c>
      <c r="E236" s="11" t="s">
        <v>92</v>
      </c>
      <c r="F236" s="11" t="s">
        <v>1511</v>
      </c>
      <c r="G236" s="11" t="s">
        <v>1512</v>
      </c>
      <c r="H236" s="11" t="s">
        <v>94</v>
      </c>
      <c r="I236" s="11" t="s">
        <v>112</v>
      </c>
      <c r="J236" s="11" t="s">
        <v>112</v>
      </c>
      <c r="K236" s="11" t="s">
        <v>1500</v>
      </c>
      <c r="L236" s="11" t="s">
        <v>1513</v>
      </c>
      <c r="M236" s="11" t="s">
        <v>99</v>
      </c>
      <c r="N236" s="11" t="s">
        <v>100</v>
      </c>
      <c r="O236" s="11" t="s">
        <v>101</v>
      </c>
      <c r="P236" s="11" t="s">
        <v>102</v>
      </c>
      <c r="Q236" s="12">
        <v>113.788901</v>
      </c>
      <c r="R236" s="13">
        <v>22.823816999999998</v>
      </c>
      <c r="S236" s="11" t="s">
        <v>1514</v>
      </c>
      <c r="T236" s="11"/>
      <c r="U236" s="11" t="s">
        <v>104</v>
      </c>
      <c r="V236" s="11" t="s">
        <v>105</v>
      </c>
      <c r="W236" s="11" t="s">
        <v>106</v>
      </c>
      <c r="X236" s="11"/>
      <c r="Y236" s="11"/>
      <c r="Z236" s="11"/>
      <c r="AA236" s="12">
        <v>235</v>
      </c>
      <c r="AB236" s="12"/>
      <c r="AC236" s="11" t="s">
        <v>107</v>
      </c>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row>
    <row r="237" spans="1:56" ht="56" x14ac:dyDescent="0.25">
      <c r="A237" s="11" t="s">
        <v>1515</v>
      </c>
      <c r="B237" s="11" t="s">
        <v>1516</v>
      </c>
      <c r="C237" s="11"/>
      <c r="D237" s="11" t="s">
        <v>91</v>
      </c>
      <c r="E237" s="11" t="s">
        <v>92</v>
      </c>
      <c r="F237" s="11" t="s">
        <v>840</v>
      </c>
      <c r="G237" s="11" t="s">
        <v>1517</v>
      </c>
      <c r="H237" s="11" t="s">
        <v>94</v>
      </c>
      <c r="I237" s="11" t="s">
        <v>112</v>
      </c>
      <c r="J237" s="11" t="s">
        <v>112</v>
      </c>
      <c r="K237" s="11" t="s">
        <v>1518</v>
      </c>
      <c r="L237" s="11" t="s">
        <v>1519</v>
      </c>
      <c r="M237" s="11" t="s">
        <v>99</v>
      </c>
      <c r="N237" s="11" t="s">
        <v>100</v>
      </c>
      <c r="O237" s="11" t="s">
        <v>101</v>
      </c>
      <c r="P237" s="11" t="s">
        <v>102</v>
      </c>
      <c r="Q237" s="12">
        <v>113.724384</v>
      </c>
      <c r="R237" s="13">
        <v>23.082512000000001</v>
      </c>
      <c r="S237" s="11" t="s">
        <v>1520</v>
      </c>
      <c r="T237" s="11"/>
      <c r="U237" s="11" t="s">
        <v>104</v>
      </c>
      <c r="V237" s="11" t="s">
        <v>105</v>
      </c>
      <c r="W237" s="11" t="s">
        <v>106</v>
      </c>
      <c r="X237" s="11"/>
      <c r="Y237" s="11"/>
      <c r="Z237" s="11"/>
      <c r="AA237" s="12">
        <v>236</v>
      </c>
      <c r="AB237" s="12"/>
      <c r="AC237" s="11" t="s">
        <v>244</v>
      </c>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row>
    <row r="238" spans="1:56" ht="56" x14ac:dyDescent="0.25">
      <c r="A238" s="11" t="s">
        <v>1521</v>
      </c>
      <c r="B238" s="11" t="s">
        <v>1522</v>
      </c>
      <c r="C238" s="11"/>
      <c r="D238" s="11" t="s">
        <v>91</v>
      </c>
      <c r="E238" s="11" t="s">
        <v>92</v>
      </c>
      <c r="F238" s="11" t="s">
        <v>1185</v>
      </c>
      <c r="G238" s="11" t="s">
        <v>1523</v>
      </c>
      <c r="H238" s="11" t="s">
        <v>94</v>
      </c>
      <c r="I238" s="11" t="s">
        <v>1273</v>
      </c>
      <c r="J238" s="11" t="s">
        <v>1524</v>
      </c>
      <c r="K238" s="11"/>
      <c r="L238" s="11" t="s">
        <v>1525</v>
      </c>
      <c r="M238" s="11" t="s">
        <v>99</v>
      </c>
      <c r="N238" s="11" t="s">
        <v>100</v>
      </c>
      <c r="O238" s="11" t="s">
        <v>101</v>
      </c>
      <c r="P238" s="11" t="s">
        <v>102</v>
      </c>
      <c r="Q238" s="12">
        <v>113.893637</v>
      </c>
      <c r="R238" s="13">
        <v>23.146272</v>
      </c>
      <c r="S238" s="11" t="s">
        <v>1526</v>
      </c>
      <c r="T238" s="11"/>
      <c r="U238" s="11" t="s">
        <v>104</v>
      </c>
      <c r="V238" s="11" t="s">
        <v>105</v>
      </c>
      <c r="W238" s="11" t="s">
        <v>106</v>
      </c>
      <c r="X238" s="11"/>
      <c r="Y238" s="11"/>
      <c r="Z238" s="11"/>
      <c r="AA238" s="12">
        <v>237</v>
      </c>
      <c r="AB238" s="12"/>
      <c r="AC238" s="11" t="s">
        <v>244</v>
      </c>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row>
    <row r="239" spans="1:56" ht="56" x14ac:dyDescent="0.25">
      <c r="A239" s="11" t="s">
        <v>1527</v>
      </c>
      <c r="B239" s="11" t="s">
        <v>1528</v>
      </c>
      <c r="C239" s="11"/>
      <c r="D239" s="11" t="s">
        <v>91</v>
      </c>
      <c r="E239" s="11" t="s">
        <v>92</v>
      </c>
      <c r="F239" s="11" t="s">
        <v>1529</v>
      </c>
      <c r="G239" s="11" t="s">
        <v>1530</v>
      </c>
      <c r="H239" s="11" t="s">
        <v>94</v>
      </c>
      <c r="I239" s="11" t="s">
        <v>112</v>
      </c>
      <c r="J239" s="11" t="s">
        <v>112</v>
      </c>
      <c r="K239" s="11" t="s">
        <v>1531</v>
      </c>
      <c r="L239" s="11" t="s">
        <v>1532</v>
      </c>
      <c r="M239" s="11" t="s">
        <v>99</v>
      </c>
      <c r="N239" s="11" t="s">
        <v>100</v>
      </c>
      <c r="O239" s="11" t="s">
        <v>101</v>
      </c>
      <c r="P239" s="11" t="s">
        <v>102</v>
      </c>
      <c r="Q239" s="12">
        <v>113.886037</v>
      </c>
      <c r="R239" s="13">
        <v>23.085528</v>
      </c>
      <c r="S239" s="11" t="s">
        <v>1533</v>
      </c>
      <c r="T239" s="11"/>
      <c r="U239" s="11" t="s">
        <v>104</v>
      </c>
      <c r="V239" s="11" t="s">
        <v>105</v>
      </c>
      <c r="W239" s="11" t="s">
        <v>106</v>
      </c>
      <c r="X239" s="11"/>
      <c r="Y239" s="11"/>
      <c r="Z239" s="11"/>
      <c r="AA239" s="12">
        <v>238</v>
      </c>
      <c r="AB239" s="12"/>
      <c r="AC239" s="11" t="s">
        <v>244</v>
      </c>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row>
    <row r="240" spans="1:56" ht="56" x14ac:dyDescent="0.25">
      <c r="A240" s="11" t="s">
        <v>1534</v>
      </c>
      <c r="B240" s="11" t="s">
        <v>1535</v>
      </c>
      <c r="C240" s="11"/>
      <c r="D240" s="11" t="s">
        <v>91</v>
      </c>
      <c r="E240" s="11" t="s">
        <v>92</v>
      </c>
      <c r="F240" s="11" t="s">
        <v>618</v>
      </c>
      <c r="G240" s="11" t="s">
        <v>1536</v>
      </c>
      <c r="H240" s="11" t="s">
        <v>94</v>
      </c>
      <c r="I240" s="11" t="s">
        <v>112</v>
      </c>
      <c r="J240" s="11" t="s">
        <v>112</v>
      </c>
      <c r="K240" s="11" t="s">
        <v>1537</v>
      </c>
      <c r="L240" s="11" t="s">
        <v>1538</v>
      </c>
      <c r="M240" s="11" t="s">
        <v>99</v>
      </c>
      <c r="N240" s="11" t="s">
        <v>100</v>
      </c>
      <c r="O240" s="11" t="s">
        <v>101</v>
      </c>
      <c r="P240" s="11" t="s">
        <v>102</v>
      </c>
      <c r="Q240" s="12">
        <v>113.818366</v>
      </c>
      <c r="R240" s="13">
        <v>23.106749000000001</v>
      </c>
      <c r="S240" s="11" t="s">
        <v>1539</v>
      </c>
      <c r="T240" s="11"/>
      <c r="U240" s="11" t="s">
        <v>104</v>
      </c>
      <c r="V240" s="11" t="s">
        <v>105</v>
      </c>
      <c r="W240" s="11" t="s">
        <v>106</v>
      </c>
      <c r="X240" s="11"/>
      <c r="Y240" s="11"/>
      <c r="Z240" s="11"/>
      <c r="AA240" s="12">
        <v>239</v>
      </c>
      <c r="AB240" s="12"/>
      <c r="AC240" s="11" t="s">
        <v>244</v>
      </c>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row>
    <row r="241" spans="1:56" ht="56" x14ac:dyDescent="0.25">
      <c r="A241" s="11" t="s">
        <v>1540</v>
      </c>
      <c r="B241" s="11" t="s">
        <v>1541</v>
      </c>
      <c r="C241" s="11"/>
      <c r="D241" s="11" t="s">
        <v>91</v>
      </c>
      <c r="E241" s="11" t="s">
        <v>92</v>
      </c>
      <c r="F241" s="11" t="s">
        <v>1542</v>
      </c>
      <c r="G241" s="11" t="s">
        <v>1543</v>
      </c>
      <c r="H241" s="11" t="s">
        <v>94</v>
      </c>
      <c r="I241" s="11" t="s">
        <v>1273</v>
      </c>
      <c r="J241" s="11" t="s">
        <v>1524</v>
      </c>
      <c r="K241" s="11"/>
      <c r="L241" s="11" t="s">
        <v>1544</v>
      </c>
      <c r="M241" s="11" t="s">
        <v>99</v>
      </c>
      <c r="N241" s="11" t="s">
        <v>100</v>
      </c>
      <c r="O241" s="11" t="s">
        <v>101</v>
      </c>
      <c r="P241" s="11" t="s">
        <v>102</v>
      </c>
      <c r="Q241" s="12">
        <v>113.88653100000001</v>
      </c>
      <c r="R241" s="13">
        <v>23.136151000000002</v>
      </c>
      <c r="S241" s="11" t="s">
        <v>1545</v>
      </c>
      <c r="T241" s="11"/>
      <c r="U241" s="11" t="s">
        <v>104</v>
      </c>
      <c r="V241" s="11" t="s">
        <v>105</v>
      </c>
      <c r="W241" s="11" t="s">
        <v>106</v>
      </c>
      <c r="X241" s="11"/>
      <c r="Y241" s="11"/>
      <c r="Z241" s="11"/>
      <c r="AA241" s="12">
        <v>240</v>
      </c>
      <c r="AB241" s="12"/>
      <c r="AC241" s="11" t="s">
        <v>244</v>
      </c>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row>
    <row r="242" spans="1:56" ht="56" x14ac:dyDescent="0.25">
      <c r="A242" s="11" t="s">
        <v>1546</v>
      </c>
      <c r="B242" s="11" t="s">
        <v>1547</v>
      </c>
      <c r="C242" s="11"/>
      <c r="D242" s="11" t="s">
        <v>91</v>
      </c>
      <c r="E242" s="11" t="s">
        <v>92</v>
      </c>
      <c r="F242" s="11" t="s">
        <v>1548</v>
      </c>
      <c r="G242" s="11" t="s">
        <v>1549</v>
      </c>
      <c r="H242" s="11" t="s">
        <v>94</v>
      </c>
      <c r="I242" s="11" t="s">
        <v>112</v>
      </c>
      <c r="J242" s="11" t="s">
        <v>112</v>
      </c>
      <c r="K242" s="11" t="s">
        <v>1518</v>
      </c>
      <c r="L242" s="11" t="s">
        <v>1550</v>
      </c>
      <c r="M242" s="11" t="s">
        <v>99</v>
      </c>
      <c r="N242" s="11" t="s">
        <v>100</v>
      </c>
      <c r="O242" s="11" t="s">
        <v>101</v>
      </c>
      <c r="P242" s="11" t="s">
        <v>102</v>
      </c>
      <c r="Q242" s="12">
        <v>113.723721</v>
      </c>
      <c r="R242" s="13">
        <v>23.093112999999999</v>
      </c>
      <c r="S242" s="11" t="s">
        <v>1551</v>
      </c>
      <c r="T242" s="11"/>
      <c r="U242" s="11" t="s">
        <v>104</v>
      </c>
      <c r="V242" s="11" t="s">
        <v>105</v>
      </c>
      <c r="W242" s="11" t="s">
        <v>106</v>
      </c>
      <c r="X242" s="11"/>
      <c r="Y242" s="11"/>
      <c r="Z242" s="11"/>
      <c r="AA242" s="12">
        <v>241</v>
      </c>
      <c r="AB242" s="12"/>
      <c r="AC242" s="11" t="s">
        <v>244</v>
      </c>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row>
    <row r="243" spans="1:56" ht="56" x14ac:dyDescent="0.25">
      <c r="A243" s="11" t="s">
        <v>1552</v>
      </c>
      <c r="B243" s="11" t="s">
        <v>1553</v>
      </c>
      <c r="C243" s="11"/>
      <c r="D243" s="11" t="s">
        <v>91</v>
      </c>
      <c r="E243" s="11" t="s">
        <v>92</v>
      </c>
      <c r="F243" s="11" t="s">
        <v>1554</v>
      </c>
      <c r="G243" s="11" t="s">
        <v>1555</v>
      </c>
      <c r="H243" s="11" t="s">
        <v>94</v>
      </c>
      <c r="I243" s="11" t="s">
        <v>112</v>
      </c>
      <c r="J243" s="11" t="s">
        <v>112</v>
      </c>
      <c r="K243" s="11" t="s">
        <v>1531</v>
      </c>
      <c r="L243" s="11" t="s">
        <v>1556</v>
      </c>
      <c r="M243" s="11" t="s">
        <v>99</v>
      </c>
      <c r="N243" s="11" t="s">
        <v>100</v>
      </c>
      <c r="O243" s="11" t="s">
        <v>101</v>
      </c>
      <c r="P243" s="11" t="s">
        <v>102</v>
      </c>
      <c r="Q243" s="12">
        <v>113.87888100000001</v>
      </c>
      <c r="R243" s="13">
        <v>23.058876000000001</v>
      </c>
      <c r="S243" s="11" t="s">
        <v>1557</v>
      </c>
      <c r="T243" s="11"/>
      <c r="U243" s="11" t="s">
        <v>104</v>
      </c>
      <c r="V243" s="11" t="s">
        <v>105</v>
      </c>
      <c r="W243" s="11" t="s">
        <v>106</v>
      </c>
      <c r="X243" s="11"/>
      <c r="Y243" s="11"/>
      <c r="Z243" s="11"/>
      <c r="AA243" s="12">
        <v>242</v>
      </c>
      <c r="AB243" s="12"/>
      <c r="AC243" s="11" t="s">
        <v>244</v>
      </c>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row>
    <row r="244" spans="1:56" ht="56" x14ac:dyDescent="0.25">
      <c r="A244" s="11" t="s">
        <v>1558</v>
      </c>
      <c r="B244" s="11" t="s">
        <v>1559</v>
      </c>
      <c r="C244" s="11"/>
      <c r="D244" s="11" t="s">
        <v>91</v>
      </c>
      <c r="E244" s="11" t="s">
        <v>92</v>
      </c>
      <c r="F244" s="11" t="s">
        <v>1560</v>
      </c>
      <c r="G244" s="11" t="s">
        <v>1561</v>
      </c>
      <c r="H244" s="11" t="s">
        <v>94</v>
      </c>
      <c r="I244" s="11" t="s">
        <v>112</v>
      </c>
      <c r="J244" s="11" t="s">
        <v>112</v>
      </c>
      <c r="K244" s="11" t="s">
        <v>1537</v>
      </c>
      <c r="L244" s="11" t="s">
        <v>1562</v>
      </c>
      <c r="M244" s="11" t="s">
        <v>99</v>
      </c>
      <c r="N244" s="11" t="s">
        <v>100</v>
      </c>
      <c r="O244" s="11" t="s">
        <v>101</v>
      </c>
      <c r="P244" s="11" t="s">
        <v>102</v>
      </c>
      <c r="Q244" s="12">
        <v>113.785597</v>
      </c>
      <c r="R244" s="13">
        <v>23.092831</v>
      </c>
      <c r="S244" s="11" t="s">
        <v>1563</v>
      </c>
      <c r="T244" s="11"/>
      <c r="U244" s="11" t="s">
        <v>104</v>
      </c>
      <c r="V244" s="11" t="s">
        <v>105</v>
      </c>
      <c r="W244" s="11" t="s">
        <v>106</v>
      </c>
      <c r="X244" s="11"/>
      <c r="Y244" s="11"/>
      <c r="Z244" s="11"/>
      <c r="AA244" s="12">
        <v>243</v>
      </c>
      <c r="AB244" s="12"/>
      <c r="AC244" s="11" t="s">
        <v>244</v>
      </c>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row>
    <row r="245" spans="1:56" ht="56" x14ac:dyDescent="0.25">
      <c r="A245" s="11" t="s">
        <v>1564</v>
      </c>
      <c r="B245" s="11" t="s">
        <v>1565</v>
      </c>
      <c r="C245" s="11"/>
      <c r="D245" s="11" t="s">
        <v>91</v>
      </c>
      <c r="E245" s="11" t="s">
        <v>92</v>
      </c>
      <c r="F245" s="11" t="s">
        <v>1566</v>
      </c>
      <c r="G245" s="11" t="s">
        <v>1567</v>
      </c>
      <c r="H245" s="11" t="s">
        <v>94</v>
      </c>
      <c r="I245" s="11" t="s">
        <v>112</v>
      </c>
      <c r="J245" s="11" t="s">
        <v>112</v>
      </c>
      <c r="K245" s="11" t="s">
        <v>1568</v>
      </c>
      <c r="L245" s="11" t="s">
        <v>1569</v>
      </c>
      <c r="M245" s="11" t="s">
        <v>99</v>
      </c>
      <c r="N245" s="11" t="s">
        <v>100</v>
      </c>
      <c r="O245" s="11" t="s">
        <v>101</v>
      </c>
      <c r="P245" s="11" t="s">
        <v>102</v>
      </c>
      <c r="Q245" s="12">
        <v>113.928078</v>
      </c>
      <c r="R245" s="13">
        <v>23.091640999999999</v>
      </c>
      <c r="S245" s="11" t="s">
        <v>1570</v>
      </c>
      <c r="T245" s="11"/>
      <c r="U245" s="11" t="s">
        <v>104</v>
      </c>
      <c r="V245" s="11" t="s">
        <v>105</v>
      </c>
      <c r="W245" s="11" t="s">
        <v>106</v>
      </c>
      <c r="X245" s="11"/>
      <c r="Y245" s="11"/>
      <c r="Z245" s="11"/>
      <c r="AA245" s="12">
        <v>244</v>
      </c>
      <c r="AB245" s="12"/>
      <c r="AC245" s="11" t="s">
        <v>244</v>
      </c>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row>
    <row r="246" spans="1:56" ht="56" x14ac:dyDescent="0.25">
      <c r="A246" s="11" t="s">
        <v>1571</v>
      </c>
      <c r="B246" s="11" t="s">
        <v>1572</v>
      </c>
      <c r="C246" s="11"/>
      <c r="D246" s="11" t="s">
        <v>91</v>
      </c>
      <c r="E246" s="11" t="s">
        <v>92</v>
      </c>
      <c r="F246" s="11" t="s">
        <v>1573</v>
      </c>
      <c r="G246" s="11" t="s">
        <v>1574</v>
      </c>
      <c r="H246" s="11" t="s">
        <v>94</v>
      </c>
      <c r="I246" s="11" t="s">
        <v>112</v>
      </c>
      <c r="J246" s="11" t="s">
        <v>112</v>
      </c>
      <c r="K246" s="11" t="s">
        <v>1518</v>
      </c>
      <c r="L246" s="11" t="s">
        <v>1575</v>
      </c>
      <c r="M246" s="11" t="s">
        <v>99</v>
      </c>
      <c r="N246" s="11" t="s">
        <v>100</v>
      </c>
      <c r="O246" s="11" t="s">
        <v>101</v>
      </c>
      <c r="P246" s="11" t="s">
        <v>102</v>
      </c>
      <c r="Q246" s="12">
        <v>113.766127</v>
      </c>
      <c r="R246" s="13">
        <v>23.094118000000002</v>
      </c>
      <c r="S246" s="11" t="s">
        <v>1576</v>
      </c>
      <c r="T246" s="11"/>
      <c r="U246" s="11" t="s">
        <v>104</v>
      </c>
      <c r="V246" s="11" t="s">
        <v>105</v>
      </c>
      <c r="W246" s="11" t="s">
        <v>106</v>
      </c>
      <c r="X246" s="11"/>
      <c r="Y246" s="11"/>
      <c r="Z246" s="11"/>
      <c r="AA246" s="12">
        <v>245</v>
      </c>
      <c r="AB246" s="12"/>
      <c r="AC246" s="11" t="s">
        <v>244</v>
      </c>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row>
    <row r="247" spans="1:56" ht="56" x14ac:dyDescent="0.25">
      <c r="A247" s="11" t="s">
        <v>1577</v>
      </c>
      <c r="B247" s="11" t="s">
        <v>1578</v>
      </c>
      <c r="C247" s="11"/>
      <c r="D247" s="11" t="s">
        <v>91</v>
      </c>
      <c r="E247" s="11" t="s">
        <v>92</v>
      </c>
      <c r="F247" s="11" t="s">
        <v>958</v>
      </c>
      <c r="G247" s="11" t="s">
        <v>1579</v>
      </c>
      <c r="H247" s="11" t="s">
        <v>94</v>
      </c>
      <c r="I247" s="11" t="s">
        <v>112</v>
      </c>
      <c r="J247" s="11" t="s">
        <v>112</v>
      </c>
      <c r="K247" s="11" t="s">
        <v>1518</v>
      </c>
      <c r="L247" s="11" t="s">
        <v>1580</v>
      </c>
      <c r="M247" s="11" t="s">
        <v>99</v>
      </c>
      <c r="N247" s="11" t="s">
        <v>100</v>
      </c>
      <c r="O247" s="11" t="s">
        <v>101</v>
      </c>
      <c r="P247" s="11" t="s">
        <v>102</v>
      </c>
      <c r="Q247" s="12">
        <v>113.73279700000001</v>
      </c>
      <c r="R247" s="13">
        <v>23.070611</v>
      </c>
      <c r="S247" s="11" t="s">
        <v>1581</v>
      </c>
      <c r="T247" s="11"/>
      <c r="U247" s="11" t="s">
        <v>104</v>
      </c>
      <c r="V247" s="11" t="s">
        <v>105</v>
      </c>
      <c r="W247" s="11" t="s">
        <v>106</v>
      </c>
      <c r="X247" s="11"/>
      <c r="Y247" s="11"/>
      <c r="Z247" s="11"/>
      <c r="AA247" s="12">
        <v>246</v>
      </c>
      <c r="AB247" s="12"/>
      <c r="AC247" s="11" t="s">
        <v>244</v>
      </c>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row>
    <row r="248" spans="1:56" ht="56" x14ac:dyDescent="0.25">
      <c r="A248" s="11" t="s">
        <v>1582</v>
      </c>
      <c r="B248" s="11" t="s">
        <v>1583</v>
      </c>
      <c r="C248" s="11"/>
      <c r="D248" s="11" t="s">
        <v>91</v>
      </c>
      <c r="E248" s="11" t="s">
        <v>92</v>
      </c>
      <c r="F248" s="11" t="s">
        <v>1584</v>
      </c>
      <c r="G248" s="11" t="s">
        <v>1585</v>
      </c>
      <c r="H248" s="11" t="s">
        <v>94</v>
      </c>
      <c r="I248" s="11" t="s">
        <v>112</v>
      </c>
      <c r="J248" s="11" t="s">
        <v>112</v>
      </c>
      <c r="K248" s="11" t="s">
        <v>1531</v>
      </c>
      <c r="L248" s="11" t="s">
        <v>1586</v>
      </c>
      <c r="M248" s="11" t="s">
        <v>99</v>
      </c>
      <c r="N248" s="11" t="s">
        <v>100</v>
      </c>
      <c r="O248" s="11" t="s">
        <v>101</v>
      </c>
      <c r="P248" s="11" t="s">
        <v>102</v>
      </c>
      <c r="Q248" s="12">
        <v>113.852801</v>
      </c>
      <c r="R248" s="13">
        <v>23.089873000000001</v>
      </c>
      <c r="S248" s="11" t="s">
        <v>1587</v>
      </c>
      <c r="T248" s="11"/>
      <c r="U248" s="11" t="s">
        <v>104</v>
      </c>
      <c r="V248" s="11" t="s">
        <v>105</v>
      </c>
      <c r="W248" s="11" t="s">
        <v>106</v>
      </c>
      <c r="X248" s="11"/>
      <c r="Y248" s="11"/>
      <c r="Z248" s="11"/>
      <c r="AA248" s="12">
        <v>247</v>
      </c>
      <c r="AB248" s="12"/>
      <c r="AC248" s="11" t="s">
        <v>244</v>
      </c>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row>
    <row r="249" spans="1:56" ht="56" x14ac:dyDescent="0.25">
      <c r="A249" s="11" t="s">
        <v>1588</v>
      </c>
      <c r="B249" s="11" t="s">
        <v>1589</v>
      </c>
      <c r="C249" s="11"/>
      <c r="D249" s="11" t="s">
        <v>91</v>
      </c>
      <c r="E249" s="11" t="s">
        <v>92</v>
      </c>
      <c r="F249" s="11" t="s">
        <v>1590</v>
      </c>
      <c r="G249" s="11" t="s">
        <v>1591</v>
      </c>
      <c r="H249" s="11" t="s">
        <v>94</v>
      </c>
      <c r="I249" s="11" t="s">
        <v>112</v>
      </c>
      <c r="J249" s="11" t="s">
        <v>112</v>
      </c>
      <c r="K249" s="11" t="s">
        <v>1531</v>
      </c>
      <c r="L249" s="11" t="s">
        <v>1592</v>
      </c>
      <c r="M249" s="11" t="s">
        <v>99</v>
      </c>
      <c r="N249" s="11" t="s">
        <v>100</v>
      </c>
      <c r="O249" s="11" t="s">
        <v>101</v>
      </c>
      <c r="P249" s="11" t="s">
        <v>102</v>
      </c>
      <c r="Q249" s="12">
        <v>113.885524</v>
      </c>
      <c r="R249" s="13">
        <v>23.064900999999999</v>
      </c>
      <c r="S249" s="11" t="s">
        <v>1593</v>
      </c>
      <c r="T249" s="11"/>
      <c r="U249" s="11" t="s">
        <v>104</v>
      </c>
      <c r="V249" s="11" t="s">
        <v>105</v>
      </c>
      <c r="W249" s="11" t="s">
        <v>106</v>
      </c>
      <c r="X249" s="11"/>
      <c r="Y249" s="11"/>
      <c r="Z249" s="11"/>
      <c r="AA249" s="12">
        <v>248</v>
      </c>
      <c r="AB249" s="12"/>
      <c r="AC249" s="11" t="s">
        <v>244</v>
      </c>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row>
    <row r="250" spans="1:56" ht="56" x14ac:dyDescent="0.25">
      <c r="A250" s="11" t="s">
        <v>1594</v>
      </c>
      <c r="B250" s="11" t="s">
        <v>1595</v>
      </c>
      <c r="C250" s="11"/>
      <c r="D250" s="11" t="s">
        <v>91</v>
      </c>
      <c r="E250" s="11" t="s">
        <v>92</v>
      </c>
      <c r="F250" s="11" t="s">
        <v>1596</v>
      </c>
      <c r="G250" s="11" t="s">
        <v>1597</v>
      </c>
      <c r="H250" s="11" t="s">
        <v>94</v>
      </c>
      <c r="I250" s="11" t="s">
        <v>112</v>
      </c>
      <c r="J250" s="11" t="s">
        <v>112</v>
      </c>
      <c r="K250" s="11" t="s">
        <v>1518</v>
      </c>
      <c r="L250" s="11" t="s">
        <v>1598</v>
      </c>
      <c r="M250" s="11" t="s">
        <v>99</v>
      </c>
      <c r="N250" s="11" t="s">
        <v>100</v>
      </c>
      <c r="O250" s="11" t="s">
        <v>101</v>
      </c>
      <c r="P250" s="11" t="s">
        <v>102</v>
      </c>
      <c r="Q250" s="12">
        <v>113.75326699999999</v>
      </c>
      <c r="R250" s="13">
        <v>23.088132000000002</v>
      </c>
      <c r="S250" s="11" t="s">
        <v>1599</v>
      </c>
      <c r="T250" s="11"/>
      <c r="U250" s="11" t="s">
        <v>104</v>
      </c>
      <c r="V250" s="11" t="s">
        <v>105</v>
      </c>
      <c r="W250" s="11" t="s">
        <v>106</v>
      </c>
      <c r="X250" s="11"/>
      <c r="Y250" s="11"/>
      <c r="Z250" s="11"/>
      <c r="AA250" s="12">
        <v>249</v>
      </c>
      <c r="AB250" s="12"/>
      <c r="AC250" s="11" t="s">
        <v>244</v>
      </c>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row>
    <row r="251" spans="1:56" ht="56" x14ac:dyDescent="0.25">
      <c r="A251" s="11" t="s">
        <v>1600</v>
      </c>
      <c r="B251" s="11" t="s">
        <v>1601</v>
      </c>
      <c r="C251" s="11"/>
      <c r="D251" s="11" t="s">
        <v>91</v>
      </c>
      <c r="E251" s="11" t="s">
        <v>92</v>
      </c>
      <c r="F251" s="11" t="s">
        <v>1584</v>
      </c>
      <c r="G251" s="11" t="s">
        <v>1602</v>
      </c>
      <c r="H251" s="11" t="s">
        <v>94</v>
      </c>
      <c r="I251" s="11" t="s">
        <v>112</v>
      </c>
      <c r="J251" s="11" t="s">
        <v>112</v>
      </c>
      <c r="K251" s="11" t="s">
        <v>1531</v>
      </c>
      <c r="L251" s="11" t="s">
        <v>1603</v>
      </c>
      <c r="M251" s="11" t="s">
        <v>99</v>
      </c>
      <c r="N251" s="11" t="s">
        <v>100</v>
      </c>
      <c r="O251" s="11" t="s">
        <v>101</v>
      </c>
      <c r="P251" s="11" t="s">
        <v>102</v>
      </c>
      <c r="Q251" s="12">
        <v>113.898589</v>
      </c>
      <c r="R251" s="13">
        <v>23.079882999999999</v>
      </c>
      <c r="S251" s="11" t="s">
        <v>1604</v>
      </c>
      <c r="T251" s="11"/>
      <c r="U251" s="11" t="s">
        <v>104</v>
      </c>
      <c r="V251" s="11" t="s">
        <v>105</v>
      </c>
      <c r="W251" s="11" t="s">
        <v>106</v>
      </c>
      <c r="X251" s="11"/>
      <c r="Y251" s="11"/>
      <c r="Z251" s="11"/>
      <c r="AA251" s="12">
        <v>250</v>
      </c>
      <c r="AB251" s="12"/>
      <c r="AC251" s="11" t="s">
        <v>244</v>
      </c>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row>
    <row r="252" spans="1:56" ht="56" x14ac:dyDescent="0.25">
      <c r="A252" s="11" t="s">
        <v>1605</v>
      </c>
      <c r="B252" s="11" t="s">
        <v>1606</v>
      </c>
      <c r="C252" s="11"/>
      <c r="D252" s="11" t="s">
        <v>91</v>
      </c>
      <c r="E252" s="11" t="s">
        <v>92</v>
      </c>
      <c r="F252" s="11" t="s">
        <v>1385</v>
      </c>
      <c r="G252" s="11" t="s">
        <v>1607</v>
      </c>
      <c r="H252" s="11" t="s">
        <v>94</v>
      </c>
      <c r="I252" s="11" t="s">
        <v>112</v>
      </c>
      <c r="J252" s="11" t="s">
        <v>112</v>
      </c>
      <c r="K252" s="11" t="s">
        <v>1518</v>
      </c>
      <c r="L252" s="11" t="s">
        <v>1608</v>
      </c>
      <c r="M252" s="11" t="s">
        <v>99</v>
      </c>
      <c r="N252" s="11" t="s">
        <v>100</v>
      </c>
      <c r="O252" s="11" t="s">
        <v>101</v>
      </c>
      <c r="P252" s="11" t="s">
        <v>102</v>
      </c>
      <c r="Q252" s="12">
        <v>113.71767699999999</v>
      </c>
      <c r="R252" s="13">
        <v>23.084299999999999</v>
      </c>
      <c r="S252" s="11" t="s">
        <v>1609</v>
      </c>
      <c r="T252" s="11"/>
      <c r="U252" s="11" t="s">
        <v>104</v>
      </c>
      <c r="V252" s="11" t="s">
        <v>105</v>
      </c>
      <c r="W252" s="11" t="s">
        <v>106</v>
      </c>
      <c r="X252" s="11"/>
      <c r="Y252" s="11"/>
      <c r="Z252" s="11"/>
      <c r="AA252" s="12">
        <v>251</v>
      </c>
      <c r="AB252" s="12"/>
      <c r="AC252" s="11" t="s">
        <v>244</v>
      </c>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row>
    <row r="253" spans="1:56" ht="56" x14ac:dyDescent="0.25">
      <c r="A253" s="11" t="s">
        <v>1610</v>
      </c>
      <c r="B253" s="11" t="s">
        <v>1611</v>
      </c>
      <c r="C253" s="11"/>
      <c r="D253" s="11" t="s">
        <v>91</v>
      </c>
      <c r="E253" s="11" t="s">
        <v>92</v>
      </c>
      <c r="F253" s="11" t="s">
        <v>1191</v>
      </c>
      <c r="G253" s="11" t="s">
        <v>1612</v>
      </c>
      <c r="H253" s="11" t="s">
        <v>94</v>
      </c>
      <c r="I253" s="11" t="s">
        <v>112</v>
      </c>
      <c r="J253" s="11" t="s">
        <v>112</v>
      </c>
      <c r="K253" s="11" t="s">
        <v>1568</v>
      </c>
      <c r="L253" s="11" t="s">
        <v>1613</v>
      </c>
      <c r="M253" s="11" t="s">
        <v>99</v>
      </c>
      <c r="N253" s="11" t="s">
        <v>100</v>
      </c>
      <c r="O253" s="11" t="s">
        <v>101</v>
      </c>
      <c r="P253" s="11" t="s">
        <v>102</v>
      </c>
      <c r="Q253" s="12">
        <v>113.964698</v>
      </c>
      <c r="R253" s="13">
        <v>23.077178</v>
      </c>
      <c r="S253" s="11" t="s">
        <v>1614</v>
      </c>
      <c r="T253" s="11"/>
      <c r="U253" s="11" t="s">
        <v>104</v>
      </c>
      <c r="V253" s="11" t="s">
        <v>105</v>
      </c>
      <c r="W253" s="11" t="s">
        <v>106</v>
      </c>
      <c r="X253" s="11"/>
      <c r="Y253" s="11"/>
      <c r="Z253" s="11"/>
      <c r="AA253" s="12">
        <v>252</v>
      </c>
      <c r="AB253" s="12"/>
      <c r="AC253" s="11" t="s">
        <v>244</v>
      </c>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row>
    <row r="254" spans="1:56" ht="56" x14ac:dyDescent="0.25">
      <c r="A254" s="11" t="s">
        <v>1615</v>
      </c>
      <c r="B254" s="11" t="s">
        <v>1616</v>
      </c>
      <c r="C254" s="11"/>
      <c r="D254" s="11" t="s">
        <v>91</v>
      </c>
      <c r="E254" s="11" t="s">
        <v>92</v>
      </c>
      <c r="F254" s="11" t="s">
        <v>1542</v>
      </c>
      <c r="G254" s="11" t="s">
        <v>1617</v>
      </c>
      <c r="H254" s="11" t="s">
        <v>94</v>
      </c>
      <c r="I254" s="11" t="s">
        <v>112</v>
      </c>
      <c r="J254" s="11" t="s">
        <v>112</v>
      </c>
      <c r="K254" s="11" t="s">
        <v>1618</v>
      </c>
      <c r="L254" s="11" t="s">
        <v>1619</v>
      </c>
      <c r="M254" s="11" t="s">
        <v>99</v>
      </c>
      <c r="N254" s="11" t="s">
        <v>100</v>
      </c>
      <c r="O254" s="11" t="s">
        <v>101</v>
      </c>
      <c r="P254" s="11" t="s">
        <v>102</v>
      </c>
      <c r="Q254" s="12">
        <v>113.882862</v>
      </c>
      <c r="R254" s="13">
        <v>23.110233999999998</v>
      </c>
      <c r="S254" s="11" t="s">
        <v>1620</v>
      </c>
      <c r="T254" s="11"/>
      <c r="U254" s="11" t="s">
        <v>104</v>
      </c>
      <c r="V254" s="11" t="s">
        <v>105</v>
      </c>
      <c r="W254" s="11" t="s">
        <v>106</v>
      </c>
      <c r="X254" s="11"/>
      <c r="Y254" s="11"/>
      <c r="Z254" s="11"/>
      <c r="AA254" s="12">
        <v>253</v>
      </c>
      <c r="AB254" s="12"/>
      <c r="AC254" s="11" t="s">
        <v>244</v>
      </c>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row>
    <row r="255" spans="1:56" ht="56" x14ac:dyDescent="0.25">
      <c r="A255" s="11" t="s">
        <v>1621</v>
      </c>
      <c r="B255" s="11" t="s">
        <v>1622</v>
      </c>
      <c r="C255" s="11"/>
      <c r="D255" s="11" t="s">
        <v>91</v>
      </c>
      <c r="E255" s="11" t="s">
        <v>92</v>
      </c>
      <c r="F255" s="11" t="s">
        <v>1211</v>
      </c>
      <c r="G255" s="11" t="s">
        <v>1623</v>
      </c>
      <c r="H255" s="11" t="s">
        <v>94</v>
      </c>
      <c r="I255" s="11" t="s">
        <v>112</v>
      </c>
      <c r="J255" s="11" t="s">
        <v>112</v>
      </c>
      <c r="K255" s="11" t="s">
        <v>1537</v>
      </c>
      <c r="L255" s="11" t="s">
        <v>1624</v>
      </c>
      <c r="M255" s="11" t="s">
        <v>99</v>
      </c>
      <c r="N255" s="11" t="s">
        <v>100</v>
      </c>
      <c r="O255" s="11" t="s">
        <v>101</v>
      </c>
      <c r="P255" s="11" t="s">
        <v>102</v>
      </c>
      <c r="Q255" s="12">
        <v>113.75792</v>
      </c>
      <c r="R255" s="13">
        <v>23.075939999999999</v>
      </c>
      <c r="S255" s="11" t="s">
        <v>1625</v>
      </c>
      <c r="T255" s="11"/>
      <c r="U255" s="11" t="s">
        <v>104</v>
      </c>
      <c r="V255" s="11" t="s">
        <v>105</v>
      </c>
      <c r="W255" s="11" t="s">
        <v>106</v>
      </c>
      <c r="X255" s="11"/>
      <c r="Y255" s="11"/>
      <c r="Z255" s="11"/>
      <c r="AA255" s="12">
        <v>254</v>
      </c>
      <c r="AB255" s="12"/>
      <c r="AC255" s="11" t="s">
        <v>107</v>
      </c>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row>
    <row r="256" spans="1:56" ht="56" x14ac:dyDescent="0.25">
      <c r="A256" s="11" t="s">
        <v>1626</v>
      </c>
      <c r="B256" s="11" t="s">
        <v>1627</v>
      </c>
      <c r="C256" s="11"/>
      <c r="D256" s="11" t="s">
        <v>91</v>
      </c>
      <c r="E256" s="11" t="s">
        <v>92</v>
      </c>
      <c r="F256" s="11" t="s">
        <v>1211</v>
      </c>
      <c r="G256" s="11" t="s">
        <v>1628</v>
      </c>
      <c r="H256" s="11" t="s">
        <v>94</v>
      </c>
      <c r="I256" s="11" t="s">
        <v>1273</v>
      </c>
      <c r="J256" s="11" t="s">
        <v>1524</v>
      </c>
      <c r="K256" s="11"/>
      <c r="L256" s="11" t="s">
        <v>1629</v>
      </c>
      <c r="M256" s="11" t="s">
        <v>99</v>
      </c>
      <c r="N256" s="11" t="s">
        <v>100</v>
      </c>
      <c r="O256" s="11" t="s">
        <v>101</v>
      </c>
      <c r="P256" s="11" t="s">
        <v>102</v>
      </c>
      <c r="Q256" s="12">
        <v>113.866204</v>
      </c>
      <c r="R256" s="13">
        <v>23.131340999999999</v>
      </c>
      <c r="S256" s="11" t="s">
        <v>1630</v>
      </c>
      <c r="T256" s="11"/>
      <c r="U256" s="11" t="s">
        <v>104</v>
      </c>
      <c r="V256" s="11" t="s">
        <v>105</v>
      </c>
      <c r="W256" s="11" t="s">
        <v>106</v>
      </c>
      <c r="X256" s="11"/>
      <c r="Y256" s="11"/>
      <c r="Z256" s="11"/>
      <c r="AA256" s="12">
        <v>255</v>
      </c>
      <c r="AB256" s="12"/>
      <c r="AC256" s="11" t="s">
        <v>107</v>
      </c>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row>
    <row r="257" spans="1:56" ht="56" x14ac:dyDescent="0.25">
      <c r="A257" s="11" t="s">
        <v>1631</v>
      </c>
      <c r="B257" s="11" t="s">
        <v>1632</v>
      </c>
      <c r="C257" s="11"/>
      <c r="D257" s="11" t="s">
        <v>91</v>
      </c>
      <c r="E257" s="11" t="s">
        <v>92</v>
      </c>
      <c r="F257" s="11" t="s">
        <v>1633</v>
      </c>
      <c r="G257" s="11" t="s">
        <v>1634</v>
      </c>
      <c r="H257" s="11" t="s">
        <v>94</v>
      </c>
      <c r="I257" s="11" t="s">
        <v>112</v>
      </c>
      <c r="J257" s="11" t="s">
        <v>112</v>
      </c>
      <c r="K257" s="11" t="s">
        <v>1518</v>
      </c>
      <c r="L257" s="11" t="s">
        <v>1635</v>
      </c>
      <c r="M257" s="11" t="s">
        <v>99</v>
      </c>
      <c r="N257" s="11" t="s">
        <v>100</v>
      </c>
      <c r="O257" s="11" t="s">
        <v>101</v>
      </c>
      <c r="P257" s="11" t="s">
        <v>102</v>
      </c>
      <c r="Q257" s="12">
        <v>113.736492</v>
      </c>
      <c r="R257" s="13">
        <v>23.096706000000001</v>
      </c>
      <c r="S257" s="11" t="s">
        <v>1636</v>
      </c>
      <c r="T257" s="11"/>
      <c r="U257" s="11" t="s">
        <v>104</v>
      </c>
      <c r="V257" s="11" t="s">
        <v>105</v>
      </c>
      <c r="W257" s="11" t="s">
        <v>106</v>
      </c>
      <c r="X257" s="11"/>
      <c r="Y257" s="11"/>
      <c r="Z257" s="11"/>
      <c r="AA257" s="12">
        <v>256</v>
      </c>
      <c r="AB257" s="12"/>
      <c r="AC257" s="11" t="s">
        <v>244</v>
      </c>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row>
    <row r="258" spans="1:56" ht="56" x14ac:dyDescent="0.25">
      <c r="A258" s="11" t="s">
        <v>1637</v>
      </c>
      <c r="B258" s="11" t="s">
        <v>1638</v>
      </c>
      <c r="C258" s="11"/>
      <c r="D258" s="11" t="s">
        <v>91</v>
      </c>
      <c r="E258" s="11" t="s">
        <v>92</v>
      </c>
      <c r="F258" s="11" t="s">
        <v>1639</v>
      </c>
      <c r="G258" s="11" t="s">
        <v>1640</v>
      </c>
      <c r="H258" s="11" t="s">
        <v>94</v>
      </c>
      <c r="I258" s="11" t="s">
        <v>112</v>
      </c>
      <c r="J258" s="11" t="s">
        <v>112</v>
      </c>
      <c r="K258" s="11" t="s">
        <v>1518</v>
      </c>
      <c r="L258" s="11" t="s">
        <v>1641</v>
      </c>
      <c r="M258" s="11" t="s">
        <v>99</v>
      </c>
      <c r="N258" s="11" t="s">
        <v>100</v>
      </c>
      <c r="O258" s="11" t="s">
        <v>101</v>
      </c>
      <c r="P258" s="11" t="s">
        <v>102</v>
      </c>
      <c r="Q258" s="12">
        <v>113.759236</v>
      </c>
      <c r="R258" s="13">
        <v>23.094581999999999</v>
      </c>
      <c r="S258" s="11" t="s">
        <v>1642</v>
      </c>
      <c r="T258" s="11"/>
      <c r="U258" s="11" t="s">
        <v>104</v>
      </c>
      <c r="V258" s="11" t="s">
        <v>105</v>
      </c>
      <c r="W258" s="11" t="s">
        <v>106</v>
      </c>
      <c r="X258" s="11"/>
      <c r="Y258" s="11"/>
      <c r="Z258" s="11"/>
      <c r="AA258" s="12">
        <v>257</v>
      </c>
      <c r="AB258" s="12"/>
      <c r="AC258" s="11" t="s">
        <v>244</v>
      </c>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row>
    <row r="259" spans="1:56" ht="56" x14ac:dyDescent="0.25">
      <c r="A259" s="11" t="s">
        <v>1643</v>
      </c>
      <c r="B259" s="11" t="s">
        <v>1644</v>
      </c>
      <c r="C259" s="11"/>
      <c r="D259" s="11" t="s">
        <v>91</v>
      </c>
      <c r="E259" s="11" t="s">
        <v>92</v>
      </c>
      <c r="F259" s="11" t="s">
        <v>1560</v>
      </c>
      <c r="G259" s="11" t="s">
        <v>1645</v>
      </c>
      <c r="H259" s="11" t="s">
        <v>94</v>
      </c>
      <c r="I259" s="11" t="s">
        <v>112</v>
      </c>
      <c r="J259" s="11" t="s">
        <v>112</v>
      </c>
      <c r="K259" s="11" t="s">
        <v>1518</v>
      </c>
      <c r="L259" s="11" t="s">
        <v>1646</v>
      </c>
      <c r="M259" s="11" t="s">
        <v>99</v>
      </c>
      <c r="N259" s="11" t="s">
        <v>100</v>
      </c>
      <c r="O259" s="11" t="s">
        <v>101</v>
      </c>
      <c r="P259" s="11" t="s">
        <v>102</v>
      </c>
      <c r="Q259" s="12">
        <v>113.745181</v>
      </c>
      <c r="R259" s="13">
        <v>23.096717999999999</v>
      </c>
      <c r="S259" s="11" t="s">
        <v>1647</v>
      </c>
      <c r="T259" s="11"/>
      <c r="U259" s="11" t="s">
        <v>104</v>
      </c>
      <c r="V259" s="11" t="s">
        <v>105</v>
      </c>
      <c r="W259" s="11" t="s">
        <v>106</v>
      </c>
      <c r="X259" s="11"/>
      <c r="Y259" s="11"/>
      <c r="Z259" s="11"/>
      <c r="AA259" s="12">
        <v>258</v>
      </c>
      <c r="AB259" s="12"/>
      <c r="AC259" s="11" t="s">
        <v>244</v>
      </c>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row>
    <row r="260" spans="1:56" ht="56" x14ac:dyDescent="0.25">
      <c r="A260" s="11" t="s">
        <v>1648</v>
      </c>
      <c r="B260" s="11" t="s">
        <v>1649</v>
      </c>
      <c r="C260" s="11"/>
      <c r="D260" s="11" t="s">
        <v>91</v>
      </c>
      <c r="E260" s="11" t="s">
        <v>92</v>
      </c>
      <c r="F260" s="11" t="s">
        <v>1211</v>
      </c>
      <c r="G260" s="11" t="s">
        <v>1650</v>
      </c>
      <c r="H260" s="11" t="s">
        <v>94</v>
      </c>
      <c r="I260" s="11" t="s">
        <v>112</v>
      </c>
      <c r="J260" s="11" t="s">
        <v>112</v>
      </c>
      <c r="K260" s="11" t="s">
        <v>1537</v>
      </c>
      <c r="L260" s="11" t="s">
        <v>1651</v>
      </c>
      <c r="M260" s="11" t="s">
        <v>99</v>
      </c>
      <c r="N260" s="11" t="s">
        <v>100</v>
      </c>
      <c r="O260" s="11" t="s">
        <v>101</v>
      </c>
      <c r="P260" s="11" t="s">
        <v>102</v>
      </c>
      <c r="Q260" s="12">
        <v>113.782394</v>
      </c>
      <c r="R260" s="13">
        <v>23.085757999999998</v>
      </c>
      <c r="S260" s="11" t="s">
        <v>1652</v>
      </c>
      <c r="T260" s="11"/>
      <c r="U260" s="11" t="s">
        <v>104</v>
      </c>
      <c r="V260" s="11" t="s">
        <v>105</v>
      </c>
      <c r="W260" s="11" t="s">
        <v>106</v>
      </c>
      <c r="X260" s="11"/>
      <c r="Y260" s="11"/>
      <c r="Z260" s="11"/>
      <c r="AA260" s="12">
        <v>259</v>
      </c>
      <c r="AB260" s="12"/>
      <c r="AC260" s="11" t="s">
        <v>244</v>
      </c>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row>
    <row r="261" spans="1:56" ht="56" x14ac:dyDescent="0.25">
      <c r="A261" s="11" t="s">
        <v>1653</v>
      </c>
      <c r="B261" s="11" t="s">
        <v>1654</v>
      </c>
      <c r="C261" s="11"/>
      <c r="D261" s="11" t="s">
        <v>91</v>
      </c>
      <c r="E261" s="11" t="s">
        <v>92</v>
      </c>
      <c r="F261" s="11" t="s">
        <v>840</v>
      </c>
      <c r="G261" s="11" t="s">
        <v>1655</v>
      </c>
      <c r="H261" s="11" t="s">
        <v>94</v>
      </c>
      <c r="I261" s="11" t="s">
        <v>112</v>
      </c>
      <c r="J261" s="11" t="s">
        <v>112</v>
      </c>
      <c r="K261" s="11" t="s">
        <v>1537</v>
      </c>
      <c r="L261" s="11" t="s">
        <v>1656</v>
      </c>
      <c r="M261" s="11" t="s">
        <v>99</v>
      </c>
      <c r="N261" s="11" t="s">
        <v>100</v>
      </c>
      <c r="O261" s="11" t="s">
        <v>101</v>
      </c>
      <c r="P261" s="11" t="s">
        <v>102</v>
      </c>
      <c r="Q261" s="12">
        <v>113.761368</v>
      </c>
      <c r="R261" s="13">
        <v>23.072709</v>
      </c>
      <c r="S261" s="11" t="s">
        <v>1657</v>
      </c>
      <c r="T261" s="11"/>
      <c r="U261" s="11" t="s">
        <v>104</v>
      </c>
      <c r="V261" s="11" t="s">
        <v>105</v>
      </c>
      <c r="W261" s="11" t="s">
        <v>106</v>
      </c>
      <c r="X261" s="11"/>
      <c r="Y261" s="11"/>
      <c r="Z261" s="11"/>
      <c r="AA261" s="12">
        <v>260</v>
      </c>
      <c r="AB261" s="12"/>
      <c r="AC261" s="11" t="s">
        <v>244</v>
      </c>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row>
    <row r="262" spans="1:56" ht="56" x14ac:dyDescent="0.25">
      <c r="A262" s="11" t="s">
        <v>1658</v>
      </c>
      <c r="B262" s="11" t="s">
        <v>1659</v>
      </c>
      <c r="C262" s="11"/>
      <c r="D262" s="11" t="s">
        <v>91</v>
      </c>
      <c r="E262" s="11" t="s">
        <v>92</v>
      </c>
      <c r="F262" s="11" t="s">
        <v>1660</v>
      </c>
      <c r="G262" s="11" t="s">
        <v>1661</v>
      </c>
      <c r="H262" s="11" t="s">
        <v>94</v>
      </c>
      <c r="I262" s="11" t="s">
        <v>112</v>
      </c>
      <c r="J262" s="11" t="s">
        <v>112</v>
      </c>
      <c r="K262" s="11" t="s">
        <v>1518</v>
      </c>
      <c r="L262" s="11" t="s">
        <v>1662</v>
      </c>
      <c r="M262" s="11" t="s">
        <v>99</v>
      </c>
      <c r="N262" s="11" t="s">
        <v>100</v>
      </c>
      <c r="O262" s="11" t="s">
        <v>101</v>
      </c>
      <c r="P262" s="11" t="s">
        <v>102</v>
      </c>
      <c r="Q262" s="12">
        <v>113.75091999999999</v>
      </c>
      <c r="R262" s="13">
        <v>23.105316999999999</v>
      </c>
      <c r="S262" s="11" t="s">
        <v>1663</v>
      </c>
      <c r="T262" s="11"/>
      <c r="U262" s="11" t="s">
        <v>104</v>
      </c>
      <c r="V262" s="11" t="s">
        <v>105</v>
      </c>
      <c r="W262" s="11" t="s">
        <v>106</v>
      </c>
      <c r="X262" s="11"/>
      <c r="Y262" s="11"/>
      <c r="Z262" s="11"/>
      <c r="AA262" s="12">
        <v>261</v>
      </c>
      <c r="AB262" s="12"/>
      <c r="AC262" s="11" t="s">
        <v>244</v>
      </c>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row>
    <row r="263" spans="1:56" ht="56" x14ac:dyDescent="0.25">
      <c r="A263" s="11" t="s">
        <v>1664</v>
      </c>
      <c r="B263" s="11" t="s">
        <v>1665</v>
      </c>
      <c r="C263" s="11"/>
      <c r="D263" s="11" t="s">
        <v>91</v>
      </c>
      <c r="E263" s="11" t="s">
        <v>92</v>
      </c>
      <c r="F263" s="11" t="s">
        <v>1666</v>
      </c>
      <c r="G263" s="11" t="s">
        <v>1667</v>
      </c>
      <c r="H263" s="11" t="s">
        <v>94</v>
      </c>
      <c r="I263" s="11" t="s">
        <v>112</v>
      </c>
      <c r="J263" s="11" t="s">
        <v>112</v>
      </c>
      <c r="K263" s="11" t="s">
        <v>1668</v>
      </c>
      <c r="L263" s="11" t="s">
        <v>1669</v>
      </c>
      <c r="M263" s="11" t="s">
        <v>99</v>
      </c>
      <c r="N263" s="11" t="s">
        <v>100</v>
      </c>
      <c r="O263" s="11" t="s">
        <v>101</v>
      </c>
      <c r="P263" s="11" t="s">
        <v>102</v>
      </c>
      <c r="Q263" s="12">
        <v>114.005757</v>
      </c>
      <c r="R263" s="13">
        <v>22.970994000000001</v>
      </c>
      <c r="S263" s="11" t="s">
        <v>1670</v>
      </c>
      <c r="T263" s="11"/>
      <c r="U263" s="11" t="s">
        <v>104</v>
      </c>
      <c r="V263" s="11" t="s">
        <v>105</v>
      </c>
      <c r="W263" s="11" t="s">
        <v>106</v>
      </c>
      <c r="X263" s="11"/>
      <c r="Y263" s="11"/>
      <c r="Z263" s="11"/>
      <c r="AA263" s="12">
        <v>262</v>
      </c>
      <c r="AB263" s="12"/>
      <c r="AC263" s="11" t="s">
        <v>107</v>
      </c>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row>
    <row r="264" spans="1:56" ht="70" x14ac:dyDescent="0.25">
      <c r="A264" s="11" t="s">
        <v>1671</v>
      </c>
      <c r="B264" s="11" t="s">
        <v>1672</v>
      </c>
      <c r="C264" s="11"/>
      <c r="D264" s="11" t="s">
        <v>91</v>
      </c>
      <c r="E264" s="11" t="s">
        <v>92</v>
      </c>
      <c r="F264" s="11" t="s">
        <v>1673</v>
      </c>
      <c r="G264" s="11" t="s">
        <v>1674</v>
      </c>
      <c r="H264" s="11" t="s">
        <v>94</v>
      </c>
      <c r="I264" s="11" t="s">
        <v>112</v>
      </c>
      <c r="J264" s="11" t="s">
        <v>112</v>
      </c>
      <c r="K264" s="11" t="s">
        <v>1675</v>
      </c>
      <c r="L264" s="11" t="s">
        <v>1676</v>
      </c>
      <c r="M264" s="11" t="s">
        <v>99</v>
      </c>
      <c r="N264" s="11" t="s">
        <v>100</v>
      </c>
      <c r="O264" s="11" t="s">
        <v>101</v>
      </c>
      <c r="P264" s="11" t="s">
        <v>102</v>
      </c>
      <c r="Q264" s="12">
        <v>114.06088099999999</v>
      </c>
      <c r="R264" s="13">
        <v>23.015295999999999</v>
      </c>
      <c r="S264" s="11" t="s">
        <v>1677</v>
      </c>
      <c r="T264" s="11"/>
      <c r="U264" s="11" t="s">
        <v>104</v>
      </c>
      <c r="V264" s="11" t="s">
        <v>105</v>
      </c>
      <c r="W264" s="11" t="s">
        <v>106</v>
      </c>
      <c r="X264" s="11"/>
      <c r="Y264" s="11"/>
      <c r="Z264" s="11"/>
      <c r="AA264" s="12">
        <v>263</v>
      </c>
      <c r="AB264" s="12"/>
      <c r="AC264" s="11" t="s">
        <v>107</v>
      </c>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row>
    <row r="265" spans="1:56" ht="70" x14ac:dyDescent="0.25">
      <c r="A265" s="11" t="s">
        <v>1678</v>
      </c>
      <c r="B265" s="11" t="s">
        <v>1679</v>
      </c>
      <c r="C265" s="11"/>
      <c r="D265" s="11" t="s">
        <v>91</v>
      </c>
      <c r="E265" s="11" t="s">
        <v>92</v>
      </c>
      <c r="F265" s="11" t="s">
        <v>1680</v>
      </c>
      <c r="G265" s="11" t="s">
        <v>1681</v>
      </c>
      <c r="H265" s="11" t="s">
        <v>94</v>
      </c>
      <c r="I265" s="11" t="s">
        <v>112</v>
      </c>
      <c r="J265" s="11" t="s">
        <v>112</v>
      </c>
      <c r="K265" s="11" t="s">
        <v>1668</v>
      </c>
      <c r="L265" s="11" t="s">
        <v>1682</v>
      </c>
      <c r="M265" s="11" t="s">
        <v>99</v>
      </c>
      <c r="N265" s="11" t="s">
        <v>100</v>
      </c>
      <c r="O265" s="11" t="s">
        <v>101</v>
      </c>
      <c r="P265" s="11" t="s">
        <v>102</v>
      </c>
      <c r="Q265" s="12">
        <v>114.000489</v>
      </c>
      <c r="R265" s="13">
        <v>22.979662000000001</v>
      </c>
      <c r="S265" s="11" t="s">
        <v>1683</v>
      </c>
      <c r="T265" s="11"/>
      <c r="U265" s="11" t="s">
        <v>104</v>
      </c>
      <c r="V265" s="11" t="s">
        <v>105</v>
      </c>
      <c r="W265" s="11" t="s">
        <v>106</v>
      </c>
      <c r="X265" s="11"/>
      <c r="Y265" s="11"/>
      <c r="Z265" s="11"/>
      <c r="AA265" s="12">
        <v>264</v>
      </c>
      <c r="AB265" s="12"/>
      <c r="AC265" s="11" t="s">
        <v>244</v>
      </c>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row>
    <row r="266" spans="1:56" ht="56" x14ac:dyDescent="0.25">
      <c r="A266" s="11" t="s">
        <v>1684</v>
      </c>
      <c r="B266" s="11" t="s">
        <v>1685</v>
      </c>
      <c r="C266" s="11"/>
      <c r="D266" s="11" t="s">
        <v>91</v>
      </c>
      <c r="E266" s="11" t="s">
        <v>92</v>
      </c>
      <c r="F266" s="11" t="s">
        <v>1686</v>
      </c>
      <c r="G266" s="11" t="s">
        <v>1687</v>
      </c>
      <c r="H266" s="11" t="s">
        <v>94</v>
      </c>
      <c r="I266" s="11" t="s">
        <v>112</v>
      </c>
      <c r="J266" s="11" t="s">
        <v>112</v>
      </c>
      <c r="K266" s="11" t="s">
        <v>1675</v>
      </c>
      <c r="L266" s="11" t="s">
        <v>1688</v>
      </c>
      <c r="M266" s="11" t="s">
        <v>99</v>
      </c>
      <c r="N266" s="11" t="s">
        <v>100</v>
      </c>
      <c r="O266" s="11" t="s">
        <v>101</v>
      </c>
      <c r="P266" s="11" t="s">
        <v>102</v>
      </c>
      <c r="Q266" s="12">
        <v>114.073127</v>
      </c>
      <c r="R266" s="13">
        <v>23.010593</v>
      </c>
      <c r="S266" s="11" t="s">
        <v>1689</v>
      </c>
      <c r="T266" s="11"/>
      <c r="U266" s="11" t="s">
        <v>104</v>
      </c>
      <c r="V266" s="11" t="s">
        <v>105</v>
      </c>
      <c r="W266" s="11" t="s">
        <v>106</v>
      </c>
      <c r="X266" s="11"/>
      <c r="Y266" s="11"/>
      <c r="Z266" s="11"/>
      <c r="AA266" s="12">
        <v>265</v>
      </c>
      <c r="AB266" s="12"/>
      <c r="AC266" s="11" t="s">
        <v>107</v>
      </c>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row>
    <row r="267" spans="1:56" ht="70" x14ac:dyDescent="0.25">
      <c r="A267" s="11" t="s">
        <v>1690</v>
      </c>
      <c r="B267" s="11" t="s">
        <v>1691</v>
      </c>
      <c r="C267" s="11"/>
      <c r="D267" s="11" t="s">
        <v>91</v>
      </c>
      <c r="E267" s="11" t="s">
        <v>92</v>
      </c>
      <c r="F267" s="11" t="s">
        <v>1692</v>
      </c>
      <c r="G267" s="11" t="s">
        <v>1693</v>
      </c>
      <c r="H267" s="11" t="s">
        <v>94</v>
      </c>
      <c r="I267" s="11" t="s">
        <v>180</v>
      </c>
      <c r="J267" s="11" t="s">
        <v>1694</v>
      </c>
      <c r="K267" s="11"/>
      <c r="L267" s="11" t="s">
        <v>1695</v>
      </c>
      <c r="M267" s="11" t="s">
        <v>99</v>
      </c>
      <c r="N267" s="11" t="s">
        <v>100</v>
      </c>
      <c r="O267" s="11" t="s">
        <v>101</v>
      </c>
      <c r="P267" s="11" t="s">
        <v>102</v>
      </c>
      <c r="Q267" s="12">
        <v>114.409398</v>
      </c>
      <c r="R267" s="13">
        <v>22.754225999999999</v>
      </c>
      <c r="S267" s="11" t="s">
        <v>1696</v>
      </c>
      <c r="T267" s="11"/>
      <c r="U267" s="11" t="s">
        <v>104</v>
      </c>
      <c r="V267" s="11" t="s">
        <v>105</v>
      </c>
      <c r="W267" s="11" t="s">
        <v>106</v>
      </c>
      <c r="X267" s="11"/>
      <c r="Y267" s="11"/>
      <c r="Z267" s="11"/>
      <c r="AA267" s="12">
        <v>266</v>
      </c>
      <c r="AB267" s="12"/>
      <c r="AC267" s="11" t="s">
        <v>244</v>
      </c>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row>
    <row r="268" spans="1:56" ht="56" x14ac:dyDescent="0.25">
      <c r="A268" s="11" t="s">
        <v>1697</v>
      </c>
      <c r="B268" s="11" t="s">
        <v>1698</v>
      </c>
      <c r="C268" s="11"/>
      <c r="D268" s="11" t="s">
        <v>91</v>
      </c>
      <c r="E268" s="11" t="s">
        <v>92</v>
      </c>
      <c r="F268" s="11" t="s">
        <v>1699</v>
      </c>
      <c r="G268" s="11" t="s">
        <v>1700</v>
      </c>
      <c r="H268" s="11" t="s">
        <v>94</v>
      </c>
      <c r="I268" s="11" t="s">
        <v>180</v>
      </c>
      <c r="J268" s="11" t="s">
        <v>1694</v>
      </c>
      <c r="K268" s="11"/>
      <c r="L268" s="11" t="s">
        <v>1701</v>
      </c>
      <c r="M268" s="11" t="s">
        <v>99</v>
      </c>
      <c r="N268" s="11" t="s">
        <v>100</v>
      </c>
      <c r="O268" s="11" t="s">
        <v>101</v>
      </c>
      <c r="P268" s="11" t="s">
        <v>102</v>
      </c>
      <c r="Q268" s="12">
        <v>114.40063000000001</v>
      </c>
      <c r="R268" s="13">
        <v>22.750522</v>
      </c>
      <c r="S268" s="11" t="s">
        <v>1702</v>
      </c>
      <c r="T268" s="11"/>
      <c r="U268" s="11" t="s">
        <v>104</v>
      </c>
      <c r="V268" s="11" t="s">
        <v>105</v>
      </c>
      <c r="W268" s="11" t="s">
        <v>106</v>
      </c>
      <c r="X268" s="11"/>
      <c r="Y268" s="11"/>
      <c r="Z268" s="11"/>
      <c r="AA268" s="12">
        <v>267</v>
      </c>
      <c r="AB268" s="12"/>
      <c r="AC268" s="11" t="s">
        <v>244</v>
      </c>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row>
    <row r="269" spans="1:56" ht="70" x14ac:dyDescent="0.25">
      <c r="A269" s="11" t="s">
        <v>1703</v>
      </c>
      <c r="B269" s="11" t="s">
        <v>1704</v>
      </c>
      <c r="C269" s="11"/>
      <c r="D269" s="11" t="s">
        <v>91</v>
      </c>
      <c r="E269" s="11" t="s">
        <v>92</v>
      </c>
      <c r="F269" s="11" t="s">
        <v>1705</v>
      </c>
      <c r="G269" s="11" t="s">
        <v>1706</v>
      </c>
      <c r="H269" s="11" t="s">
        <v>94</v>
      </c>
      <c r="I269" s="11" t="s">
        <v>180</v>
      </c>
      <c r="J269" s="11" t="s">
        <v>233</v>
      </c>
      <c r="K269" s="11"/>
      <c r="L269" s="11" t="s">
        <v>1707</v>
      </c>
      <c r="M269" s="11" t="s">
        <v>99</v>
      </c>
      <c r="N269" s="11" t="s">
        <v>100</v>
      </c>
      <c r="O269" s="11" t="s">
        <v>101</v>
      </c>
      <c r="P269" s="11" t="s">
        <v>102</v>
      </c>
      <c r="Q269" s="12">
        <v>114.292091</v>
      </c>
      <c r="R269" s="13">
        <v>22.691952000000001</v>
      </c>
      <c r="S269" s="11" t="s">
        <v>1708</v>
      </c>
      <c r="T269" s="11"/>
      <c r="U269" s="11" t="s">
        <v>104</v>
      </c>
      <c r="V269" s="11" t="s">
        <v>105</v>
      </c>
      <c r="W269" s="11" t="s">
        <v>106</v>
      </c>
      <c r="X269" s="11"/>
      <c r="Y269" s="11"/>
      <c r="Z269" s="11"/>
      <c r="AA269" s="12">
        <v>268</v>
      </c>
      <c r="AB269" s="12"/>
      <c r="AC269" s="11" t="s">
        <v>244</v>
      </c>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row>
    <row r="270" spans="1:56" ht="56" x14ac:dyDescent="0.25">
      <c r="A270" s="11" t="s">
        <v>1709</v>
      </c>
      <c r="B270" s="11" t="s">
        <v>1710</v>
      </c>
      <c r="C270" s="11"/>
      <c r="D270" s="11" t="s">
        <v>91</v>
      </c>
      <c r="E270" s="11" t="s">
        <v>92</v>
      </c>
      <c r="F270" s="11" t="s">
        <v>1711</v>
      </c>
      <c r="G270" s="11" t="s">
        <v>1712</v>
      </c>
      <c r="H270" s="11" t="s">
        <v>94</v>
      </c>
      <c r="I270" s="11" t="s">
        <v>180</v>
      </c>
      <c r="J270" s="11" t="s">
        <v>1694</v>
      </c>
      <c r="K270" s="11"/>
      <c r="L270" s="11" t="s">
        <v>1713</v>
      </c>
      <c r="M270" s="11" t="s">
        <v>99</v>
      </c>
      <c r="N270" s="11" t="s">
        <v>100</v>
      </c>
      <c r="O270" s="11" t="s">
        <v>101</v>
      </c>
      <c r="P270" s="11" t="s">
        <v>102</v>
      </c>
      <c r="Q270" s="12">
        <v>114.33951399999999</v>
      </c>
      <c r="R270" s="13">
        <v>22.683851000000001</v>
      </c>
      <c r="S270" s="11" t="s">
        <v>1714</v>
      </c>
      <c r="T270" s="11"/>
      <c r="U270" s="11" t="s">
        <v>104</v>
      </c>
      <c r="V270" s="11" t="s">
        <v>105</v>
      </c>
      <c r="W270" s="11" t="s">
        <v>106</v>
      </c>
      <c r="X270" s="11"/>
      <c r="Y270" s="11"/>
      <c r="Z270" s="11"/>
      <c r="AA270" s="12">
        <v>269</v>
      </c>
      <c r="AB270" s="12"/>
      <c r="AC270" s="11" t="s">
        <v>244</v>
      </c>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row>
    <row r="271" spans="1:56" ht="56" x14ac:dyDescent="0.25">
      <c r="A271" s="11" t="s">
        <v>1715</v>
      </c>
      <c r="B271" s="11" t="s">
        <v>1716</v>
      </c>
      <c r="C271" s="11"/>
      <c r="D271" s="11" t="s">
        <v>91</v>
      </c>
      <c r="E271" s="11" t="s">
        <v>92</v>
      </c>
      <c r="F271" s="11" t="s">
        <v>1711</v>
      </c>
      <c r="G271" s="11" t="s">
        <v>1712</v>
      </c>
      <c r="H271" s="11" t="s">
        <v>94</v>
      </c>
      <c r="I271" s="11" t="s">
        <v>180</v>
      </c>
      <c r="J271" s="11" t="s">
        <v>1694</v>
      </c>
      <c r="K271" s="11"/>
      <c r="L271" s="11" t="s">
        <v>1717</v>
      </c>
      <c r="M271" s="11" t="s">
        <v>99</v>
      </c>
      <c r="N271" s="11" t="s">
        <v>100</v>
      </c>
      <c r="O271" s="11" t="s">
        <v>101</v>
      </c>
      <c r="P271" s="11" t="s">
        <v>102</v>
      </c>
      <c r="Q271" s="12">
        <v>114.35648399999999</v>
      </c>
      <c r="R271" s="13">
        <v>22.700486999999999</v>
      </c>
      <c r="S271" s="11" t="s">
        <v>1718</v>
      </c>
      <c r="T271" s="11"/>
      <c r="U271" s="11" t="s">
        <v>104</v>
      </c>
      <c r="V271" s="11" t="s">
        <v>105</v>
      </c>
      <c r="W271" s="11" t="s">
        <v>106</v>
      </c>
      <c r="X271" s="11"/>
      <c r="Y271" s="11"/>
      <c r="Z271" s="11"/>
      <c r="AA271" s="12">
        <v>270</v>
      </c>
      <c r="AB271" s="12"/>
      <c r="AC271" s="11" t="s">
        <v>244</v>
      </c>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row>
    <row r="272" spans="1:56" ht="70" x14ac:dyDescent="0.25">
      <c r="A272" s="11" t="s">
        <v>1719</v>
      </c>
      <c r="B272" s="11" t="s">
        <v>1720</v>
      </c>
      <c r="C272" s="11"/>
      <c r="D272" s="11" t="s">
        <v>91</v>
      </c>
      <c r="E272" s="11" t="s">
        <v>92</v>
      </c>
      <c r="F272" s="11" t="s">
        <v>1721</v>
      </c>
      <c r="G272" s="11" t="s">
        <v>1722</v>
      </c>
      <c r="H272" s="11" t="s">
        <v>94</v>
      </c>
      <c r="I272" s="11" t="s">
        <v>180</v>
      </c>
      <c r="J272" s="11" t="s">
        <v>233</v>
      </c>
      <c r="K272" s="11"/>
      <c r="L272" s="11" t="s">
        <v>1723</v>
      </c>
      <c r="M272" s="11" t="s">
        <v>99</v>
      </c>
      <c r="N272" s="11" t="s">
        <v>100</v>
      </c>
      <c r="O272" s="11" t="s">
        <v>101</v>
      </c>
      <c r="P272" s="11" t="s">
        <v>102</v>
      </c>
      <c r="Q272" s="12">
        <v>114.247623</v>
      </c>
      <c r="R272" s="13">
        <v>22.754451</v>
      </c>
      <c r="S272" s="11" t="s">
        <v>1724</v>
      </c>
      <c r="T272" s="11"/>
      <c r="U272" s="11" t="s">
        <v>104</v>
      </c>
      <c r="V272" s="11" t="s">
        <v>105</v>
      </c>
      <c r="W272" s="11" t="s">
        <v>106</v>
      </c>
      <c r="X272" s="11"/>
      <c r="Y272" s="11"/>
      <c r="Z272" s="11"/>
      <c r="AA272" s="12">
        <v>271</v>
      </c>
      <c r="AB272" s="12"/>
      <c r="AC272" s="11" t="s">
        <v>244</v>
      </c>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row>
    <row r="273" spans="1:56" ht="56" x14ac:dyDescent="0.25">
      <c r="A273" s="11" t="s">
        <v>1725</v>
      </c>
      <c r="B273" s="11" t="s">
        <v>1726</v>
      </c>
      <c r="C273" s="11"/>
      <c r="D273" s="11" t="s">
        <v>91</v>
      </c>
      <c r="E273" s="11" t="s">
        <v>92</v>
      </c>
      <c r="F273" s="11" t="s">
        <v>1727</v>
      </c>
      <c r="G273" s="11" t="s">
        <v>1728</v>
      </c>
      <c r="H273" s="11" t="s">
        <v>94</v>
      </c>
      <c r="I273" s="11" t="s">
        <v>180</v>
      </c>
      <c r="J273" s="11" t="s">
        <v>233</v>
      </c>
      <c r="K273" s="11"/>
      <c r="L273" s="11" t="s">
        <v>1729</v>
      </c>
      <c r="M273" s="11" t="s">
        <v>99</v>
      </c>
      <c r="N273" s="11" t="s">
        <v>100</v>
      </c>
      <c r="O273" s="11" t="s">
        <v>101</v>
      </c>
      <c r="P273" s="11" t="s">
        <v>102</v>
      </c>
      <c r="Q273" s="12">
        <v>114.279298</v>
      </c>
      <c r="R273" s="13">
        <v>22.743226</v>
      </c>
      <c r="S273" s="11" t="s">
        <v>1730</v>
      </c>
      <c r="T273" s="11"/>
      <c r="U273" s="11" t="s">
        <v>104</v>
      </c>
      <c r="V273" s="11" t="s">
        <v>105</v>
      </c>
      <c r="W273" s="11" t="s">
        <v>106</v>
      </c>
      <c r="X273" s="11"/>
      <c r="Y273" s="11"/>
      <c r="Z273" s="11"/>
      <c r="AA273" s="12">
        <v>272</v>
      </c>
      <c r="AB273" s="12"/>
      <c r="AC273" s="11" t="s">
        <v>107</v>
      </c>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row>
    <row r="274" spans="1:56" ht="56" x14ac:dyDescent="0.25">
      <c r="A274" s="11" t="s">
        <v>1731</v>
      </c>
      <c r="B274" s="11" t="s">
        <v>1732</v>
      </c>
      <c r="C274" s="11"/>
      <c r="D274" s="11" t="s">
        <v>91</v>
      </c>
      <c r="E274" s="11" t="s">
        <v>92</v>
      </c>
      <c r="F274" s="11" t="s">
        <v>1529</v>
      </c>
      <c r="G274" s="11" t="s">
        <v>1733</v>
      </c>
      <c r="H274" s="11" t="s">
        <v>94</v>
      </c>
      <c r="I274" s="11" t="s">
        <v>112</v>
      </c>
      <c r="J274" s="11" t="s">
        <v>112</v>
      </c>
      <c r="K274" s="11" t="s">
        <v>1734</v>
      </c>
      <c r="L274" s="11" t="s">
        <v>1735</v>
      </c>
      <c r="M274" s="11" t="s">
        <v>99</v>
      </c>
      <c r="N274" s="11" t="s">
        <v>100</v>
      </c>
      <c r="O274" s="11" t="s">
        <v>101</v>
      </c>
      <c r="P274" s="11" t="s">
        <v>102</v>
      </c>
      <c r="Q274" s="12">
        <v>113.90737</v>
      </c>
      <c r="R274" s="13">
        <v>22.934363999999999</v>
      </c>
      <c r="S274" s="11" t="s">
        <v>1736</v>
      </c>
      <c r="T274" s="11"/>
      <c r="U274" s="11" t="s">
        <v>104</v>
      </c>
      <c r="V274" s="11" t="s">
        <v>105</v>
      </c>
      <c r="W274" s="11" t="s">
        <v>106</v>
      </c>
      <c r="X274" s="11"/>
      <c r="Y274" s="11"/>
      <c r="Z274" s="11"/>
      <c r="AA274" s="12">
        <v>273</v>
      </c>
      <c r="AB274" s="12"/>
      <c r="AC274" s="11" t="s">
        <v>244</v>
      </c>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row>
    <row r="275" spans="1:56" ht="56" x14ac:dyDescent="0.25">
      <c r="A275" s="11" t="s">
        <v>1737</v>
      </c>
      <c r="B275" s="11" t="s">
        <v>1738</v>
      </c>
      <c r="C275" s="11"/>
      <c r="D275" s="11" t="s">
        <v>91</v>
      </c>
      <c r="E275" s="11" t="s">
        <v>92</v>
      </c>
      <c r="F275" s="11" t="s">
        <v>530</v>
      </c>
      <c r="G275" s="11" t="s">
        <v>1739</v>
      </c>
      <c r="H275" s="11" t="s">
        <v>94</v>
      </c>
      <c r="I275" s="11" t="s">
        <v>112</v>
      </c>
      <c r="J275" s="11" t="s">
        <v>112</v>
      </c>
      <c r="K275" s="11" t="s">
        <v>1734</v>
      </c>
      <c r="L275" s="11" t="s">
        <v>1740</v>
      </c>
      <c r="M275" s="11" t="s">
        <v>99</v>
      </c>
      <c r="N275" s="11" t="s">
        <v>100</v>
      </c>
      <c r="O275" s="11" t="s">
        <v>101</v>
      </c>
      <c r="P275" s="11" t="s">
        <v>102</v>
      </c>
      <c r="Q275" s="12">
        <v>113.90624</v>
      </c>
      <c r="R275" s="13">
        <v>22.948409000000002</v>
      </c>
      <c r="S275" s="11" t="s">
        <v>1741</v>
      </c>
      <c r="T275" s="11"/>
      <c r="U275" s="11" t="s">
        <v>104</v>
      </c>
      <c r="V275" s="11" t="s">
        <v>105</v>
      </c>
      <c r="W275" s="11" t="s">
        <v>106</v>
      </c>
      <c r="X275" s="11"/>
      <c r="Y275" s="11"/>
      <c r="Z275" s="11"/>
      <c r="AA275" s="12">
        <v>274</v>
      </c>
      <c r="AB275" s="12"/>
      <c r="AC275" s="11" t="s">
        <v>244</v>
      </c>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row>
    <row r="276" spans="1:56" ht="56" x14ac:dyDescent="0.25">
      <c r="A276" s="11" t="s">
        <v>1742</v>
      </c>
      <c r="B276" s="11" t="s">
        <v>1743</v>
      </c>
      <c r="C276" s="11"/>
      <c r="D276" s="11" t="s">
        <v>91</v>
      </c>
      <c r="E276" s="11" t="s">
        <v>92</v>
      </c>
      <c r="F276" s="11" t="s">
        <v>840</v>
      </c>
      <c r="G276" s="11" t="s">
        <v>1744</v>
      </c>
      <c r="H276" s="11" t="s">
        <v>94</v>
      </c>
      <c r="I276" s="11" t="s">
        <v>112</v>
      </c>
      <c r="J276" s="11" t="s">
        <v>112</v>
      </c>
      <c r="K276" s="11" t="s">
        <v>1745</v>
      </c>
      <c r="L276" s="11" t="s">
        <v>1746</v>
      </c>
      <c r="M276" s="11" t="s">
        <v>99</v>
      </c>
      <c r="N276" s="11" t="s">
        <v>100</v>
      </c>
      <c r="O276" s="11" t="s">
        <v>101</v>
      </c>
      <c r="P276" s="11" t="s">
        <v>102</v>
      </c>
      <c r="Q276" s="12">
        <v>113.818281</v>
      </c>
      <c r="R276" s="13">
        <v>22.913021000000001</v>
      </c>
      <c r="S276" s="11" t="s">
        <v>1747</v>
      </c>
      <c r="T276" s="11"/>
      <c r="U276" s="11" t="s">
        <v>104</v>
      </c>
      <c r="V276" s="11" t="s">
        <v>105</v>
      </c>
      <c r="W276" s="11" t="s">
        <v>106</v>
      </c>
      <c r="X276" s="11"/>
      <c r="Y276" s="11"/>
      <c r="Z276" s="11"/>
      <c r="AA276" s="12">
        <v>275</v>
      </c>
      <c r="AB276" s="12"/>
      <c r="AC276" s="11" t="s">
        <v>244</v>
      </c>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row>
    <row r="277" spans="1:56" ht="56" x14ac:dyDescent="0.25">
      <c r="A277" s="11" t="s">
        <v>1748</v>
      </c>
      <c r="B277" s="11" t="s">
        <v>1749</v>
      </c>
      <c r="C277" s="11"/>
      <c r="D277" s="11" t="s">
        <v>91</v>
      </c>
      <c r="E277" s="11" t="s">
        <v>92</v>
      </c>
      <c r="F277" s="11" t="s">
        <v>1385</v>
      </c>
      <c r="G277" s="11" t="s">
        <v>1750</v>
      </c>
      <c r="H277" s="11" t="s">
        <v>94</v>
      </c>
      <c r="I277" s="11" t="s">
        <v>112</v>
      </c>
      <c r="J277" s="11" t="s">
        <v>112</v>
      </c>
      <c r="K277" s="11" t="s">
        <v>1745</v>
      </c>
      <c r="L277" s="11" t="s">
        <v>1751</v>
      </c>
      <c r="M277" s="11" t="s">
        <v>99</v>
      </c>
      <c r="N277" s="11" t="s">
        <v>100</v>
      </c>
      <c r="O277" s="11" t="s">
        <v>101</v>
      </c>
      <c r="P277" s="11" t="s">
        <v>102</v>
      </c>
      <c r="Q277" s="12">
        <v>113.807748</v>
      </c>
      <c r="R277" s="13">
        <v>22.898496000000002</v>
      </c>
      <c r="S277" s="11" t="s">
        <v>1752</v>
      </c>
      <c r="T277" s="11"/>
      <c r="U277" s="11" t="s">
        <v>104</v>
      </c>
      <c r="V277" s="11" t="s">
        <v>105</v>
      </c>
      <c r="W277" s="11" t="s">
        <v>106</v>
      </c>
      <c r="X277" s="11"/>
      <c r="Y277" s="11"/>
      <c r="Z277" s="11"/>
      <c r="AA277" s="12">
        <v>276</v>
      </c>
      <c r="AB277" s="12"/>
      <c r="AC277" s="11" t="s">
        <v>244</v>
      </c>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row>
    <row r="278" spans="1:56" ht="56" x14ac:dyDescent="0.25">
      <c r="A278" s="11" t="s">
        <v>1753</v>
      </c>
      <c r="B278" s="11" t="s">
        <v>1754</v>
      </c>
      <c r="C278" s="11"/>
      <c r="D278" s="11" t="s">
        <v>91</v>
      </c>
      <c r="E278" s="11" t="s">
        <v>92</v>
      </c>
      <c r="F278" s="11" t="s">
        <v>1529</v>
      </c>
      <c r="G278" s="11" t="s">
        <v>1733</v>
      </c>
      <c r="H278" s="11" t="s">
        <v>94</v>
      </c>
      <c r="I278" s="11" t="s">
        <v>112</v>
      </c>
      <c r="J278" s="11" t="s">
        <v>112</v>
      </c>
      <c r="K278" s="11" t="s">
        <v>1734</v>
      </c>
      <c r="L278" s="11" t="s">
        <v>1755</v>
      </c>
      <c r="M278" s="11" t="s">
        <v>99</v>
      </c>
      <c r="N278" s="11" t="s">
        <v>100</v>
      </c>
      <c r="O278" s="11" t="s">
        <v>101</v>
      </c>
      <c r="P278" s="11" t="s">
        <v>102</v>
      </c>
      <c r="Q278" s="12">
        <v>113.913276</v>
      </c>
      <c r="R278" s="13">
        <v>22.916399999999999</v>
      </c>
      <c r="S278" s="11" t="s">
        <v>1756</v>
      </c>
      <c r="T278" s="11"/>
      <c r="U278" s="11" t="s">
        <v>104</v>
      </c>
      <c r="V278" s="11" t="s">
        <v>105</v>
      </c>
      <c r="W278" s="11" t="s">
        <v>106</v>
      </c>
      <c r="X278" s="11"/>
      <c r="Y278" s="11"/>
      <c r="Z278" s="11"/>
      <c r="AA278" s="12">
        <v>277</v>
      </c>
      <c r="AB278" s="12"/>
      <c r="AC278" s="11" t="s">
        <v>244</v>
      </c>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row>
    <row r="279" spans="1:56" ht="56" x14ac:dyDescent="0.25">
      <c r="A279" s="11" t="s">
        <v>1757</v>
      </c>
      <c r="B279" s="11" t="s">
        <v>1758</v>
      </c>
      <c r="C279" s="11"/>
      <c r="D279" s="11" t="s">
        <v>91</v>
      </c>
      <c r="E279" s="11" t="s">
        <v>92</v>
      </c>
      <c r="F279" s="11" t="s">
        <v>840</v>
      </c>
      <c r="G279" s="11" t="s">
        <v>1759</v>
      </c>
      <c r="H279" s="11" t="s">
        <v>94</v>
      </c>
      <c r="I279" s="11" t="s">
        <v>112</v>
      </c>
      <c r="J279" s="11" t="s">
        <v>112</v>
      </c>
      <c r="K279" s="11" t="s">
        <v>1734</v>
      </c>
      <c r="L279" s="11" t="s">
        <v>1760</v>
      </c>
      <c r="M279" s="11" t="s">
        <v>99</v>
      </c>
      <c r="N279" s="11" t="s">
        <v>100</v>
      </c>
      <c r="O279" s="11" t="s">
        <v>101</v>
      </c>
      <c r="P279" s="11" t="s">
        <v>102</v>
      </c>
      <c r="Q279" s="12">
        <v>113.945359</v>
      </c>
      <c r="R279" s="13">
        <v>22.933074999999999</v>
      </c>
      <c r="S279" s="11" t="s">
        <v>1761</v>
      </c>
      <c r="T279" s="11"/>
      <c r="U279" s="11" t="s">
        <v>104</v>
      </c>
      <c r="V279" s="11" t="s">
        <v>105</v>
      </c>
      <c r="W279" s="11" t="s">
        <v>106</v>
      </c>
      <c r="X279" s="11"/>
      <c r="Y279" s="11"/>
      <c r="Z279" s="11"/>
      <c r="AA279" s="12">
        <v>278</v>
      </c>
      <c r="AB279" s="12"/>
      <c r="AC279" s="11" t="s">
        <v>244</v>
      </c>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row>
    <row r="280" spans="1:56" ht="70" x14ac:dyDescent="0.25">
      <c r="A280" s="11" t="s">
        <v>1762</v>
      </c>
      <c r="B280" s="11" t="s">
        <v>1763</v>
      </c>
      <c r="C280" s="11"/>
      <c r="D280" s="11" t="s">
        <v>91</v>
      </c>
      <c r="E280" s="11" t="s">
        <v>92</v>
      </c>
      <c r="F280" s="11" t="s">
        <v>618</v>
      </c>
      <c r="G280" s="11" t="s">
        <v>1764</v>
      </c>
      <c r="H280" s="11" t="s">
        <v>94</v>
      </c>
      <c r="I280" s="11" t="s">
        <v>112</v>
      </c>
      <c r="J280" s="11" t="s">
        <v>112</v>
      </c>
      <c r="K280" s="11" t="s">
        <v>1745</v>
      </c>
      <c r="L280" s="11" t="s">
        <v>1765</v>
      </c>
      <c r="M280" s="11" t="s">
        <v>99</v>
      </c>
      <c r="N280" s="11" t="s">
        <v>100</v>
      </c>
      <c r="O280" s="11" t="s">
        <v>101</v>
      </c>
      <c r="P280" s="11" t="s">
        <v>102</v>
      </c>
      <c r="Q280" s="12">
        <v>113.810819</v>
      </c>
      <c r="R280" s="13">
        <v>22.898654000000001</v>
      </c>
      <c r="S280" s="11" t="s">
        <v>1766</v>
      </c>
      <c r="T280" s="11"/>
      <c r="U280" s="11" t="s">
        <v>104</v>
      </c>
      <c r="V280" s="11" t="s">
        <v>105</v>
      </c>
      <c r="W280" s="11" t="s">
        <v>106</v>
      </c>
      <c r="X280" s="11"/>
      <c r="Y280" s="11"/>
      <c r="Z280" s="11"/>
      <c r="AA280" s="12">
        <v>279</v>
      </c>
      <c r="AB280" s="12"/>
      <c r="AC280" s="11" t="s">
        <v>244</v>
      </c>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row>
    <row r="281" spans="1:56" ht="56" x14ac:dyDescent="0.25">
      <c r="A281" s="11" t="s">
        <v>1767</v>
      </c>
      <c r="B281" s="11" t="s">
        <v>1768</v>
      </c>
      <c r="C281" s="11"/>
      <c r="D281" s="11" t="s">
        <v>91</v>
      </c>
      <c r="E281" s="11" t="s">
        <v>92</v>
      </c>
      <c r="F281" s="11" t="s">
        <v>618</v>
      </c>
      <c r="G281" s="11" t="s">
        <v>1769</v>
      </c>
      <c r="H281" s="11" t="s">
        <v>94</v>
      </c>
      <c r="I281" s="11" t="s">
        <v>112</v>
      </c>
      <c r="J281" s="11" t="s">
        <v>112</v>
      </c>
      <c r="K281" s="11" t="s">
        <v>1734</v>
      </c>
      <c r="L281" s="11" t="s">
        <v>1770</v>
      </c>
      <c r="M281" s="11" t="s">
        <v>99</v>
      </c>
      <c r="N281" s="11" t="s">
        <v>100</v>
      </c>
      <c r="O281" s="11" t="s">
        <v>101</v>
      </c>
      <c r="P281" s="11" t="s">
        <v>102</v>
      </c>
      <c r="Q281" s="12">
        <v>113.909711</v>
      </c>
      <c r="R281" s="13">
        <v>22.953875</v>
      </c>
      <c r="S281" s="11" t="s">
        <v>1771</v>
      </c>
      <c r="T281" s="11"/>
      <c r="U281" s="11" t="s">
        <v>104</v>
      </c>
      <c r="V281" s="11" t="s">
        <v>105</v>
      </c>
      <c r="W281" s="11" t="s">
        <v>106</v>
      </c>
      <c r="X281" s="11"/>
      <c r="Y281" s="11"/>
      <c r="Z281" s="11"/>
      <c r="AA281" s="12">
        <v>280</v>
      </c>
      <c r="AB281" s="12"/>
      <c r="AC281" s="11" t="s">
        <v>244</v>
      </c>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row>
    <row r="282" spans="1:56" ht="56" x14ac:dyDescent="0.25">
      <c r="A282" s="11" t="s">
        <v>1772</v>
      </c>
      <c r="B282" s="11" t="s">
        <v>1773</v>
      </c>
      <c r="C282" s="11"/>
      <c r="D282" s="11" t="s">
        <v>91</v>
      </c>
      <c r="E282" s="11" t="s">
        <v>92</v>
      </c>
      <c r="F282" s="11" t="s">
        <v>810</v>
      </c>
      <c r="G282" s="11" t="s">
        <v>1774</v>
      </c>
      <c r="H282" s="11" t="s">
        <v>94</v>
      </c>
      <c r="I282" s="11" t="s">
        <v>112</v>
      </c>
      <c r="J282" s="11" t="s">
        <v>112</v>
      </c>
      <c r="K282" s="11" t="s">
        <v>1745</v>
      </c>
      <c r="L282" s="11" t="s">
        <v>1775</v>
      </c>
      <c r="M282" s="11" t="s">
        <v>99</v>
      </c>
      <c r="N282" s="11" t="s">
        <v>100</v>
      </c>
      <c r="O282" s="11" t="s">
        <v>101</v>
      </c>
      <c r="P282" s="11" t="s">
        <v>102</v>
      </c>
      <c r="Q282" s="12">
        <v>113.854029</v>
      </c>
      <c r="R282" s="13">
        <v>22.933163</v>
      </c>
      <c r="S282" s="11" t="s">
        <v>1776</v>
      </c>
      <c r="T282" s="11"/>
      <c r="U282" s="11" t="s">
        <v>104</v>
      </c>
      <c r="V282" s="11" t="s">
        <v>105</v>
      </c>
      <c r="W282" s="11" t="s">
        <v>106</v>
      </c>
      <c r="X282" s="11"/>
      <c r="Y282" s="11"/>
      <c r="Z282" s="11"/>
      <c r="AA282" s="12">
        <v>281</v>
      </c>
      <c r="AB282" s="12"/>
      <c r="AC282" s="11" t="s">
        <v>244</v>
      </c>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row>
    <row r="283" spans="1:56" ht="56" x14ac:dyDescent="0.25">
      <c r="A283" s="11" t="s">
        <v>1777</v>
      </c>
      <c r="B283" s="11" t="s">
        <v>1778</v>
      </c>
      <c r="C283" s="11"/>
      <c r="D283" s="11" t="s">
        <v>91</v>
      </c>
      <c r="E283" s="11" t="s">
        <v>92</v>
      </c>
      <c r="F283" s="11" t="s">
        <v>1211</v>
      </c>
      <c r="G283" s="11" t="s">
        <v>1779</v>
      </c>
      <c r="H283" s="11" t="s">
        <v>94</v>
      </c>
      <c r="I283" s="11" t="s">
        <v>112</v>
      </c>
      <c r="J283" s="11" t="s">
        <v>112</v>
      </c>
      <c r="K283" s="11" t="s">
        <v>1734</v>
      </c>
      <c r="L283" s="11" t="s">
        <v>1780</v>
      </c>
      <c r="M283" s="11" t="s">
        <v>99</v>
      </c>
      <c r="N283" s="11" t="s">
        <v>100</v>
      </c>
      <c r="O283" s="11" t="s">
        <v>101</v>
      </c>
      <c r="P283" s="11" t="s">
        <v>102</v>
      </c>
      <c r="Q283" s="12">
        <v>113.913302</v>
      </c>
      <c r="R283" s="13">
        <v>22.916426000000001</v>
      </c>
      <c r="S283" s="11" t="s">
        <v>1781</v>
      </c>
      <c r="T283" s="11"/>
      <c r="U283" s="11" t="s">
        <v>104</v>
      </c>
      <c r="V283" s="11" t="s">
        <v>105</v>
      </c>
      <c r="W283" s="11" t="s">
        <v>106</v>
      </c>
      <c r="X283" s="11"/>
      <c r="Y283" s="11"/>
      <c r="Z283" s="11"/>
      <c r="AA283" s="12">
        <v>282</v>
      </c>
      <c r="AB283" s="12"/>
      <c r="AC283" s="11" t="s">
        <v>244</v>
      </c>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row>
    <row r="284" spans="1:56" ht="56" x14ac:dyDescent="0.25">
      <c r="A284" s="11" t="s">
        <v>1782</v>
      </c>
      <c r="B284" s="11" t="s">
        <v>1783</v>
      </c>
      <c r="C284" s="11"/>
      <c r="D284" s="11" t="s">
        <v>91</v>
      </c>
      <c r="E284" s="11" t="s">
        <v>92</v>
      </c>
      <c r="F284" s="11" t="s">
        <v>1784</v>
      </c>
      <c r="G284" s="11" t="s">
        <v>1785</v>
      </c>
      <c r="H284" s="11" t="s">
        <v>94</v>
      </c>
      <c r="I284" s="11" t="s">
        <v>112</v>
      </c>
      <c r="J284" s="11" t="s">
        <v>112</v>
      </c>
      <c r="K284" s="11" t="s">
        <v>1734</v>
      </c>
      <c r="L284" s="11" t="s">
        <v>1786</v>
      </c>
      <c r="M284" s="11" t="s">
        <v>99</v>
      </c>
      <c r="N284" s="11" t="s">
        <v>100</v>
      </c>
      <c r="O284" s="11" t="s">
        <v>101</v>
      </c>
      <c r="P284" s="11" t="s">
        <v>102</v>
      </c>
      <c r="Q284" s="12">
        <v>113.89044</v>
      </c>
      <c r="R284" s="13">
        <v>22.870818</v>
      </c>
      <c r="S284" s="11" t="s">
        <v>1787</v>
      </c>
      <c r="T284" s="11"/>
      <c r="U284" s="11" t="s">
        <v>104</v>
      </c>
      <c r="V284" s="11" t="s">
        <v>105</v>
      </c>
      <c r="W284" s="11" t="s">
        <v>106</v>
      </c>
      <c r="X284" s="11"/>
      <c r="Y284" s="11"/>
      <c r="Z284" s="11"/>
      <c r="AA284" s="12">
        <v>283</v>
      </c>
      <c r="AB284" s="12"/>
      <c r="AC284" s="11" t="s">
        <v>107</v>
      </c>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row>
    <row r="285" spans="1:56" ht="70" x14ac:dyDescent="0.25">
      <c r="A285" s="11" t="s">
        <v>1788</v>
      </c>
      <c r="B285" s="11" t="s">
        <v>1789</v>
      </c>
      <c r="C285" s="11"/>
      <c r="D285" s="11" t="s">
        <v>91</v>
      </c>
      <c r="E285" s="11" t="s">
        <v>92</v>
      </c>
      <c r="F285" s="11" t="s">
        <v>810</v>
      </c>
      <c r="G285" s="11" t="s">
        <v>1790</v>
      </c>
      <c r="H285" s="11" t="s">
        <v>94</v>
      </c>
      <c r="I285" s="11" t="s">
        <v>112</v>
      </c>
      <c r="J285" s="11" t="s">
        <v>112</v>
      </c>
      <c r="K285" s="11" t="s">
        <v>1734</v>
      </c>
      <c r="L285" s="11" t="s">
        <v>1791</v>
      </c>
      <c r="M285" s="11" t="s">
        <v>99</v>
      </c>
      <c r="N285" s="11" t="s">
        <v>100</v>
      </c>
      <c r="O285" s="11" t="s">
        <v>101</v>
      </c>
      <c r="P285" s="11" t="s">
        <v>102</v>
      </c>
      <c r="Q285" s="12">
        <v>113.925817</v>
      </c>
      <c r="R285" s="13">
        <v>22.958739999999999</v>
      </c>
      <c r="S285" s="11" t="s">
        <v>1792</v>
      </c>
      <c r="T285" s="11"/>
      <c r="U285" s="11" t="s">
        <v>104</v>
      </c>
      <c r="V285" s="11" t="s">
        <v>105</v>
      </c>
      <c r="W285" s="11" t="s">
        <v>106</v>
      </c>
      <c r="X285" s="11"/>
      <c r="Y285" s="11"/>
      <c r="Z285" s="11"/>
      <c r="AA285" s="12">
        <v>284</v>
      </c>
      <c r="AB285" s="12"/>
      <c r="AC285" s="11" t="s">
        <v>107</v>
      </c>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row>
    <row r="286" spans="1:56" ht="70" x14ac:dyDescent="0.25">
      <c r="A286" s="11" t="s">
        <v>1793</v>
      </c>
      <c r="B286" s="11" t="s">
        <v>1794</v>
      </c>
      <c r="C286" s="11"/>
      <c r="D286" s="11" t="s">
        <v>91</v>
      </c>
      <c r="E286" s="11" t="s">
        <v>92</v>
      </c>
      <c r="F286" s="11" t="s">
        <v>1795</v>
      </c>
      <c r="G286" s="11" t="s">
        <v>1796</v>
      </c>
      <c r="H286" s="11" t="s">
        <v>94</v>
      </c>
      <c r="I286" s="11" t="s">
        <v>112</v>
      </c>
      <c r="J286" s="11" t="s">
        <v>112</v>
      </c>
      <c r="K286" s="11" t="s">
        <v>1734</v>
      </c>
      <c r="L286" s="11" t="s">
        <v>1797</v>
      </c>
      <c r="M286" s="11" t="s">
        <v>99</v>
      </c>
      <c r="N286" s="11" t="s">
        <v>100</v>
      </c>
      <c r="O286" s="11" t="s">
        <v>101</v>
      </c>
      <c r="P286" s="11" t="s">
        <v>102</v>
      </c>
      <c r="Q286" s="12">
        <v>113.881249</v>
      </c>
      <c r="R286" s="13">
        <v>22.871414999999999</v>
      </c>
      <c r="S286" s="11" t="s">
        <v>1798</v>
      </c>
      <c r="T286" s="11"/>
      <c r="U286" s="11" t="s">
        <v>104</v>
      </c>
      <c r="V286" s="11" t="s">
        <v>105</v>
      </c>
      <c r="W286" s="11" t="s">
        <v>106</v>
      </c>
      <c r="X286" s="11"/>
      <c r="Y286" s="11"/>
      <c r="Z286" s="11"/>
      <c r="AA286" s="12">
        <v>285</v>
      </c>
      <c r="AB286" s="12"/>
      <c r="AC286" s="11" t="s">
        <v>107</v>
      </c>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row>
    <row r="287" spans="1:56" ht="70" x14ac:dyDescent="0.25">
      <c r="A287" s="11" t="s">
        <v>1799</v>
      </c>
      <c r="B287" s="11" t="s">
        <v>1800</v>
      </c>
      <c r="C287" s="11"/>
      <c r="D287" s="11" t="s">
        <v>91</v>
      </c>
      <c r="E287" s="11" t="s">
        <v>92</v>
      </c>
      <c r="F287" s="11" t="s">
        <v>1573</v>
      </c>
      <c r="G287" s="11" t="s">
        <v>1801</v>
      </c>
      <c r="H287" s="11" t="s">
        <v>94</v>
      </c>
      <c r="I287" s="11" t="s">
        <v>112</v>
      </c>
      <c r="J287" s="11" t="s">
        <v>112</v>
      </c>
      <c r="K287" s="11" t="s">
        <v>1745</v>
      </c>
      <c r="L287" s="11" t="s">
        <v>1802</v>
      </c>
      <c r="M287" s="11" t="s">
        <v>99</v>
      </c>
      <c r="N287" s="11" t="s">
        <v>100</v>
      </c>
      <c r="O287" s="11" t="s">
        <v>101</v>
      </c>
      <c r="P287" s="11" t="s">
        <v>102</v>
      </c>
      <c r="Q287" s="12">
        <v>113.83735299999999</v>
      </c>
      <c r="R287" s="13">
        <v>22.92633</v>
      </c>
      <c r="S287" s="11" t="s">
        <v>1803</v>
      </c>
      <c r="T287" s="11"/>
      <c r="U287" s="11" t="s">
        <v>104</v>
      </c>
      <c r="V287" s="11" t="s">
        <v>105</v>
      </c>
      <c r="W287" s="11" t="s">
        <v>106</v>
      </c>
      <c r="X287" s="11"/>
      <c r="Y287" s="11"/>
      <c r="Z287" s="11"/>
      <c r="AA287" s="12">
        <v>286</v>
      </c>
      <c r="AB287" s="12"/>
      <c r="AC287" s="11" t="s">
        <v>244</v>
      </c>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row>
    <row r="288" spans="1:56" ht="56" x14ac:dyDescent="0.25">
      <c r="A288" s="11" t="s">
        <v>1804</v>
      </c>
      <c r="B288" s="11" t="s">
        <v>1805</v>
      </c>
      <c r="C288" s="11"/>
      <c r="D288" s="11" t="s">
        <v>91</v>
      </c>
      <c r="E288" s="11" t="s">
        <v>92</v>
      </c>
      <c r="F288" s="11" t="s">
        <v>1211</v>
      </c>
      <c r="G288" s="11" t="s">
        <v>1806</v>
      </c>
      <c r="H288" s="11" t="s">
        <v>94</v>
      </c>
      <c r="I288" s="11" t="s">
        <v>112</v>
      </c>
      <c r="J288" s="11" t="s">
        <v>112</v>
      </c>
      <c r="K288" s="11" t="s">
        <v>1734</v>
      </c>
      <c r="L288" s="11" t="s">
        <v>1807</v>
      </c>
      <c r="M288" s="11" t="s">
        <v>99</v>
      </c>
      <c r="N288" s="11" t="s">
        <v>100</v>
      </c>
      <c r="O288" s="11" t="s">
        <v>101</v>
      </c>
      <c r="P288" s="11" t="s">
        <v>102</v>
      </c>
      <c r="Q288" s="12">
        <v>113.916922</v>
      </c>
      <c r="R288" s="13">
        <v>22.878613999999999</v>
      </c>
      <c r="S288" s="11" t="s">
        <v>1808</v>
      </c>
      <c r="T288" s="11"/>
      <c r="U288" s="11" t="s">
        <v>104</v>
      </c>
      <c r="V288" s="11" t="s">
        <v>105</v>
      </c>
      <c r="W288" s="11" t="s">
        <v>106</v>
      </c>
      <c r="X288" s="11"/>
      <c r="Y288" s="11"/>
      <c r="Z288" s="11"/>
      <c r="AA288" s="12">
        <v>287</v>
      </c>
      <c r="AB288" s="12"/>
      <c r="AC288" s="11" t="s">
        <v>107</v>
      </c>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row>
    <row r="289" spans="1:56" ht="56" x14ac:dyDescent="0.25">
      <c r="A289" s="11" t="s">
        <v>1809</v>
      </c>
      <c r="B289" s="11" t="s">
        <v>1810</v>
      </c>
      <c r="C289" s="11"/>
      <c r="D289" s="11" t="s">
        <v>91</v>
      </c>
      <c r="E289" s="11" t="s">
        <v>92</v>
      </c>
      <c r="F289" s="11" t="s">
        <v>1385</v>
      </c>
      <c r="G289" s="11" t="s">
        <v>1811</v>
      </c>
      <c r="H289" s="11" t="s">
        <v>94</v>
      </c>
      <c r="I289" s="11" t="s">
        <v>112</v>
      </c>
      <c r="J289" s="11" t="s">
        <v>112</v>
      </c>
      <c r="K289" s="11" t="s">
        <v>1745</v>
      </c>
      <c r="L289" s="11" t="s">
        <v>1812</v>
      </c>
      <c r="M289" s="11" t="s">
        <v>99</v>
      </c>
      <c r="N289" s="11" t="s">
        <v>100</v>
      </c>
      <c r="O289" s="11" t="s">
        <v>101</v>
      </c>
      <c r="P289" s="11" t="s">
        <v>102</v>
      </c>
      <c r="Q289" s="12">
        <v>113.825074</v>
      </c>
      <c r="R289" s="13">
        <v>22.887906000000001</v>
      </c>
      <c r="S289" s="11" t="s">
        <v>1813</v>
      </c>
      <c r="T289" s="11"/>
      <c r="U289" s="11" t="s">
        <v>104</v>
      </c>
      <c r="V289" s="11" t="s">
        <v>105</v>
      </c>
      <c r="W289" s="11" t="s">
        <v>106</v>
      </c>
      <c r="X289" s="11"/>
      <c r="Y289" s="11"/>
      <c r="Z289" s="11"/>
      <c r="AA289" s="12">
        <v>288</v>
      </c>
      <c r="AB289" s="12"/>
      <c r="AC289" s="11" t="s">
        <v>107</v>
      </c>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row>
    <row r="290" spans="1:56" ht="70" x14ac:dyDescent="0.25">
      <c r="A290" s="11" t="s">
        <v>1814</v>
      </c>
      <c r="B290" s="11" t="s">
        <v>1815</v>
      </c>
      <c r="C290" s="11"/>
      <c r="D290" s="11" t="s">
        <v>91</v>
      </c>
      <c r="E290" s="11" t="s">
        <v>92</v>
      </c>
      <c r="F290" s="11" t="s">
        <v>1218</v>
      </c>
      <c r="G290" s="11" t="s">
        <v>1816</v>
      </c>
      <c r="H290" s="11" t="s">
        <v>94</v>
      </c>
      <c r="I290" s="11" t="s">
        <v>112</v>
      </c>
      <c r="J290" s="11" t="s">
        <v>112</v>
      </c>
      <c r="K290" s="11" t="s">
        <v>1734</v>
      </c>
      <c r="L290" s="11" t="s">
        <v>1817</v>
      </c>
      <c r="M290" s="11" t="s">
        <v>99</v>
      </c>
      <c r="N290" s="11" t="s">
        <v>100</v>
      </c>
      <c r="O290" s="11" t="s">
        <v>101</v>
      </c>
      <c r="P290" s="11" t="s">
        <v>102</v>
      </c>
      <c r="Q290" s="12">
        <v>113.911294</v>
      </c>
      <c r="R290" s="13">
        <v>22.948630000000001</v>
      </c>
      <c r="S290" s="11" t="s">
        <v>1818</v>
      </c>
      <c r="T290" s="11"/>
      <c r="U290" s="11" t="s">
        <v>104</v>
      </c>
      <c r="V290" s="11" t="s">
        <v>105</v>
      </c>
      <c r="W290" s="11" t="s">
        <v>106</v>
      </c>
      <c r="X290" s="11"/>
      <c r="Y290" s="11"/>
      <c r="Z290" s="11"/>
      <c r="AA290" s="12">
        <v>289</v>
      </c>
      <c r="AB290" s="12"/>
      <c r="AC290" s="11" t="s">
        <v>107</v>
      </c>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row>
    <row r="291" spans="1:56" ht="56" x14ac:dyDescent="0.25">
      <c r="A291" s="11" t="s">
        <v>1819</v>
      </c>
      <c r="B291" s="11" t="s">
        <v>1820</v>
      </c>
      <c r="C291" s="11"/>
      <c r="D291" s="11" t="s">
        <v>91</v>
      </c>
      <c r="E291" s="11" t="s">
        <v>92</v>
      </c>
      <c r="F291" s="11" t="s">
        <v>537</v>
      </c>
      <c r="G291" s="11" t="s">
        <v>1821</v>
      </c>
      <c r="H291" s="11" t="s">
        <v>94</v>
      </c>
      <c r="I291" s="11" t="s">
        <v>112</v>
      </c>
      <c r="J291" s="11" t="s">
        <v>112</v>
      </c>
      <c r="K291" s="11" t="s">
        <v>1734</v>
      </c>
      <c r="L291" s="11" t="s">
        <v>1822</v>
      </c>
      <c r="M291" s="11" t="s">
        <v>99</v>
      </c>
      <c r="N291" s="11" t="s">
        <v>100</v>
      </c>
      <c r="O291" s="11" t="s">
        <v>101</v>
      </c>
      <c r="P291" s="11" t="s">
        <v>102</v>
      </c>
      <c r="Q291" s="12">
        <v>113.96836500000001</v>
      </c>
      <c r="R291" s="13">
        <v>22.907630000000001</v>
      </c>
      <c r="S291" s="11" t="s">
        <v>1823</v>
      </c>
      <c r="T291" s="11"/>
      <c r="U291" s="11" t="s">
        <v>104</v>
      </c>
      <c r="V291" s="11" t="s">
        <v>105</v>
      </c>
      <c r="W291" s="11" t="s">
        <v>106</v>
      </c>
      <c r="X291" s="11"/>
      <c r="Y291" s="11"/>
      <c r="Z291" s="11"/>
      <c r="AA291" s="12">
        <v>290</v>
      </c>
      <c r="AB291" s="12"/>
      <c r="AC291" s="11" t="s">
        <v>107</v>
      </c>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row>
    <row r="292" spans="1:56" ht="56" x14ac:dyDescent="0.25">
      <c r="A292" s="11" t="s">
        <v>1824</v>
      </c>
      <c r="B292" s="11" t="s">
        <v>1825</v>
      </c>
      <c r="C292" s="11"/>
      <c r="D292" s="11" t="s">
        <v>91</v>
      </c>
      <c r="E292" s="11" t="s">
        <v>92</v>
      </c>
      <c r="F292" s="11" t="s">
        <v>1211</v>
      </c>
      <c r="G292" s="11" t="s">
        <v>1826</v>
      </c>
      <c r="H292" s="11" t="s">
        <v>94</v>
      </c>
      <c r="I292" s="11" t="s">
        <v>112</v>
      </c>
      <c r="J292" s="11" t="s">
        <v>112</v>
      </c>
      <c r="K292" s="11" t="s">
        <v>1734</v>
      </c>
      <c r="L292" s="11" t="s">
        <v>1827</v>
      </c>
      <c r="M292" s="11" t="s">
        <v>99</v>
      </c>
      <c r="N292" s="11" t="s">
        <v>100</v>
      </c>
      <c r="O292" s="11" t="s">
        <v>101</v>
      </c>
      <c r="P292" s="11" t="s">
        <v>102</v>
      </c>
      <c r="Q292" s="12">
        <v>113.87892100000001</v>
      </c>
      <c r="R292" s="13">
        <v>22.867056000000002</v>
      </c>
      <c r="S292" s="11" t="s">
        <v>1828</v>
      </c>
      <c r="T292" s="11"/>
      <c r="U292" s="11" t="s">
        <v>104</v>
      </c>
      <c r="V292" s="11" t="s">
        <v>105</v>
      </c>
      <c r="W292" s="11" t="s">
        <v>106</v>
      </c>
      <c r="X292" s="11"/>
      <c r="Y292" s="11"/>
      <c r="Z292" s="11"/>
      <c r="AA292" s="12">
        <v>291</v>
      </c>
      <c r="AB292" s="12"/>
      <c r="AC292" s="11" t="s">
        <v>244</v>
      </c>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row>
    <row r="293" spans="1:56" ht="84" x14ac:dyDescent="0.25">
      <c r="A293" s="11" t="s">
        <v>1829</v>
      </c>
      <c r="B293" s="11" t="s">
        <v>1830</v>
      </c>
      <c r="C293" s="11"/>
      <c r="D293" s="11" t="s">
        <v>91</v>
      </c>
      <c r="E293" s="11" t="s">
        <v>92</v>
      </c>
      <c r="F293" s="11" t="s">
        <v>936</v>
      </c>
      <c r="G293" s="11" t="s">
        <v>1831</v>
      </c>
      <c r="H293" s="11" t="s">
        <v>94</v>
      </c>
      <c r="I293" s="11" t="s">
        <v>112</v>
      </c>
      <c r="J293" s="11" t="s">
        <v>112</v>
      </c>
      <c r="K293" s="11" t="s">
        <v>1734</v>
      </c>
      <c r="L293" s="11" t="s">
        <v>1832</v>
      </c>
      <c r="M293" s="11" t="s">
        <v>99</v>
      </c>
      <c r="N293" s="11" t="s">
        <v>100</v>
      </c>
      <c r="O293" s="11" t="s">
        <v>101</v>
      </c>
      <c r="P293" s="11" t="s">
        <v>102</v>
      </c>
      <c r="Q293" s="12">
        <v>113.921412</v>
      </c>
      <c r="R293" s="13">
        <v>22.960104000000001</v>
      </c>
      <c r="S293" s="11" t="s">
        <v>1833</v>
      </c>
      <c r="T293" s="11"/>
      <c r="U293" s="11" t="s">
        <v>104</v>
      </c>
      <c r="V293" s="11" t="s">
        <v>105</v>
      </c>
      <c r="W293" s="11" t="s">
        <v>106</v>
      </c>
      <c r="X293" s="11"/>
      <c r="Y293" s="11"/>
      <c r="Z293" s="11"/>
      <c r="AA293" s="12">
        <v>292</v>
      </c>
      <c r="AB293" s="12"/>
      <c r="AC293" s="11" t="s">
        <v>244</v>
      </c>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row>
    <row r="294" spans="1:56" ht="70" x14ac:dyDescent="0.25">
      <c r="A294" s="11" t="s">
        <v>1834</v>
      </c>
      <c r="B294" s="11" t="s">
        <v>1835</v>
      </c>
      <c r="C294" s="11"/>
      <c r="D294" s="11" t="s">
        <v>91</v>
      </c>
      <c r="E294" s="11" t="s">
        <v>92</v>
      </c>
      <c r="F294" s="11" t="s">
        <v>1158</v>
      </c>
      <c r="G294" s="11" t="s">
        <v>1836</v>
      </c>
      <c r="H294" s="11" t="s">
        <v>94</v>
      </c>
      <c r="I294" s="11" t="s">
        <v>112</v>
      </c>
      <c r="J294" s="11" t="s">
        <v>112</v>
      </c>
      <c r="K294" s="11" t="s">
        <v>1734</v>
      </c>
      <c r="L294" s="11" t="s">
        <v>1837</v>
      </c>
      <c r="M294" s="11" t="s">
        <v>99</v>
      </c>
      <c r="N294" s="11" t="s">
        <v>100</v>
      </c>
      <c r="O294" s="11" t="s">
        <v>101</v>
      </c>
      <c r="P294" s="11" t="s">
        <v>102</v>
      </c>
      <c r="Q294" s="12">
        <v>113.91289500000001</v>
      </c>
      <c r="R294" s="13">
        <v>22.937608999999998</v>
      </c>
      <c r="S294" s="11" t="s">
        <v>1838</v>
      </c>
      <c r="T294" s="11"/>
      <c r="U294" s="11" t="s">
        <v>104</v>
      </c>
      <c r="V294" s="11" t="s">
        <v>105</v>
      </c>
      <c r="W294" s="11" t="s">
        <v>106</v>
      </c>
      <c r="X294" s="11"/>
      <c r="Y294" s="11"/>
      <c r="Z294" s="11"/>
      <c r="AA294" s="12">
        <v>293</v>
      </c>
      <c r="AB294" s="12"/>
      <c r="AC294" s="11" t="s">
        <v>107</v>
      </c>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row>
    <row r="295" spans="1:56" ht="56" x14ac:dyDescent="0.25">
      <c r="A295" s="11" t="s">
        <v>1839</v>
      </c>
      <c r="B295" s="11" t="s">
        <v>1840</v>
      </c>
      <c r="C295" s="11"/>
      <c r="D295" s="11" t="s">
        <v>91</v>
      </c>
      <c r="E295" s="11" t="s">
        <v>92</v>
      </c>
      <c r="F295" s="11" t="s">
        <v>936</v>
      </c>
      <c r="G295" s="11" t="s">
        <v>1841</v>
      </c>
      <c r="H295" s="11" t="s">
        <v>94</v>
      </c>
      <c r="I295" s="11" t="s">
        <v>112</v>
      </c>
      <c r="J295" s="11" t="s">
        <v>112</v>
      </c>
      <c r="K295" s="11" t="s">
        <v>1745</v>
      </c>
      <c r="L295" s="11" t="s">
        <v>1842</v>
      </c>
      <c r="M295" s="11" t="s">
        <v>99</v>
      </c>
      <c r="N295" s="11" t="s">
        <v>100</v>
      </c>
      <c r="O295" s="11" t="s">
        <v>101</v>
      </c>
      <c r="P295" s="11" t="s">
        <v>102</v>
      </c>
      <c r="Q295" s="12">
        <v>113.813576</v>
      </c>
      <c r="R295" s="13">
        <v>22.903479999999998</v>
      </c>
      <c r="S295" s="11" t="s">
        <v>1843</v>
      </c>
      <c r="T295" s="11"/>
      <c r="U295" s="11" t="s">
        <v>104</v>
      </c>
      <c r="V295" s="11" t="s">
        <v>105</v>
      </c>
      <c r="W295" s="11" t="s">
        <v>106</v>
      </c>
      <c r="X295" s="11"/>
      <c r="Y295" s="11"/>
      <c r="Z295" s="11"/>
      <c r="AA295" s="12">
        <v>294</v>
      </c>
      <c r="AB295" s="12"/>
      <c r="AC295" s="11" t="s">
        <v>107</v>
      </c>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row>
    <row r="296" spans="1:56" ht="70" x14ac:dyDescent="0.25">
      <c r="A296" s="11" t="s">
        <v>1844</v>
      </c>
      <c r="B296" s="11" t="s">
        <v>1845</v>
      </c>
      <c r="C296" s="11"/>
      <c r="D296" s="11" t="s">
        <v>91</v>
      </c>
      <c r="E296" s="11" t="s">
        <v>92</v>
      </c>
      <c r="F296" s="11" t="s">
        <v>810</v>
      </c>
      <c r="G296" s="11" t="s">
        <v>1846</v>
      </c>
      <c r="H296" s="11" t="s">
        <v>94</v>
      </c>
      <c r="I296" s="11" t="s">
        <v>112</v>
      </c>
      <c r="J296" s="11" t="s">
        <v>112</v>
      </c>
      <c r="K296" s="11" t="s">
        <v>1734</v>
      </c>
      <c r="L296" s="11" t="s">
        <v>1847</v>
      </c>
      <c r="M296" s="11" t="s">
        <v>99</v>
      </c>
      <c r="N296" s="11" t="s">
        <v>100</v>
      </c>
      <c r="O296" s="11" t="s">
        <v>101</v>
      </c>
      <c r="P296" s="11" t="s">
        <v>102</v>
      </c>
      <c r="Q296" s="12">
        <v>113.89497299999999</v>
      </c>
      <c r="R296" s="13">
        <v>22.936381000000001</v>
      </c>
      <c r="S296" s="11" t="s">
        <v>1848</v>
      </c>
      <c r="T296" s="11"/>
      <c r="U296" s="11" t="s">
        <v>104</v>
      </c>
      <c r="V296" s="11" t="s">
        <v>105</v>
      </c>
      <c r="W296" s="11" t="s">
        <v>106</v>
      </c>
      <c r="X296" s="11"/>
      <c r="Y296" s="11"/>
      <c r="Z296" s="11"/>
      <c r="AA296" s="12">
        <v>295</v>
      </c>
      <c r="AB296" s="12"/>
      <c r="AC296" s="11" t="s">
        <v>107</v>
      </c>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row>
    <row r="297" spans="1:56" ht="70" x14ac:dyDescent="0.25">
      <c r="A297" s="11" t="s">
        <v>1849</v>
      </c>
      <c r="B297" s="11" t="s">
        <v>1850</v>
      </c>
      <c r="C297" s="11"/>
      <c r="D297" s="11" t="s">
        <v>91</v>
      </c>
      <c r="E297" s="11" t="s">
        <v>92</v>
      </c>
      <c r="F297" s="11" t="s">
        <v>1218</v>
      </c>
      <c r="G297" s="11" t="s">
        <v>1851</v>
      </c>
      <c r="H297" s="11" t="s">
        <v>94</v>
      </c>
      <c r="I297" s="11" t="s">
        <v>112</v>
      </c>
      <c r="J297" s="11" t="s">
        <v>112</v>
      </c>
      <c r="K297" s="11" t="s">
        <v>1734</v>
      </c>
      <c r="L297" s="11" t="s">
        <v>1852</v>
      </c>
      <c r="M297" s="11" t="s">
        <v>99</v>
      </c>
      <c r="N297" s="11" t="s">
        <v>100</v>
      </c>
      <c r="O297" s="11" t="s">
        <v>101</v>
      </c>
      <c r="P297" s="11" t="s">
        <v>102</v>
      </c>
      <c r="Q297" s="12">
        <v>113.9318</v>
      </c>
      <c r="R297" s="13">
        <v>22.950748000000001</v>
      </c>
      <c r="S297" s="11" t="s">
        <v>1853</v>
      </c>
      <c r="T297" s="11"/>
      <c r="U297" s="11" t="s">
        <v>104</v>
      </c>
      <c r="V297" s="11" t="s">
        <v>105</v>
      </c>
      <c r="W297" s="11" t="s">
        <v>106</v>
      </c>
      <c r="X297" s="11"/>
      <c r="Y297" s="11"/>
      <c r="Z297" s="11"/>
      <c r="AA297" s="12">
        <v>296</v>
      </c>
      <c r="AB297" s="12"/>
      <c r="AC297" s="11" t="s">
        <v>244</v>
      </c>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row>
    <row r="298" spans="1:56" ht="70" x14ac:dyDescent="0.25">
      <c r="A298" s="11" t="s">
        <v>1854</v>
      </c>
      <c r="B298" s="11" t="s">
        <v>1855</v>
      </c>
      <c r="C298" s="11"/>
      <c r="D298" s="11" t="s">
        <v>91</v>
      </c>
      <c r="E298" s="11" t="s">
        <v>92</v>
      </c>
      <c r="F298" s="11" t="s">
        <v>1158</v>
      </c>
      <c r="G298" s="11" t="s">
        <v>1856</v>
      </c>
      <c r="H298" s="11" t="s">
        <v>94</v>
      </c>
      <c r="I298" s="11" t="s">
        <v>112</v>
      </c>
      <c r="J298" s="11" t="s">
        <v>112</v>
      </c>
      <c r="K298" s="11" t="s">
        <v>1734</v>
      </c>
      <c r="L298" s="11" t="s">
        <v>1857</v>
      </c>
      <c r="M298" s="11" t="s">
        <v>99</v>
      </c>
      <c r="N298" s="11" t="s">
        <v>100</v>
      </c>
      <c r="O298" s="11" t="s">
        <v>101</v>
      </c>
      <c r="P298" s="11" t="s">
        <v>102</v>
      </c>
      <c r="Q298" s="12">
        <v>113.92695999999999</v>
      </c>
      <c r="R298" s="13">
        <v>22.943892000000002</v>
      </c>
      <c r="S298" s="11" t="s">
        <v>1858</v>
      </c>
      <c r="T298" s="11"/>
      <c r="U298" s="11" t="s">
        <v>104</v>
      </c>
      <c r="V298" s="11" t="s">
        <v>105</v>
      </c>
      <c r="W298" s="11" t="s">
        <v>106</v>
      </c>
      <c r="X298" s="11"/>
      <c r="Y298" s="11"/>
      <c r="Z298" s="11"/>
      <c r="AA298" s="12">
        <v>297</v>
      </c>
      <c r="AB298" s="12"/>
      <c r="AC298" s="11" t="s">
        <v>107</v>
      </c>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row>
    <row r="299" spans="1:56" ht="70" x14ac:dyDescent="0.25">
      <c r="A299" s="11" t="s">
        <v>1859</v>
      </c>
      <c r="B299" s="11" t="s">
        <v>1860</v>
      </c>
      <c r="C299" s="11"/>
      <c r="D299" s="11" t="s">
        <v>91</v>
      </c>
      <c r="E299" s="11" t="s">
        <v>92</v>
      </c>
      <c r="F299" s="11" t="s">
        <v>936</v>
      </c>
      <c r="G299" s="11" t="s">
        <v>1861</v>
      </c>
      <c r="H299" s="11" t="s">
        <v>94</v>
      </c>
      <c r="I299" s="11" t="s">
        <v>112</v>
      </c>
      <c r="J299" s="11" t="s">
        <v>112</v>
      </c>
      <c r="K299" s="11" t="s">
        <v>1734</v>
      </c>
      <c r="L299" s="11" t="s">
        <v>1862</v>
      </c>
      <c r="M299" s="11" t="s">
        <v>99</v>
      </c>
      <c r="N299" s="11" t="s">
        <v>100</v>
      </c>
      <c r="O299" s="11" t="s">
        <v>101</v>
      </c>
      <c r="P299" s="11" t="s">
        <v>102</v>
      </c>
      <c r="Q299" s="12">
        <v>113.927104</v>
      </c>
      <c r="R299" s="13">
        <v>22.941455999999999</v>
      </c>
      <c r="S299" s="11" t="s">
        <v>1863</v>
      </c>
      <c r="T299" s="11"/>
      <c r="U299" s="11" t="s">
        <v>104</v>
      </c>
      <c r="V299" s="11" t="s">
        <v>105</v>
      </c>
      <c r="W299" s="11" t="s">
        <v>106</v>
      </c>
      <c r="X299" s="11"/>
      <c r="Y299" s="11"/>
      <c r="Z299" s="11"/>
      <c r="AA299" s="12">
        <v>298</v>
      </c>
      <c r="AB299" s="12"/>
      <c r="AC299" s="11" t="s">
        <v>107</v>
      </c>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row>
    <row r="300" spans="1:56" ht="70" x14ac:dyDescent="0.25">
      <c r="A300" s="11" t="s">
        <v>1864</v>
      </c>
      <c r="B300" s="11" t="s">
        <v>1865</v>
      </c>
      <c r="C300" s="11"/>
      <c r="D300" s="11" t="s">
        <v>91</v>
      </c>
      <c r="E300" s="11" t="s">
        <v>92</v>
      </c>
      <c r="F300" s="11" t="s">
        <v>1866</v>
      </c>
      <c r="G300" s="11" t="s">
        <v>1867</v>
      </c>
      <c r="H300" s="11" t="s">
        <v>94</v>
      </c>
      <c r="I300" s="11" t="s">
        <v>112</v>
      </c>
      <c r="J300" s="11" t="s">
        <v>112</v>
      </c>
      <c r="K300" s="11" t="s">
        <v>1734</v>
      </c>
      <c r="L300" s="11" t="s">
        <v>1868</v>
      </c>
      <c r="M300" s="11" t="s">
        <v>99</v>
      </c>
      <c r="N300" s="11" t="s">
        <v>100</v>
      </c>
      <c r="O300" s="11" t="s">
        <v>101</v>
      </c>
      <c r="P300" s="11" t="s">
        <v>102</v>
      </c>
      <c r="Q300" s="12">
        <v>113.91092399999999</v>
      </c>
      <c r="R300" s="13">
        <v>22.935065999999999</v>
      </c>
      <c r="S300" s="11" t="s">
        <v>1869</v>
      </c>
      <c r="T300" s="11"/>
      <c r="U300" s="11" t="s">
        <v>104</v>
      </c>
      <c r="V300" s="11" t="s">
        <v>105</v>
      </c>
      <c r="W300" s="11" t="s">
        <v>106</v>
      </c>
      <c r="X300" s="11"/>
      <c r="Y300" s="11"/>
      <c r="Z300" s="11"/>
      <c r="AA300" s="12">
        <v>299</v>
      </c>
      <c r="AB300" s="12"/>
      <c r="AC300" s="11" t="s">
        <v>107</v>
      </c>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row>
    <row r="301" spans="1:56" ht="56" x14ac:dyDescent="0.25">
      <c r="A301" s="11" t="s">
        <v>1870</v>
      </c>
      <c r="B301" s="11" t="s">
        <v>1871</v>
      </c>
      <c r="C301" s="11"/>
      <c r="D301" s="11" t="s">
        <v>91</v>
      </c>
      <c r="E301" s="11" t="s">
        <v>92</v>
      </c>
      <c r="F301" s="11" t="s">
        <v>1872</v>
      </c>
      <c r="G301" s="11" t="s">
        <v>1873</v>
      </c>
      <c r="H301" s="11" t="s">
        <v>94</v>
      </c>
      <c r="I301" s="11" t="s">
        <v>112</v>
      </c>
      <c r="J301" s="11" t="s">
        <v>112</v>
      </c>
      <c r="K301" s="11" t="s">
        <v>1734</v>
      </c>
      <c r="L301" s="11" t="s">
        <v>1874</v>
      </c>
      <c r="M301" s="11" t="s">
        <v>99</v>
      </c>
      <c r="N301" s="11" t="s">
        <v>100</v>
      </c>
      <c r="O301" s="11" t="s">
        <v>101</v>
      </c>
      <c r="P301" s="11" t="s">
        <v>102</v>
      </c>
      <c r="Q301" s="12">
        <v>113.921032</v>
      </c>
      <c r="R301" s="13">
        <v>22.951321</v>
      </c>
      <c r="S301" s="11" t="s">
        <v>1875</v>
      </c>
      <c r="T301" s="11"/>
      <c r="U301" s="11" t="s">
        <v>104</v>
      </c>
      <c r="V301" s="11" t="s">
        <v>105</v>
      </c>
      <c r="W301" s="11" t="s">
        <v>106</v>
      </c>
      <c r="X301" s="11"/>
      <c r="Y301" s="11"/>
      <c r="Z301" s="11"/>
      <c r="AA301" s="12">
        <v>300</v>
      </c>
      <c r="AB301" s="12"/>
      <c r="AC301" s="11" t="s">
        <v>107</v>
      </c>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row>
    <row r="302" spans="1:56" ht="56" x14ac:dyDescent="0.25">
      <c r="A302" s="11" t="s">
        <v>1876</v>
      </c>
      <c r="B302" s="11" t="s">
        <v>1877</v>
      </c>
      <c r="C302" s="11"/>
      <c r="D302" s="11" t="s">
        <v>91</v>
      </c>
      <c r="E302" s="11" t="s">
        <v>92</v>
      </c>
      <c r="F302" s="11" t="s">
        <v>1784</v>
      </c>
      <c r="G302" s="11" t="s">
        <v>1785</v>
      </c>
      <c r="H302" s="11" t="s">
        <v>94</v>
      </c>
      <c r="I302" s="11" t="s">
        <v>112</v>
      </c>
      <c r="J302" s="11" t="s">
        <v>112</v>
      </c>
      <c r="K302" s="11" t="s">
        <v>1734</v>
      </c>
      <c r="L302" s="11" t="s">
        <v>1878</v>
      </c>
      <c r="M302" s="11" t="s">
        <v>99</v>
      </c>
      <c r="N302" s="11" t="s">
        <v>100</v>
      </c>
      <c r="O302" s="11" t="s">
        <v>101</v>
      </c>
      <c r="P302" s="11" t="s">
        <v>102</v>
      </c>
      <c r="Q302" s="12">
        <v>113.885138</v>
      </c>
      <c r="R302" s="13">
        <v>22.868164</v>
      </c>
      <c r="S302" s="11" t="s">
        <v>1879</v>
      </c>
      <c r="T302" s="11"/>
      <c r="U302" s="11" t="s">
        <v>104</v>
      </c>
      <c r="V302" s="11" t="s">
        <v>105</v>
      </c>
      <c r="W302" s="11" t="s">
        <v>106</v>
      </c>
      <c r="X302" s="11"/>
      <c r="Y302" s="11"/>
      <c r="Z302" s="11"/>
      <c r="AA302" s="12">
        <v>301</v>
      </c>
      <c r="AB302" s="12"/>
      <c r="AC302" s="11" t="s">
        <v>107</v>
      </c>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row>
    <row r="303" spans="1:56" ht="70" x14ac:dyDescent="0.25">
      <c r="A303" s="11" t="s">
        <v>1880</v>
      </c>
      <c r="B303" s="11" t="s">
        <v>1881</v>
      </c>
      <c r="C303" s="11"/>
      <c r="D303" s="11" t="s">
        <v>91</v>
      </c>
      <c r="E303" s="11" t="s">
        <v>92</v>
      </c>
      <c r="F303" s="11" t="s">
        <v>530</v>
      </c>
      <c r="G303" s="11" t="s">
        <v>1882</v>
      </c>
      <c r="H303" s="11" t="s">
        <v>94</v>
      </c>
      <c r="I303" s="11" t="s">
        <v>112</v>
      </c>
      <c r="J303" s="11" t="s">
        <v>112</v>
      </c>
      <c r="K303" s="11" t="s">
        <v>1734</v>
      </c>
      <c r="L303" s="11" t="s">
        <v>1883</v>
      </c>
      <c r="M303" s="11" t="s">
        <v>99</v>
      </c>
      <c r="N303" s="11" t="s">
        <v>100</v>
      </c>
      <c r="O303" s="11" t="s">
        <v>101</v>
      </c>
      <c r="P303" s="11" t="s">
        <v>102</v>
      </c>
      <c r="Q303" s="12">
        <v>113.93619</v>
      </c>
      <c r="R303" s="13">
        <v>22.904512</v>
      </c>
      <c r="S303" s="11" t="s">
        <v>1884</v>
      </c>
      <c r="T303" s="11"/>
      <c r="U303" s="11" t="s">
        <v>104</v>
      </c>
      <c r="V303" s="11" t="s">
        <v>105</v>
      </c>
      <c r="W303" s="11" t="s">
        <v>106</v>
      </c>
      <c r="X303" s="11"/>
      <c r="Y303" s="11"/>
      <c r="Z303" s="11"/>
      <c r="AA303" s="12">
        <v>302</v>
      </c>
      <c r="AB303" s="12"/>
      <c r="AC303" s="11" t="s">
        <v>107</v>
      </c>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row>
    <row r="304" spans="1:56" ht="56" x14ac:dyDescent="0.25">
      <c r="A304" s="11" t="s">
        <v>1885</v>
      </c>
      <c r="B304" s="11" t="s">
        <v>1886</v>
      </c>
      <c r="C304" s="11"/>
      <c r="D304" s="11" t="s">
        <v>91</v>
      </c>
      <c r="E304" s="11" t="s">
        <v>92</v>
      </c>
      <c r="F304" s="11" t="s">
        <v>1573</v>
      </c>
      <c r="G304" s="11" t="s">
        <v>1887</v>
      </c>
      <c r="H304" s="11" t="s">
        <v>94</v>
      </c>
      <c r="I304" s="11" t="s">
        <v>112</v>
      </c>
      <c r="J304" s="11" t="s">
        <v>112</v>
      </c>
      <c r="K304" s="11" t="s">
        <v>1745</v>
      </c>
      <c r="L304" s="11" t="s">
        <v>1888</v>
      </c>
      <c r="M304" s="11" t="s">
        <v>99</v>
      </c>
      <c r="N304" s="11" t="s">
        <v>100</v>
      </c>
      <c r="O304" s="11" t="s">
        <v>101</v>
      </c>
      <c r="P304" s="11" t="s">
        <v>102</v>
      </c>
      <c r="Q304" s="12">
        <v>113.843069</v>
      </c>
      <c r="R304" s="13">
        <v>22.897054000000001</v>
      </c>
      <c r="S304" s="11" t="s">
        <v>1889</v>
      </c>
      <c r="T304" s="11"/>
      <c r="U304" s="11" t="s">
        <v>104</v>
      </c>
      <c r="V304" s="11" t="s">
        <v>105</v>
      </c>
      <c r="W304" s="11" t="s">
        <v>106</v>
      </c>
      <c r="X304" s="11"/>
      <c r="Y304" s="11"/>
      <c r="Z304" s="11"/>
      <c r="AA304" s="12">
        <v>303</v>
      </c>
      <c r="AB304" s="12"/>
      <c r="AC304" s="11" t="s">
        <v>107</v>
      </c>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row>
    <row r="305" spans="1:56" ht="56" x14ac:dyDescent="0.25">
      <c r="A305" s="11" t="s">
        <v>1890</v>
      </c>
      <c r="B305" s="11" t="s">
        <v>1891</v>
      </c>
      <c r="C305" s="11"/>
      <c r="D305" s="11" t="s">
        <v>91</v>
      </c>
      <c r="E305" s="11" t="s">
        <v>92</v>
      </c>
      <c r="F305" s="11" t="s">
        <v>1529</v>
      </c>
      <c r="G305" s="11" t="s">
        <v>1892</v>
      </c>
      <c r="H305" s="11" t="s">
        <v>94</v>
      </c>
      <c r="I305" s="11" t="s">
        <v>112</v>
      </c>
      <c r="J305" s="11" t="s">
        <v>112</v>
      </c>
      <c r="K305" s="11" t="s">
        <v>1734</v>
      </c>
      <c r="L305" s="11" t="s">
        <v>1893</v>
      </c>
      <c r="M305" s="11" t="s">
        <v>99</v>
      </c>
      <c r="N305" s="11" t="s">
        <v>100</v>
      </c>
      <c r="O305" s="11" t="s">
        <v>101</v>
      </c>
      <c r="P305" s="11" t="s">
        <v>102</v>
      </c>
      <c r="Q305" s="12">
        <v>113.910864</v>
      </c>
      <c r="R305" s="13">
        <v>22.873080999999999</v>
      </c>
      <c r="S305" s="11" t="s">
        <v>1894</v>
      </c>
      <c r="T305" s="11"/>
      <c r="U305" s="11" t="s">
        <v>104</v>
      </c>
      <c r="V305" s="11" t="s">
        <v>105</v>
      </c>
      <c r="W305" s="11" t="s">
        <v>106</v>
      </c>
      <c r="X305" s="11"/>
      <c r="Y305" s="11"/>
      <c r="Z305" s="11"/>
      <c r="AA305" s="12">
        <v>304</v>
      </c>
      <c r="AB305" s="12"/>
      <c r="AC305" s="11" t="s">
        <v>107</v>
      </c>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row>
    <row r="306" spans="1:56" ht="70" x14ac:dyDescent="0.25">
      <c r="A306" s="11" t="s">
        <v>1895</v>
      </c>
      <c r="B306" s="11" t="s">
        <v>1896</v>
      </c>
      <c r="C306" s="11"/>
      <c r="D306" s="11" t="s">
        <v>91</v>
      </c>
      <c r="E306" s="11" t="s">
        <v>92</v>
      </c>
      <c r="F306" s="11" t="s">
        <v>840</v>
      </c>
      <c r="G306" s="11" t="s">
        <v>1897</v>
      </c>
      <c r="H306" s="11" t="s">
        <v>94</v>
      </c>
      <c r="I306" s="11" t="s">
        <v>112</v>
      </c>
      <c r="J306" s="11" t="s">
        <v>112</v>
      </c>
      <c r="K306" s="11" t="s">
        <v>1734</v>
      </c>
      <c r="L306" s="11" t="s">
        <v>1898</v>
      </c>
      <c r="M306" s="11" t="s">
        <v>99</v>
      </c>
      <c r="N306" s="11" t="s">
        <v>100</v>
      </c>
      <c r="O306" s="11" t="s">
        <v>101</v>
      </c>
      <c r="P306" s="11" t="s">
        <v>102</v>
      </c>
      <c r="Q306" s="12">
        <v>113.93571</v>
      </c>
      <c r="R306" s="13">
        <v>22.932959</v>
      </c>
      <c r="S306" s="11" t="s">
        <v>1899</v>
      </c>
      <c r="T306" s="11"/>
      <c r="U306" s="11" t="s">
        <v>104</v>
      </c>
      <c r="V306" s="11" t="s">
        <v>105</v>
      </c>
      <c r="W306" s="11" t="s">
        <v>106</v>
      </c>
      <c r="X306" s="11"/>
      <c r="Y306" s="11"/>
      <c r="Z306" s="11"/>
      <c r="AA306" s="12">
        <v>305</v>
      </c>
      <c r="AB306" s="12"/>
      <c r="AC306" s="11" t="s">
        <v>107</v>
      </c>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row>
    <row r="307" spans="1:56" ht="56" x14ac:dyDescent="0.25">
      <c r="A307" s="11" t="s">
        <v>1900</v>
      </c>
      <c r="B307" s="11" t="s">
        <v>1901</v>
      </c>
      <c r="C307" s="11"/>
      <c r="D307" s="11" t="s">
        <v>91</v>
      </c>
      <c r="E307" s="11" t="s">
        <v>92</v>
      </c>
      <c r="F307" s="11" t="s">
        <v>1902</v>
      </c>
      <c r="G307" s="11" t="s">
        <v>1903</v>
      </c>
      <c r="H307" s="11" t="s">
        <v>94</v>
      </c>
      <c r="I307" s="11" t="s">
        <v>1273</v>
      </c>
      <c r="J307" s="11" t="s">
        <v>1904</v>
      </c>
      <c r="K307" s="11"/>
      <c r="L307" s="11" t="s">
        <v>1905</v>
      </c>
      <c r="M307" s="11" t="s">
        <v>99</v>
      </c>
      <c r="N307" s="11" t="s">
        <v>100</v>
      </c>
      <c r="O307" s="11" t="s">
        <v>101</v>
      </c>
      <c r="P307" s="11" t="s">
        <v>102</v>
      </c>
      <c r="Q307" s="12">
        <v>114.517601</v>
      </c>
      <c r="R307" s="13">
        <v>22.815912000000001</v>
      </c>
      <c r="S307" s="11" t="s">
        <v>1906</v>
      </c>
      <c r="T307" s="11"/>
      <c r="U307" s="11" t="s">
        <v>104</v>
      </c>
      <c r="V307" s="11" t="s">
        <v>105</v>
      </c>
      <c r="W307" s="11" t="s">
        <v>106</v>
      </c>
      <c r="X307" s="11"/>
      <c r="Y307" s="11"/>
      <c r="Z307" s="11"/>
      <c r="AA307" s="12">
        <v>306</v>
      </c>
      <c r="AB307" s="12"/>
      <c r="AC307" s="11" t="s">
        <v>107</v>
      </c>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row>
    <row r="308" spans="1:56" ht="56" x14ac:dyDescent="0.25">
      <c r="A308" s="11" t="s">
        <v>1907</v>
      </c>
      <c r="B308" s="11" t="s">
        <v>1908</v>
      </c>
      <c r="C308" s="11"/>
      <c r="D308" s="11" t="s">
        <v>91</v>
      </c>
      <c r="E308" s="11" t="s">
        <v>92</v>
      </c>
      <c r="F308" s="11" t="s">
        <v>1909</v>
      </c>
      <c r="G308" s="11" t="s">
        <v>1910</v>
      </c>
      <c r="H308" s="11" t="s">
        <v>94</v>
      </c>
      <c r="I308" s="11" t="s">
        <v>1273</v>
      </c>
      <c r="J308" s="11" t="s">
        <v>1904</v>
      </c>
      <c r="K308" s="11"/>
      <c r="L308" s="11" t="s">
        <v>1911</v>
      </c>
      <c r="M308" s="11" t="s">
        <v>99</v>
      </c>
      <c r="N308" s="11" t="s">
        <v>100</v>
      </c>
      <c r="O308" s="11" t="s">
        <v>101</v>
      </c>
      <c r="P308" s="11" t="s">
        <v>102</v>
      </c>
      <c r="Q308" s="12">
        <v>114.48138299999999</v>
      </c>
      <c r="R308" s="13">
        <v>22.756253000000001</v>
      </c>
      <c r="S308" s="11" t="s">
        <v>1912</v>
      </c>
      <c r="T308" s="11"/>
      <c r="U308" s="11" t="s">
        <v>104</v>
      </c>
      <c r="V308" s="11" t="s">
        <v>105</v>
      </c>
      <c r="W308" s="11" t="s">
        <v>106</v>
      </c>
      <c r="X308" s="11"/>
      <c r="Y308" s="11"/>
      <c r="Z308" s="11"/>
      <c r="AA308" s="12">
        <v>307</v>
      </c>
      <c r="AB308" s="12"/>
      <c r="AC308" s="11" t="s">
        <v>244</v>
      </c>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row>
    <row r="309" spans="1:56" ht="56" x14ac:dyDescent="0.25">
      <c r="A309" s="11" t="s">
        <v>1913</v>
      </c>
      <c r="B309" s="11" t="s">
        <v>1914</v>
      </c>
      <c r="C309" s="11"/>
      <c r="D309" s="11" t="s">
        <v>91</v>
      </c>
      <c r="E309" s="11" t="s">
        <v>92</v>
      </c>
      <c r="F309" s="11" t="s">
        <v>1915</v>
      </c>
      <c r="G309" s="11" t="s">
        <v>1916</v>
      </c>
      <c r="H309" s="11" t="s">
        <v>94</v>
      </c>
      <c r="I309" s="11" t="s">
        <v>1917</v>
      </c>
      <c r="J309" s="11" t="s">
        <v>1918</v>
      </c>
      <c r="K309" s="11"/>
      <c r="L309" s="11" t="s">
        <v>1919</v>
      </c>
      <c r="M309" s="11" t="s">
        <v>99</v>
      </c>
      <c r="N309" s="11" t="s">
        <v>100</v>
      </c>
      <c r="O309" s="11" t="s">
        <v>101</v>
      </c>
      <c r="P309" s="11" t="s">
        <v>102</v>
      </c>
      <c r="Q309" s="12">
        <v>114.722847</v>
      </c>
      <c r="R309" s="13">
        <v>23.647143</v>
      </c>
      <c r="S309" s="11" t="s">
        <v>1920</v>
      </c>
      <c r="T309" s="11"/>
      <c r="U309" s="11" t="s">
        <v>104</v>
      </c>
      <c r="V309" s="11" t="s">
        <v>105</v>
      </c>
      <c r="W309" s="11" t="s">
        <v>106</v>
      </c>
      <c r="X309" s="11"/>
      <c r="Y309" s="11"/>
      <c r="Z309" s="11"/>
      <c r="AA309" s="12">
        <v>308</v>
      </c>
      <c r="AB309" s="12"/>
      <c r="AC309" s="11" t="s">
        <v>107</v>
      </c>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row>
    <row r="310" spans="1:56" ht="56" x14ac:dyDescent="0.25">
      <c r="A310" s="11" t="s">
        <v>1921</v>
      </c>
      <c r="B310" s="11" t="s">
        <v>1922</v>
      </c>
      <c r="C310" s="11"/>
      <c r="D310" s="11" t="s">
        <v>91</v>
      </c>
      <c r="E310" s="11" t="s">
        <v>92</v>
      </c>
      <c r="F310" s="11" t="s">
        <v>1923</v>
      </c>
      <c r="G310" s="11" t="s">
        <v>1924</v>
      </c>
      <c r="H310" s="11" t="s">
        <v>94</v>
      </c>
      <c r="I310" s="11" t="s">
        <v>180</v>
      </c>
      <c r="J310" s="11" t="s">
        <v>181</v>
      </c>
      <c r="K310" s="11"/>
      <c r="L310" s="11" t="s">
        <v>1925</v>
      </c>
      <c r="M310" s="11" t="s">
        <v>99</v>
      </c>
      <c r="N310" s="11" t="s">
        <v>100</v>
      </c>
      <c r="O310" s="11" t="s">
        <v>101</v>
      </c>
      <c r="P310" s="11" t="s">
        <v>102</v>
      </c>
      <c r="Q310" s="12">
        <v>113.922741</v>
      </c>
      <c r="R310" s="13">
        <v>22.650924</v>
      </c>
      <c r="S310" s="11" t="s">
        <v>1926</v>
      </c>
      <c r="T310" s="11"/>
      <c r="U310" s="11" t="s">
        <v>104</v>
      </c>
      <c r="V310" s="11" t="s">
        <v>105</v>
      </c>
      <c r="W310" s="11" t="s">
        <v>106</v>
      </c>
      <c r="X310" s="11"/>
      <c r="Y310" s="11"/>
      <c r="Z310" s="11"/>
      <c r="AA310" s="12">
        <v>309</v>
      </c>
      <c r="AB310" s="12"/>
      <c r="AC310" s="11" t="s">
        <v>107</v>
      </c>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row>
    <row r="311" spans="1:56" ht="56" x14ac:dyDescent="0.25">
      <c r="A311" s="11" t="s">
        <v>1927</v>
      </c>
      <c r="B311" s="11" t="s">
        <v>1928</v>
      </c>
      <c r="C311" s="11"/>
      <c r="D311" s="11" t="s">
        <v>91</v>
      </c>
      <c r="E311" s="11" t="s">
        <v>92</v>
      </c>
      <c r="F311" s="11" t="s">
        <v>936</v>
      </c>
      <c r="G311" s="11" t="s">
        <v>1929</v>
      </c>
      <c r="H311" s="11" t="s">
        <v>94</v>
      </c>
      <c r="I311" s="11" t="s">
        <v>180</v>
      </c>
      <c r="J311" s="11" t="s">
        <v>181</v>
      </c>
      <c r="K311" s="11"/>
      <c r="L311" s="11" t="s">
        <v>1930</v>
      </c>
      <c r="M311" s="11" t="s">
        <v>99</v>
      </c>
      <c r="N311" s="11" t="s">
        <v>100</v>
      </c>
      <c r="O311" s="11" t="s">
        <v>101</v>
      </c>
      <c r="P311" s="11" t="s">
        <v>102</v>
      </c>
      <c r="Q311" s="12">
        <v>113.92153071361</v>
      </c>
      <c r="R311" s="13">
        <v>22.6504602846057</v>
      </c>
      <c r="S311" s="11" t="s">
        <v>1931</v>
      </c>
      <c r="T311" s="11"/>
      <c r="U311" s="11" t="s">
        <v>104</v>
      </c>
      <c r="V311" s="11" t="s">
        <v>105</v>
      </c>
      <c r="W311" s="11" t="s">
        <v>106</v>
      </c>
      <c r="X311" s="11"/>
      <c r="Y311" s="11"/>
      <c r="Z311" s="11"/>
      <c r="AA311" s="12">
        <v>310</v>
      </c>
      <c r="AB311" s="12"/>
      <c r="AC311" s="11" t="s">
        <v>107</v>
      </c>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row>
    <row r="312" spans="1:56" ht="56" x14ac:dyDescent="0.25">
      <c r="A312" s="11" t="s">
        <v>1932</v>
      </c>
      <c r="B312" s="11" t="s">
        <v>1933</v>
      </c>
      <c r="C312" s="11"/>
      <c r="D312" s="11" t="s">
        <v>91</v>
      </c>
      <c r="E312" s="11" t="s">
        <v>92</v>
      </c>
      <c r="F312" s="11" t="s">
        <v>840</v>
      </c>
      <c r="G312" s="11" t="s">
        <v>1934</v>
      </c>
      <c r="H312" s="11" t="s">
        <v>94</v>
      </c>
      <c r="I312" s="11" t="s">
        <v>180</v>
      </c>
      <c r="J312" s="11" t="s">
        <v>181</v>
      </c>
      <c r="K312" s="11"/>
      <c r="L312" s="11" t="s">
        <v>1935</v>
      </c>
      <c r="M312" s="11" t="s">
        <v>99</v>
      </c>
      <c r="N312" s="11" t="s">
        <v>100</v>
      </c>
      <c r="O312" s="11" t="s">
        <v>101</v>
      </c>
      <c r="P312" s="11" t="s">
        <v>102</v>
      </c>
      <c r="Q312" s="12">
        <v>113.927949</v>
      </c>
      <c r="R312" s="13">
        <v>22.649488000000002</v>
      </c>
      <c r="S312" s="11" t="s">
        <v>1936</v>
      </c>
      <c r="T312" s="11"/>
      <c r="U312" s="11" t="s">
        <v>104</v>
      </c>
      <c r="V312" s="11" t="s">
        <v>105</v>
      </c>
      <c r="W312" s="11" t="s">
        <v>106</v>
      </c>
      <c r="X312" s="11"/>
      <c r="Y312" s="11"/>
      <c r="Z312" s="11"/>
      <c r="AA312" s="12">
        <v>311</v>
      </c>
      <c r="AB312" s="12"/>
      <c r="AC312" s="11" t="s">
        <v>107</v>
      </c>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row>
    <row r="313" spans="1:56" ht="56" x14ac:dyDescent="0.25">
      <c r="A313" s="11" t="s">
        <v>1937</v>
      </c>
      <c r="B313" s="11" t="s">
        <v>1938</v>
      </c>
      <c r="C313" s="11"/>
      <c r="D313" s="11" t="s">
        <v>91</v>
      </c>
      <c r="E313" s="11" t="s">
        <v>92</v>
      </c>
      <c r="F313" s="11" t="s">
        <v>1218</v>
      </c>
      <c r="G313" s="11" t="s">
        <v>1939</v>
      </c>
      <c r="H313" s="11" t="s">
        <v>94</v>
      </c>
      <c r="I313" s="11" t="s">
        <v>180</v>
      </c>
      <c r="J313" s="11" t="s">
        <v>181</v>
      </c>
      <c r="K313" s="11"/>
      <c r="L313" s="11" t="s">
        <v>1940</v>
      </c>
      <c r="M313" s="11" t="s">
        <v>99</v>
      </c>
      <c r="N313" s="11" t="s">
        <v>100</v>
      </c>
      <c r="O313" s="11" t="s">
        <v>101</v>
      </c>
      <c r="P313" s="11" t="s">
        <v>102</v>
      </c>
      <c r="Q313" s="12">
        <v>113.97027799999999</v>
      </c>
      <c r="R313" s="13">
        <v>22.697008</v>
      </c>
      <c r="S313" s="11" t="s">
        <v>1941</v>
      </c>
      <c r="T313" s="11"/>
      <c r="U313" s="11" t="s">
        <v>104</v>
      </c>
      <c r="V313" s="11" t="s">
        <v>105</v>
      </c>
      <c r="W313" s="11" t="s">
        <v>106</v>
      </c>
      <c r="X313" s="11"/>
      <c r="Y313" s="11"/>
      <c r="Z313" s="11"/>
      <c r="AA313" s="12">
        <v>312</v>
      </c>
      <c r="AB313" s="12"/>
      <c r="AC313" s="11" t="s">
        <v>244</v>
      </c>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row>
    <row r="314" spans="1:56" ht="56" x14ac:dyDescent="0.25">
      <c r="A314" s="11" t="s">
        <v>1942</v>
      </c>
      <c r="B314" s="11" t="s">
        <v>1943</v>
      </c>
      <c r="C314" s="11"/>
      <c r="D314" s="11" t="s">
        <v>91</v>
      </c>
      <c r="E314" s="11" t="s">
        <v>92</v>
      </c>
      <c r="F314" s="11" t="s">
        <v>1185</v>
      </c>
      <c r="G314" s="11" t="s">
        <v>1944</v>
      </c>
      <c r="H314" s="11" t="s">
        <v>94</v>
      </c>
      <c r="I314" s="11" t="s">
        <v>180</v>
      </c>
      <c r="J314" s="11" t="s">
        <v>1945</v>
      </c>
      <c r="K314" s="11"/>
      <c r="L314" s="11" t="s">
        <v>1946</v>
      </c>
      <c r="M314" s="11" t="s">
        <v>99</v>
      </c>
      <c r="N314" s="11" t="s">
        <v>100</v>
      </c>
      <c r="O314" s="11" t="s">
        <v>101</v>
      </c>
      <c r="P314" s="11" t="s">
        <v>102</v>
      </c>
      <c r="Q314" s="12">
        <v>113.98423303235499</v>
      </c>
      <c r="R314" s="13">
        <v>22.681652842470001</v>
      </c>
      <c r="S314" s="11" t="s">
        <v>1947</v>
      </c>
      <c r="T314" s="11"/>
      <c r="U314" s="11" t="s">
        <v>104</v>
      </c>
      <c r="V314" s="11" t="s">
        <v>105</v>
      </c>
      <c r="W314" s="11" t="s">
        <v>106</v>
      </c>
      <c r="X314" s="11"/>
      <c r="Y314" s="11"/>
      <c r="Z314" s="11"/>
      <c r="AA314" s="12">
        <v>313</v>
      </c>
      <c r="AB314" s="12"/>
      <c r="AC314" s="11" t="s">
        <v>244</v>
      </c>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row>
    <row r="315" spans="1:56" ht="56" x14ac:dyDescent="0.25">
      <c r="A315" s="11" t="s">
        <v>1948</v>
      </c>
      <c r="B315" s="11" t="s">
        <v>1949</v>
      </c>
      <c r="C315" s="11"/>
      <c r="D315" s="11" t="s">
        <v>91</v>
      </c>
      <c r="E315" s="11" t="s">
        <v>92</v>
      </c>
      <c r="F315" s="11" t="s">
        <v>810</v>
      </c>
      <c r="G315" s="11" t="s">
        <v>1950</v>
      </c>
      <c r="H315" s="11" t="s">
        <v>94</v>
      </c>
      <c r="I315" s="11" t="s">
        <v>180</v>
      </c>
      <c r="J315" s="11" t="s">
        <v>181</v>
      </c>
      <c r="K315" s="11"/>
      <c r="L315" s="11" t="s">
        <v>1951</v>
      </c>
      <c r="M315" s="11" t="s">
        <v>99</v>
      </c>
      <c r="N315" s="11" t="s">
        <v>100</v>
      </c>
      <c r="O315" s="11" t="s">
        <v>101</v>
      </c>
      <c r="P315" s="11" t="s">
        <v>102</v>
      </c>
      <c r="Q315" s="12">
        <v>113.883831</v>
      </c>
      <c r="R315" s="13">
        <v>22.554986</v>
      </c>
      <c r="S315" s="11" t="s">
        <v>1952</v>
      </c>
      <c r="T315" s="11"/>
      <c r="U315" s="11" t="s">
        <v>104</v>
      </c>
      <c r="V315" s="11" t="s">
        <v>105</v>
      </c>
      <c r="W315" s="11" t="s">
        <v>106</v>
      </c>
      <c r="X315" s="11"/>
      <c r="Y315" s="11"/>
      <c r="Z315" s="11"/>
      <c r="AA315" s="12">
        <v>314</v>
      </c>
      <c r="AB315" s="12"/>
      <c r="AC315" s="11" t="s">
        <v>244</v>
      </c>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row>
    <row r="316" spans="1:56" ht="56" x14ac:dyDescent="0.25">
      <c r="A316" s="11" t="s">
        <v>1953</v>
      </c>
      <c r="B316" s="11" t="s">
        <v>1954</v>
      </c>
      <c r="C316" s="11"/>
      <c r="D316" s="11" t="s">
        <v>91</v>
      </c>
      <c r="E316" s="11" t="s">
        <v>92</v>
      </c>
      <c r="F316" s="11" t="s">
        <v>936</v>
      </c>
      <c r="G316" s="11" t="s">
        <v>1955</v>
      </c>
      <c r="H316" s="11" t="s">
        <v>94</v>
      </c>
      <c r="I316" s="11" t="s">
        <v>180</v>
      </c>
      <c r="J316" s="11" t="s">
        <v>181</v>
      </c>
      <c r="K316" s="11"/>
      <c r="L316" s="11" t="s">
        <v>1956</v>
      </c>
      <c r="M316" s="11" t="s">
        <v>99</v>
      </c>
      <c r="N316" s="11" t="s">
        <v>100</v>
      </c>
      <c r="O316" s="11" t="s">
        <v>101</v>
      </c>
      <c r="P316" s="11" t="s">
        <v>102</v>
      </c>
      <c r="Q316" s="12">
        <v>113.931136</v>
      </c>
      <c r="R316" s="13">
        <v>22.700367</v>
      </c>
      <c r="S316" s="11" t="s">
        <v>1957</v>
      </c>
      <c r="T316" s="11"/>
      <c r="U316" s="11" t="s">
        <v>104</v>
      </c>
      <c r="V316" s="11" t="s">
        <v>105</v>
      </c>
      <c r="W316" s="11" t="s">
        <v>106</v>
      </c>
      <c r="X316" s="11"/>
      <c r="Y316" s="11"/>
      <c r="Z316" s="11"/>
      <c r="AA316" s="12">
        <v>315</v>
      </c>
      <c r="AB316" s="12"/>
      <c r="AC316" s="11" t="s">
        <v>107</v>
      </c>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row>
    <row r="317" spans="1:56" ht="56" x14ac:dyDescent="0.25">
      <c r="A317" s="11" t="s">
        <v>1958</v>
      </c>
      <c r="B317" s="11" t="s">
        <v>1959</v>
      </c>
      <c r="C317" s="11"/>
      <c r="D317" s="11" t="s">
        <v>91</v>
      </c>
      <c r="E317" s="11" t="s">
        <v>92</v>
      </c>
      <c r="F317" s="11" t="s">
        <v>840</v>
      </c>
      <c r="G317" s="11" t="s">
        <v>1960</v>
      </c>
      <c r="H317" s="11" t="s">
        <v>94</v>
      </c>
      <c r="I317" s="11" t="s">
        <v>180</v>
      </c>
      <c r="J317" s="11" t="s">
        <v>1945</v>
      </c>
      <c r="K317" s="11"/>
      <c r="L317" s="11" t="s">
        <v>1961</v>
      </c>
      <c r="M317" s="11" t="s">
        <v>99</v>
      </c>
      <c r="N317" s="11" t="s">
        <v>100</v>
      </c>
      <c r="O317" s="11" t="s">
        <v>101</v>
      </c>
      <c r="P317" s="11" t="s">
        <v>102</v>
      </c>
      <c r="Q317" s="12">
        <v>113.988298</v>
      </c>
      <c r="R317" s="13">
        <v>22.669056999999999</v>
      </c>
      <c r="S317" s="11" t="s">
        <v>1962</v>
      </c>
      <c r="T317" s="11"/>
      <c r="U317" s="11" t="s">
        <v>104</v>
      </c>
      <c r="V317" s="11" t="s">
        <v>105</v>
      </c>
      <c r="W317" s="11" t="s">
        <v>106</v>
      </c>
      <c r="X317" s="11"/>
      <c r="Y317" s="11"/>
      <c r="Z317" s="11"/>
      <c r="AA317" s="12">
        <v>316</v>
      </c>
      <c r="AB317" s="12"/>
      <c r="AC317" s="11" t="s">
        <v>244</v>
      </c>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row>
    <row r="318" spans="1:56" ht="56" x14ac:dyDescent="0.25">
      <c r="A318" s="11" t="s">
        <v>1963</v>
      </c>
      <c r="B318" s="11" t="s">
        <v>1964</v>
      </c>
      <c r="C318" s="11"/>
      <c r="D318" s="11" t="s">
        <v>91</v>
      </c>
      <c r="E318" s="11" t="s">
        <v>92</v>
      </c>
      <c r="F318" s="11" t="s">
        <v>1191</v>
      </c>
      <c r="G318" s="11" t="s">
        <v>1965</v>
      </c>
      <c r="H318" s="11" t="s">
        <v>94</v>
      </c>
      <c r="I318" s="11" t="s">
        <v>180</v>
      </c>
      <c r="J318" s="11" t="s">
        <v>181</v>
      </c>
      <c r="K318" s="11"/>
      <c r="L318" s="11" t="s">
        <v>1966</v>
      </c>
      <c r="M318" s="11" t="s">
        <v>99</v>
      </c>
      <c r="N318" s="11" t="s">
        <v>100</v>
      </c>
      <c r="O318" s="11" t="s">
        <v>101</v>
      </c>
      <c r="P318" s="11" t="s">
        <v>102</v>
      </c>
      <c r="Q318" s="12">
        <v>113.96853400000001</v>
      </c>
      <c r="R318" s="13">
        <v>22.697628000000002</v>
      </c>
      <c r="S318" s="11" t="s">
        <v>1967</v>
      </c>
      <c r="T318" s="11"/>
      <c r="U318" s="11" t="s">
        <v>104</v>
      </c>
      <c r="V318" s="11" t="s">
        <v>105</v>
      </c>
      <c r="W318" s="11" t="s">
        <v>106</v>
      </c>
      <c r="X318" s="11"/>
      <c r="Y318" s="11"/>
      <c r="Z318" s="11"/>
      <c r="AA318" s="12">
        <v>317</v>
      </c>
      <c r="AB318" s="12"/>
      <c r="AC318" s="11" t="s">
        <v>244</v>
      </c>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row>
    <row r="319" spans="1:56" ht="56" x14ac:dyDescent="0.25">
      <c r="A319" s="11" t="s">
        <v>1968</v>
      </c>
      <c r="B319" s="11" t="s">
        <v>1969</v>
      </c>
      <c r="C319" s="11"/>
      <c r="D319" s="11" t="s">
        <v>91</v>
      </c>
      <c r="E319" s="11" t="s">
        <v>92</v>
      </c>
      <c r="F319" s="11" t="s">
        <v>1872</v>
      </c>
      <c r="G319" s="11" t="s">
        <v>1970</v>
      </c>
      <c r="H319" s="11" t="s">
        <v>94</v>
      </c>
      <c r="I319" s="11" t="s">
        <v>180</v>
      </c>
      <c r="J319" s="11" t="s">
        <v>181</v>
      </c>
      <c r="K319" s="11"/>
      <c r="L319" s="11" t="s">
        <v>1971</v>
      </c>
      <c r="M319" s="11" t="s">
        <v>99</v>
      </c>
      <c r="N319" s="11" t="s">
        <v>100</v>
      </c>
      <c r="O319" s="11" t="s">
        <v>101</v>
      </c>
      <c r="P319" s="11" t="s">
        <v>102</v>
      </c>
      <c r="Q319" s="12">
        <v>113.954283</v>
      </c>
      <c r="R319" s="13">
        <v>22.683171000000002</v>
      </c>
      <c r="S319" s="11" t="s">
        <v>1972</v>
      </c>
      <c r="T319" s="11"/>
      <c r="U319" s="11" t="s">
        <v>104</v>
      </c>
      <c r="V319" s="11" t="s">
        <v>105</v>
      </c>
      <c r="W319" s="11" t="s">
        <v>106</v>
      </c>
      <c r="X319" s="11"/>
      <c r="Y319" s="11"/>
      <c r="Z319" s="11"/>
      <c r="AA319" s="12">
        <v>318</v>
      </c>
      <c r="AB319" s="12"/>
      <c r="AC319" s="11" t="s">
        <v>107</v>
      </c>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row>
    <row r="320" spans="1:56" ht="56" x14ac:dyDescent="0.25">
      <c r="A320" s="11" t="s">
        <v>1973</v>
      </c>
      <c r="B320" s="11" t="s">
        <v>1974</v>
      </c>
      <c r="C320" s="11"/>
      <c r="D320" s="11" t="s">
        <v>91</v>
      </c>
      <c r="E320" s="11" t="s">
        <v>92</v>
      </c>
      <c r="F320" s="11" t="s">
        <v>1191</v>
      </c>
      <c r="G320" s="11" t="s">
        <v>1975</v>
      </c>
      <c r="H320" s="11" t="s">
        <v>94</v>
      </c>
      <c r="I320" s="11" t="s">
        <v>180</v>
      </c>
      <c r="J320" s="11" t="s">
        <v>1213</v>
      </c>
      <c r="K320" s="11"/>
      <c r="L320" s="11" t="s">
        <v>1976</v>
      </c>
      <c r="M320" s="11" t="s">
        <v>99</v>
      </c>
      <c r="N320" s="11" t="s">
        <v>100</v>
      </c>
      <c r="O320" s="11" t="s">
        <v>101</v>
      </c>
      <c r="P320" s="11" t="s">
        <v>102</v>
      </c>
      <c r="Q320" s="12">
        <v>113.89382818086</v>
      </c>
      <c r="R320" s="13">
        <v>22.715802598566199</v>
      </c>
      <c r="S320" s="11" t="s">
        <v>1977</v>
      </c>
      <c r="T320" s="11"/>
      <c r="U320" s="11" t="s">
        <v>104</v>
      </c>
      <c r="V320" s="11" t="s">
        <v>105</v>
      </c>
      <c r="W320" s="11" t="s">
        <v>106</v>
      </c>
      <c r="X320" s="11"/>
      <c r="Y320" s="11"/>
      <c r="Z320" s="11"/>
      <c r="AA320" s="12">
        <v>319</v>
      </c>
      <c r="AB320" s="12"/>
      <c r="AC320" s="11" t="s">
        <v>244</v>
      </c>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row>
    <row r="321" spans="1:56" ht="56" x14ac:dyDescent="0.25">
      <c r="A321" s="11" t="s">
        <v>1978</v>
      </c>
      <c r="B321" s="11" t="s">
        <v>1979</v>
      </c>
      <c r="C321" s="11"/>
      <c r="D321" s="11" t="s">
        <v>91</v>
      </c>
      <c r="E321" s="11" t="s">
        <v>92</v>
      </c>
      <c r="F321" s="11" t="s">
        <v>840</v>
      </c>
      <c r="G321" s="11" t="s">
        <v>1980</v>
      </c>
      <c r="H321" s="11" t="s">
        <v>94</v>
      </c>
      <c r="I321" s="11" t="s">
        <v>112</v>
      </c>
      <c r="J321" s="11" t="s">
        <v>112</v>
      </c>
      <c r="K321" s="11" t="s">
        <v>113</v>
      </c>
      <c r="L321" s="11" t="s">
        <v>1981</v>
      </c>
      <c r="M321" s="11" t="s">
        <v>99</v>
      </c>
      <c r="N321" s="11" t="s">
        <v>100</v>
      </c>
      <c r="O321" s="11" t="s">
        <v>101</v>
      </c>
      <c r="P321" s="11" t="s">
        <v>102</v>
      </c>
      <c r="Q321" s="12">
        <v>113.73944</v>
      </c>
      <c r="R321" s="13">
        <v>23.012295000000002</v>
      </c>
      <c r="S321" s="11" t="s">
        <v>1982</v>
      </c>
      <c r="T321" s="11"/>
      <c r="U321" s="11" t="s">
        <v>104</v>
      </c>
      <c r="V321" s="11" t="s">
        <v>105</v>
      </c>
      <c r="W321" s="11" t="s">
        <v>106</v>
      </c>
      <c r="X321" s="11"/>
      <c r="Y321" s="11"/>
      <c r="Z321" s="11"/>
      <c r="AA321" s="12">
        <v>320</v>
      </c>
      <c r="AB321" s="12"/>
      <c r="AC321" s="11" t="s">
        <v>244</v>
      </c>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row>
    <row r="322" spans="1:56" ht="56" x14ac:dyDescent="0.25">
      <c r="A322" s="11" t="s">
        <v>1983</v>
      </c>
      <c r="B322" s="11" t="s">
        <v>1984</v>
      </c>
      <c r="C322" s="11"/>
      <c r="D322" s="11" t="s">
        <v>91</v>
      </c>
      <c r="E322" s="11" t="s">
        <v>92</v>
      </c>
      <c r="F322" s="11" t="s">
        <v>1985</v>
      </c>
      <c r="G322" s="11" t="s">
        <v>1986</v>
      </c>
      <c r="H322" s="11" t="s">
        <v>94</v>
      </c>
      <c r="I322" s="11" t="s">
        <v>112</v>
      </c>
      <c r="J322" s="11" t="s">
        <v>112</v>
      </c>
      <c r="K322" s="11" t="s">
        <v>113</v>
      </c>
      <c r="L322" s="11" t="s">
        <v>1987</v>
      </c>
      <c r="M322" s="11" t="s">
        <v>99</v>
      </c>
      <c r="N322" s="11" t="s">
        <v>100</v>
      </c>
      <c r="O322" s="11" t="s">
        <v>101</v>
      </c>
      <c r="P322" s="11" t="s">
        <v>102</v>
      </c>
      <c r="Q322" s="12" t="s">
        <v>103</v>
      </c>
      <c r="R322" s="13" t="s">
        <v>103</v>
      </c>
      <c r="S322" s="11" t="s">
        <v>1988</v>
      </c>
      <c r="T322" s="11"/>
      <c r="U322" s="11" t="s">
        <v>104</v>
      </c>
      <c r="V322" s="11" t="s">
        <v>105</v>
      </c>
      <c r="W322" s="11" t="s">
        <v>106</v>
      </c>
      <c r="X322" s="11"/>
      <c r="Y322" s="11"/>
      <c r="Z322" s="11"/>
      <c r="AA322" s="12">
        <v>321</v>
      </c>
      <c r="AB322" s="12"/>
      <c r="AC322" s="11" t="s">
        <v>107</v>
      </c>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row>
    <row r="323" spans="1:56" ht="56" x14ac:dyDescent="0.25">
      <c r="A323" s="11" t="s">
        <v>1989</v>
      </c>
      <c r="B323" s="11" t="s">
        <v>1990</v>
      </c>
      <c r="C323" s="11"/>
      <c r="D323" s="11" t="s">
        <v>91</v>
      </c>
      <c r="E323" s="11" t="s">
        <v>92</v>
      </c>
      <c r="F323" s="11" t="s">
        <v>1991</v>
      </c>
      <c r="G323" s="11" t="s">
        <v>1992</v>
      </c>
      <c r="H323" s="11" t="s">
        <v>94</v>
      </c>
      <c r="I323" s="11" t="s">
        <v>112</v>
      </c>
      <c r="J323" s="11" t="s">
        <v>112</v>
      </c>
      <c r="K323" s="11" t="s">
        <v>113</v>
      </c>
      <c r="L323" s="11" t="s">
        <v>1993</v>
      </c>
      <c r="M323" s="11" t="s">
        <v>99</v>
      </c>
      <c r="N323" s="11" t="s">
        <v>100</v>
      </c>
      <c r="O323" s="11" t="s">
        <v>101</v>
      </c>
      <c r="P323" s="11" t="s">
        <v>102</v>
      </c>
      <c r="Q323" s="12" t="s">
        <v>103</v>
      </c>
      <c r="R323" s="13" t="s">
        <v>103</v>
      </c>
      <c r="S323" s="11" t="s">
        <v>1994</v>
      </c>
      <c r="T323" s="11"/>
      <c r="U323" s="11" t="s">
        <v>104</v>
      </c>
      <c r="V323" s="11" t="s">
        <v>105</v>
      </c>
      <c r="W323" s="11" t="s">
        <v>106</v>
      </c>
      <c r="X323" s="11"/>
      <c r="Y323" s="11"/>
      <c r="Z323" s="11"/>
      <c r="AA323" s="12">
        <v>322</v>
      </c>
      <c r="AB323" s="12"/>
      <c r="AC323" s="11" t="s">
        <v>107</v>
      </c>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row>
    <row r="324" spans="1:56" ht="42" x14ac:dyDescent="0.25">
      <c r="A324" s="11" t="s">
        <v>1995</v>
      </c>
      <c r="B324" s="11" t="s">
        <v>1996</v>
      </c>
      <c r="C324" s="11"/>
      <c r="D324" s="11" t="s">
        <v>91</v>
      </c>
      <c r="E324" s="11" t="s">
        <v>92</v>
      </c>
      <c r="F324" s="11" t="s">
        <v>1996</v>
      </c>
      <c r="G324" s="11" t="s">
        <v>1997</v>
      </c>
      <c r="H324" s="11" t="s">
        <v>94</v>
      </c>
      <c r="I324" s="11" t="s">
        <v>95</v>
      </c>
      <c r="J324" s="11" t="s">
        <v>1056</v>
      </c>
      <c r="K324" s="11" t="s">
        <v>123</v>
      </c>
      <c r="L324" s="11" t="s">
        <v>1998</v>
      </c>
      <c r="M324" s="11" t="s">
        <v>183</v>
      </c>
      <c r="N324" s="11" t="s">
        <v>100</v>
      </c>
      <c r="O324" s="11" t="s">
        <v>101</v>
      </c>
      <c r="P324" s="11" t="s">
        <v>102</v>
      </c>
      <c r="Q324" s="12" t="s">
        <v>103</v>
      </c>
      <c r="R324" s="13" t="s">
        <v>103</v>
      </c>
      <c r="S324" s="11"/>
      <c r="T324" s="11"/>
      <c r="U324" s="11" t="s">
        <v>104</v>
      </c>
      <c r="V324" s="11" t="s">
        <v>105</v>
      </c>
      <c r="W324" s="11" t="s">
        <v>106</v>
      </c>
      <c r="X324" s="11"/>
      <c r="Y324" s="11"/>
      <c r="Z324" s="11"/>
      <c r="AA324" s="12">
        <v>323</v>
      </c>
      <c r="AB324" s="12"/>
      <c r="AC324" s="11" t="s">
        <v>107</v>
      </c>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row>
    <row r="325" spans="1:56" ht="42" x14ac:dyDescent="0.25">
      <c r="A325" s="11" t="s">
        <v>1999</v>
      </c>
      <c r="B325" s="11" t="s">
        <v>2000</v>
      </c>
      <c r="C325" s="11"/>
      <c r="D325" s="11" t="s">
        <v>91</v>
      </c>
      <c r="E325" s="11" t="s">
        <v>92</v>
      </c>
      <c r="F325" s="11" t="s">
        <v>2001</v>
      </c>
      <c r="G325" s="11" t="s">
        <v>2002</v>
      </c>
      <c r="H325" s="11" t="s">
        <v>94</v>
      </c>
      <c r="I325" s="11" t="s">
        <v>121</v>
      </c>
      <c r="J325" s="11" t="s">
        <v>792</v>
      </c>
      <c r="K325" s="11" t="s">
        <v>123</v>
      </c>
      <c r="L325" s="11" t="s">
        <v>2003</v>
      </c>
      <c r="M325" s="11" t="s">
        <v>139</v>
      </c>
      <c r="N325" s="11" t="s">
        <v>100</v>
      </c>
      <c r="O325" s="11" t="s">
        <v>101</v>
      </c>
      <c r="P325" s="11" t="s">
        <v>102</v>
      </c>
      <c r="Q325" s="12" t="s">
        <v>103</v>
      </c>
      <c r="R325" s="13" t="s">
        <v>103</v>
      </c>
      <c r="S325" s="11"/>
      <c r="T325" s="11"/>
      <c r="U325" s="11" t="s">
        <v>104</v>
      </c>
      <c r="V325" s="11" t="s">
        <v>105</v>
      </c>
      <c r="W325" s="11" t="s">
        <v>106</v>
      </c>
      <c r="X325" s="11"/>
      <c r="Y325" s="11"/>
      <c r="Z325" s="11"/>
      <c r="AA325" s="12">
        <v>324</v>
      </c>
      <c r="AB325" s="12"/>
      <c r="AC325" s="11" t="s">
        <v>107</v>
      </c>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row>
    <row r="326" spans="1:56" ht="56" x14ac:dyDescent="0.25">
      <c r="A326" s="11" t="s">
        <v>2004</v>
      </c>
      <c r="B326" s="11" t="s">
        <v>2005</v>
      </c>
      <c r="C326" s="11"/>
      <c r="D326" s="11" t="s">
        <v>91</v>
      </c>
      <c r="E326" s="11" t="s">
        <v>92</v>
      </c>
      <c r="F326" s="11" t="s">
        <v>2005</v>
      </c>
      <c r="G326" s="11" t="s">
        <v>2006</v>
      </c>
      <c r="H326" s="11" t="s">
        <v>94</v>
      </c>
      <c r="I326" s="11" t="s">
        <v>121</v>
      </c>
      <c r="J326" s="11" t="s">
        <v>2007</v>
      </c>
      <c r="K326" s="11" t="s">
        <v>123</v>
      </c>
      <c r="L326" s="11" t="s">
        <v>2008</v>
      </c>
      <c r="M326" s="11" t="s">
        <v>139</v>
      </c>
      <c r="N326" s="11" t="s">
        <v>100</v>
      </c>
      <c r="O326" s="11" t="s">
        <v>175</v>
      </c>
      <c r="P326" s="11" t="s">
        <v>102</v>
      </c>
      <c r="Q326" s="12" t="s">
        <v>103</v>
      </c>
      <c r="R326" s="13" t="s">
        <v>103</v>
      </c>
      <c r="S326" s="11"/>
      <c r="T326" s="11"/>
      <c r="U326" s="11" t="s">
        <v>104</v>
      </c>
      <c r="V326" s="11" t="s">
        <v>105</v>
      </c>
      <c r="W326" s="11" t="s">
        <v>106</v>
      </c>
      <c r="X326" s="11"/>
      <c r="Y326" s="11"/>
      <c r="Z326" s="11"/>
      <c r="AA326" s="12">
        <v>325</v>
      </c>
      <c r="AB326" s="12"/>
      <c r="AC326" s="11" t="s">
        <v>107</v>
      </c>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row>
    <row r="327" spans="1:56" ht="42" x14ac:dyDescent="0.25">
      <c r="A327" s="11" t="s">
        <v>2009</v>
      </c>
      <c r="B327" s="11" t="s">
        <v>2010</v>
      </c>
      <c r="C327" s="11"/>
      <c r="D327" s="11" t="s">
        <v>91</v>
      </c>
      <c r="E327" s="11" t="s">
        <v>92</v>
      </c>
      <c r="F327" s="11" t="s">
        <v>2011</v>
      </c>
      <c r="G327" s="11" t="s">
        <v>2012</v>
      </c>
      <c r="H327" s="11" t="s">
        <v>94</v>
      </c>
      <c r="I327" s="11" t="s">
        <v>121</v>
      </c>
      <c r="J327" s="11" t="s">
        <v>2007</v>
      </c>
      <c r="K327" s="11" t="s">
        <v>123</v>
      </c>
      <c r="L327" s="11" t="s">
        <v>2013</v>
      </c>
      <c r="M327" s="11" t="s">
        <v>139</v>
      </c>
      <c r="N327" s="11" t="s">
        <v>100</v>
      </c>
      <c r="O327" s="11" t="s">
        <v>101</v>
      </c>
      <c r="P327" s="11" t="s">
        <v>102</v>
      </c>
      <c r="Q327" s="12" t="s">
        <v>103</v>
      </c>
      <c r="R327" s="13" t="s">
        <v>103</v>
      </c>
      <c r="S327" s="11"/>
      <c r="T327" s="11"/>
      <c r="U327" s="11" t="s">
        <v>104</v>
      </c>
      <c r="V327" s="11" t="s">
        <v>105</v>
      </c>
      <c r="W327" s="11" t="s">
        <v>106</v>
      </c>
      <c r="X327" s="11"/>
      <c r="Y327" s="11"/>
      <c r="Z327" s="11"/>
      <c r="AA327" s="12">
        <v>326</v>
      </c>
      <c r="AB327" s="12"/>
      <c r="AC327" s="11" t="s">
        <v>107</v>
      </c>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row>
    <row r="328" spans="1:56" ht="42" x14ac:dyDescent="0.25">
      <c r="A328" s="11" t="s">
        <v>2014</v>
      </c>
      <c r="B328" s="11" t="s">
        <v>2015</v>
      </c>
      <c r="C328" s="11"/>
      <c r="D328" s="11" t="s">
        <v>91</v>
      </c>
      <c r="E328" s="11"/>
      <c r="F328" s="11" t="s">
        <v>2016</v>
      </c>
      <c r="G328" s="11" t="s">
        <v>2017</v>
      </c>
      <c r="H328" s="11" t="s">
        <v>94</v>
      </c>
      <c r="I328" s="11" t="s">
        <v>121</v>
      </c>
      <c r="J328" s="11" t="s">
        <v>792</v>
      </c>
      <c r="K328" s="11" t="s">
        <v>123</v>
      </c>
      <c r="L328" s="11" t="s">
        <v>2018</v>
      </c>
      <c r="M328" s="11" t="s">
        <v>2019</v>
      </c>
      <c r="N328" s="11" t="s">
        <v>100</v>
      </c>
      <c r="O328" s="11" t="s">
        <v>101</v>
      </c>
      <c r="P328" s="11" t="s">
        <v>102</v>
      </c>
      <c r="Q328" s="12"/>
      <c r="R328" s="13"/>
      <c r="S328" s="11"/>
      <c r="T328" s="11"/>
      <c r="U328" s="11" t="s">
        <v>104</v>
      </c>
      <c r="V328" s="11" t="s">
        <v>105</v>
      </c>
      <c r="W328" s="11" t="s">
        <v>106</v>
      </c>
      <c r="X328" s="11"/>
      <c r="Y328" s="11"/>
      <c r="Z328" s="11"/>
      <c r="AA328" s="12">
        <v>327</v>
      </c>
      <c r="AB328" s="12"/>
      <c r="AC328" s="11" t="s">
        <v>2015</v>
      </c>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row>
    <row r="329" spans="1:56" ht="70" x14ac:dyDescent="0.25">
      <c r="A329" s="11" t="s">
        <v>2020</v>
      </c>
      <c r="B329" s="11" t="s">
        <v>2021</v>
      </c>
      <c r="C329" s="11"/>
      <c r="D329" s="11" t="s">
        <v>91</v>
      </c>
      <c r="E329" s="11"/>
      <c r="F329" s="11" t="s">
        <v>601</v>
      </c>
      <c r="G329" s="11" t="s">
        <v>2022</v>
      </c>
      <c r="H329" s="11" t="s">
        <v>94</v>
      </c>
      <c r="I329" s="11" t="s">
        <v>121</v>
      </c>
      <c r="J329" s="11" t="s">
        <v>971</v>
      </c>
      <c r="K329" s="11" t="s">
        <v>123</v>
      </c>
      <c r="L329" s="11" t="s">
        <v>2023</v>
      </c>
      <c r="M329" s="11" t="s">
        <v>125</v>
      </c>
      <c r="N329" s="11" t="s">
        <v>100</v>
      </c>
      <c r="O329" s="11" t="s">
        <v>101</v>
      </c>
      <c r="P329" s="11" t="s">
        <v>102</v>
      </c>
      <c r="Q329" s="12" t="s">
        <v>103</v>
      </c>
      <c r="R329" s="13" t="s">
        <v>103</v>
      </c>
      <c r="S329" s="11"/>
      <c r="T329" s="11"/>
      <c r="U329" s="11" t="s">
        <v>104</v>
      </c>
      <c r="V329" s="11" t="s">
        <v>105</v>
      </c>
      <c r="W329" s="11" t="s">
        <v>106</v>
      </c>
      <c r="X329" s="11"/>
      <c r="Y329" s="11"/>
      <c r="Z329" s="11"/>
      <c r="AA329" s="12">
        <v>328</v>
      </c>
      <c r="AB329" s="12"/>
      <c r="AC329" s="11" t="s">
        <v>107</v>
      </c>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row>
    <row r="330" spans="1:56" ht="70" x14ac:dyDescent="0.25">
      <c r="A330" s="11" t="s">
        <v>2024</v>
      </c>
      <c r="B330" s="11" t="s">
        <v>2025</v>
      </c>
      <c r="C330" s="11"/>
      <c r="D330" s="11" t="s">
        <v>91</v>
      </c>
      <c r="E330" s="11"/>
      <c r="F330" s="11"/>
      <c r="G330" s="11" t="s">
        <v>2026</v>
      </c>
      <c r="H330" s="11" t="s">
        <v>94</v>
      </c>
      <c r="I330" s="11" t="s">
        <v>1273</v>
      </c>
      <c r="J330" s="11" t="s">
        <v>1274</v>
      </c>
      <c r="K330" s="11"/>
      <c r="L330" s="11" t="s">
        <v>2027</v>
      </c>
      <c r="M330" s="11" t="s">
        <v>183</v>
      </c>
      <c r="N330" s="11" t="s">
        <v>100</v>
      </c>
      <c r="O330" s="11" t="s">
        <v>101</v>
      </c>
      <c r="P330" s="11" t="s">
        <v>102</v>
      </c>
      <c r="Q330" s="12">
        <v>114.316875</v>
      </c>
      <c r="R330" s="13">
        <v>23.006474999999998</v>
      </c>
      <c r="S330" s="11" t="s">
        <v>2028</v>
      </c>
      <c r="T330" s="11"/>
      <c r="U330" s="11" t="s">
        <v>104</v>
      </c>
      <c r="V330" s="11" t="s">
        <v>105</v>
      </c>
      <c r="W330" s="11" t="s">
        <v>106</v>
      </c>
      <c r="X330" s="11"/>
      <c r="Y330" s="11"/>
      <c r="Z330" s="11"/>
      <c r="AA330" s="12">
        <v>329</v>
      </c>
      <c r="AB330" s="12"/>
      <c r="AC330" s="11" t="s">
        <v>2029</v>
      </c>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row>
    <row r="331" spans="1:56" ht="70" x14ac:dyDescent="0.25">
      <c r="A331" s="11" t="s">
        <v>2030</v>
      </c>
      <c r="B331" s="11" t="s">
        <v>2031</v>
      </c>
      <c r="C331" s="11"/>
      <c r="D331" s="11" t="s">
        <v>91</v>
      </c>
      <c r="E331" s="11"/>
      <c r="F331" s="11"/>
      <c r="G331" s="11" t="s">
        <v>2032</v>
      </c>
      <c r="H331" s="11" t="s">
        <v>94</v>
      </c>
      <c r="I331" s="11" t="s">
        <v>1273</v>
      </c>
      <c r="J331" s="11" t="s">
        <v>1274</v>
      </c>
      <c r="K331" s="11"/>
      <c r="L331" s="11" t="s">
        <v>2033</v>
      </c>
      <c r="M331" s="11" t="s">
        <v>183</v>
      </c>
      <c r="N331" s="11" t="s">
        <v>100</v>
      </c>
      <c r="O331" s="11" t="s">
        <v>101</v>
      </c>
      <c r="P331" s="11" t="s">
        <v>102</v>
      </c>
      <c r="Q331" s="12">
        <v>114.41354</v>
      </c>
      <c r="R331" s="13">
        <v>23.060590999999999</v>
      </c>
      <c r="S331" s="11" t="s">
        <v>2034</v>
      </c>
      <c r="T331" s="11"/>
      <c r="U331" s="11" t="s">
        <v>104</v>
      </c>
      <c r="V331" s="11" t="s">
        <v>105</v>
      </c>
      <c r="W331" s="11" t="s">
        <v>106</v>
      </c>
      <c r="X331" s="11"/>
      <c r="Y331" s="11"/>
      <c r="Z331" s="11"/>
      <c r="AA331" s="12">
        <v>330</v>
      </c>
      <c r="AB331" s="12"/>
      <c r="AC331" s="11" t="s">
        <v>2029</v>
      </c>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row>
    <row r="332" spans="1:56" ht="56" x14ac:dyDescent="0.25">
      <c r="A332" s="11" t="s">
        <v>2035</v>
      </c>
      <c r="B332" s="11" t="s">
        <v>2036</v>
      </c>
      <c r="C332" s="11"/>
      <c r="D332" s="11" t="s">
        <v>91</v>
      </c>
      <c r="E332" s="11"/>
      <c r="F332" s="11"/>
      <c r="G332" s="11" t="s">
        <v>2037</v>
      </c>
      <c r="H332" s="11" t="s">
        <v>94</v>
      </c>
      <c r="I332" s="11" t="s">
        <v>1273</v>
      </c>
      <c r="J332" s="11" t="s">
        <v>1904</v>
      </c>
      <c r="K332" s="11"/>
      <c r="L332" s="11" t="s">
        <v>2038</v>
      </c>
      <c r="M332" s="11" t="s">
        <v>183</v>
      </c>
      <c r="N332" s="11" t="s">
        <v>100</v>
      </c>
      <c r="O332" s="11" t="s">
        <v>101</v>
      </c>
      <c r="P332" s="11" t="s">
        <v>102</v>
      </c>
      <c r="Q332" s="12">
        <v>114.47</v>
      </c>
      <c r="R332" s="13">
        <v>22.78</v>
      </c>
      <c r="S332" s="11" t="s">
        <v>2039</v>
      </c>
      <c r="T332" s="11"/>
      <c r="U332" s="11" t="s">
        <v>104</v>
      </c>
      <c r="V332" s="11" t="s">
        <v>105</v>
      </c>
      <c r="W332" s="11" t="s">
        <v>106</v>
      </c>
      <c r="X332" s="11"/>
      <c r="Y332" s="11"/>
      <c r="Z332" s="11"/>
      <c r="AA332" s="12">
        <v>331</v>
      </c>
      <c r="AB332" s="12"/>
      <c r="AC332" s="11" t="s">
        <v>2029</v>
      </c>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row>
    <row r="333" spans="1:56" ht="56" x14ac:dyDescent="0.25">
      <c r="A333" s="11" t="s">
        <v>2040</v>
      </c>
      <c r="B333" s="11" t="s">
        <v>2041</v>
      </c>
      <c r="C333" s="11"/>
      <c r="D333" s="11" t="s">
        <v>91</v>
      </c>
      <c r="E333" s="11"/>
      <c r="F333" s="11"/>
      <c r="G333" s="11" t="s">
        <v>2042</v>
      </c>
      <c r="H333" s="11" t="s">
        <v>94</v>
      </c>
      <c r="I333" s="11" t="s">
        <v>1273</v>
      </c>
      <c r="J333" s="11" t="s">
        <v>1274</v>
      </c>
      <c r="K333" s="11"/>
      <c r="L333" s="11" t="s">
        <v>2043</v>
      </c>
      <c r="M333" s="11" t="s">
        <v>183</v>
      </c>
      <c r="N333" s="11" t="s">
        <v>100</v>
      </c>
      <c r="O333" s="11" t="s">
        <v>101</v>
      </c>
      <c r="P333" s="11" t="s">
        <v>102</v>
      </c>
      <c r="Q333" s="12">
        <v>114.42322299999999</v>
      </c>
      <c r="R333" s="13">
        <v>23.115779</v>
      </c>
      <c r="S333" s="11" t="s">
        <v>2044</v>
      </c>
      <c r="T333" s="11"/>
      <c r="U333" s="11" t="s">
        <v>104</v>
      </c>
      <c r="V333" s="11" t="s">
        <v>105</v>
      </c>
      <c r="W333" s="11" t="s">
        <v>106</v>
      </c>
      <c r="X333" s="11"/>
      <c r="Y333" s="11"/>
      <c r="Z333" s="11"/>
      <c r="AA333" s="12">
        <v>332</v>
      </c>
      <c r="AB333" s="12"/>
      <c r="AC333" s="11" t="s">
        <v>2029</v>
      </c>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row>
    <row r="334" spans="1:56" ht="56" x14ac:dyDescent="0.25">
      <c r="A334" s="11" t="s">
        <v>2045</v>
      </c>
      <c r="B334" s="11" t="s">
        <v>2046</v>
      </c>
      <c r="C334" s="11"/>
      <c r="D334" s="11" t="s">
        <v>91</v>
      </c>
      <c r="E334" s="11"/>
      <c r="F334" s="11"/>
      <c r="G334" s="11" t="s">
        <v>2047</v>
      </c>
      <c r="H334" s="11" t="s">
        <v>94</v>
      </c>
      <c r="I334" s="11" t="s">
        <v>180</v>
      </c>
      <c r="J334" s="11" t="s">
        <v>2048</v>
      </c>
      <c r="K334" s="11"/>
      <c r="L334" s="11" t="s">
        <v>2049</v>
      </c>
      <c r="M334" s="11" t="s">
        <v>183</v>
      </c>
      <c r="N334" s="11" t="s">
        <v>100</v>
      </c>
      <c r="O334" s="11" t="s">
        <v>101</v>
      </c>
      <c r="P334" s="11" t="s">
        <v>102</v>
      </c>
      <c r="Q334" s="12"/>
      <c r="R334" s="13"/>
      <c r="S334" s="11" t="s">
        <v>2050</v>
      </c>
      <c r="T334" s="11"/>
      <c r="U334" s="11" t="s">
        <v>104</v>
      </c>
      <c r="V334" s="11" t="s">
        <v>105</v>
      </c>
      <c r="W334" s="11" t="s">
        <v>106</v>
      </c>
      <c r="X334" s="11"/>
      <c r="Y334" s="11"/>
      <c r="Z334" s="11"/>
      <c r="AA334" s="12">
        <v>333</v>
      </c>
      <c r="AB334" s="12"/>
      <c r="AC334" s="11" t="s">
        <v>2029</v>
      </c>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row>
    <row r="335" spans="1:56" ht="42" x14ac:dyDescent="0.25">
      <c r="A335" s="11" t="s">
        <v>2051</v>
      </c>
      <c r="B335" s="11" t="s">
        <v>2052</v>
      </c>
      <c r="C335" s="11"/>
      <c r="D335" s="11" t="s">
        <v>91</v>
      </c>
      <c r="E335" s="11"/>
      <c r="F335" s="11"/>
      <c r="G335" s="11" t="s">
        <v>2053</v>
      </c>
      <c r="H335" s="11" t="s">
        <v>94</v>
      </c>
      <c r="I335" s="11" t="s">
        <v>180</v>
      </c>
      <c r="J335" s="11" t="s">
        <v>1945</v>
      </c>
      <c r="K335" s="11"/>
      <c r="L335" s="11" t="s">
        <v>2054</v>
      </c>
      <c r="M335" s="11" t="s">
        <v>183</v>
      </c>
      <c r="N335" s="11" t="s">
        <v>100</v>
      </c>
      <c r="O335" s="11" t="s">
        <v>101</v>
      </c>
      <c r="P335" s="11" t="s">
        <v>102</v>
      </c>
      <c r="Q335" s="12">
        <v>114.049814</v>
      </c>
      <c r="R335" s="13">
        <v>22.643730999999999</v>
      </c>
      <c r="S335" s="11" t="s">
        <v>2055</v>
      </c>
      <c r="T335" s="11"/>
      <c r="U335" s="11" t="s">
        <v>104</v>
      </c>
      <c r="V335" s="11" t="s">
        <v>105</v>
      </c>
      <c r="W335" s="11" t="s">
        <v>106</v>
      </c>
      <c r="X335" s="11"/>
      <c r="Y335" s="11"/>
      <c r="Z335" s="11"/>
      <c r="AA335" s="12">
        <v>334</v>
      </c>
      <c r="AB335" s="12"/>
      <c r="AC335" s="11" t="s">
        <v>2029</v>
      </c>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row>
    <row r="336" spans="1:56" ht="56" x14ac:dyDescent="0.25">
      <c r="A336" s="11" t="s">
        <v>2056</v>
      </c>
      <c r="B336" s="11" t="s">
        <v>2057</v>
      </c>
      <c r="C336" s="11"/>
      <c r="D336" s="11" t="s">
        <v>91</v>
      </c>
      <c r="E336" s="11"/>
      <c r="F336" s="11"/>
      <c r="G336" s="11" t="s">
        <v>2058</v>
      </c>
      <c r="H336" s="11" t="s">
        <v>94</v>
      </c>
      <c r="I336" s="11" t="s">
        <v>180</v>
      </c>
      <c r="J336" s="11" t="s">
        <v>233</v>
      </c>
      <c r="K336" s="11"/>
      <c r="L336" s="11" t="s">
        <v>2059</v>
      </c>
      <c r="M336" s="11" t="s">
        <v>183</v>
      </c>
      <c r="N336" s="11" t="s">
        <v>100</v>
      </c>
      <c r="O336" s="11" t="s">
        <v>101</v>
      </c>
      <c r="P336" s="11" t="s">
        <v>102</v>
      </c>
      <c r="Q336" s="12"/>
      <c r="R336" s="13"/>
      <c r="S336" s="11" t="s">
        <v>2060</v>
      </c>
      <c r="T336" s="11"/>
      <c r="U336" s="11" t="s">
        <v>104</v>
      </c>
      <c r="V336" s="11" t="s">
        <v>105</v>
      </c>
      <c r="W336" s="11" t="s">
        <v>106</v>
      </c>
      <c r="X336" s="11"/>
      <c r="Y336" s="11"/>
      <c r="Z336" s="11"/>
      <c r="AA336" s="12">
        <v>335</v>
      </c>
      <c r="AB336" s="12"/>
      <c r="AC336" s="11" t="s">
        <v>2029</v>
      </c>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row>
    <row r="337" spans="1:56" ht="56" x14ac:dyDescent="0.25">
      <c r="A337" s="11" t="s">
        <v>2061</v>
      </c>
      <c r="B337" s="11" t="s">
        <v>2062</v>
      </c>
      <c r="C337" s="11"/>
      <c r="D337" s="11" t="s">
        <v>91</v>
      </c>
      <c r="E337" s="11"/>
      <c r="F337" s="11"/>
      <c r="G337" s="11" t="s">
        <v>2063</v>
      </c>
      <c r="H337" s="11" t="s">
        <v>94</v>
      </c>
      <c r="I337" s="11" t="s">
        <v>180</v>
      </c>
      <c r="J337" s="11" t="s">
        <v>2064</v>
      </c>
      <c r="K337" s="11"/>
      <c r="L337" s="11" t="s">
        <v>2065</v>
      </c>
      <c r="M337" s="11" t="s">
        <v>183</v>
      </c>
      <c r="N337" s="11" t="s">
        <v>100</v>
      </c>
      <c r="O337" s="11" t="s">
        <v>101</v>
      </c>
      <c r="P337" s="11" t="s">
        <v>102</v>
      </c>
      <c r="Q337" s="12">
        <v>114.029777</v>
      </c>
      <c r="R337" s="13">
        <v>22.535034</v>
      </c>
      <c r="S337" s="11" t="s">
        <v>2066</v>
      </c>
      <c r="T337" s="11"/>
      <c r="U337" s="11" t="s">
        <v>104</v>
      </c>
      <c r="V337" s="11" t="s">
        <v>105</v>
      </c>
      <c r="W337" s="11" t="s">
        <v>106</v>
      </c>
      <c r="X337" s="11"/>
      <c r="Y337" s="11"/>
      <c r="Z337" s="11"/>
      <c r="AA337" s="12">
        <v>336</v>
      </c>
      <c r="AB337" s="12"/>
      <c r="AC337" s="11" t="s">
        <v>2029</v>
      </c>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row>
    <row r="338" spans="1:56" ht="42" x14ac:dyDescent="0.25">
      <c r="A338" s="11" t="s">
        <v>2067</v>
      </c>
      <c r="B338" s="11" t="s">
        <v>2068</v>
      </c>
      <c r="C338" s="11"/>
      <c r="D338" s="11" t="s">
        <v>91</v>
      </c>
      <c r="E338" s="11"/>
      <c r="F338" s="11"/>
      <c r="G338" s="11" t="s">
        <v>2069</v>
      </c>
      <c r="H338" s="11" t="s">
        <v>94</v>
      </c>
      <c r="I338" s="11" t="s">
        <v>180</v>
      </c>
      <c r="J338" s="11" t="s">
        <v>233</v>
      </c>
      <c r="K338" s="11"/>
      <c r="L338" s="11" t="s">
        <v>2070</v>
      </c>
      <c r="M338" s="11" t="s">
        <v>183</v>
      </c>
      <c r="N338" s="11" t="s">
        <v>100</v>
      </c>
      <c r="O338" s="11" t="s">
        <v>101</v>
      </c>
      <c r="P338" s="11" t="s">
        <v>102</v>
      </c>
      <c r="Q338" s="12">
        <v>114.23</v>
      </c>
      <c r="R338" s="13">
        <v>22.7</v>
      </c>
      <c r="S338" s="11" t="s">
        <v>2071</v>
      </c>
      <c r="T338" s="11"/>
      <c r="U338" s="11" t="s">
        <v>104</v>
      </c>
      <c r="V338" s="11" t="s">
        <v>105</v>
      </c>
      <c r="W338" s="11" t="s">
        <v>106</v>
      </c>
      <c r="X338" s="11"/>
      <c r="Y338" s="11"/>
      <c r="Z338" s="11"/>
      <c r="AA338" s="12">
        <v>337</v>
      </c>
      <c r="AB338" s="12"/>
      <c r="AC338" s="11" t="s">
        <v>2029</v>
      </c>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row>
    <row r="339" spans="1:56" ht="42" x14ac:dyDescent="0.25">
      <c r="A339" s="11" t="s">
        <v>2072</v>
      </c>
      <c r="B339" s="11" t="s">
        <v>2073</v>
      </c>
      <c r="C339" s="11"/>
      <c r="D339" s="11" t="s">
        <v>91</v>
      </c>
      <c r="E339" s="11"/>
      <c r="F339" s="11"/>
      <c r="G339" s="11" t="s">
        <v>2074</v>
      </c>
      <c r="H339" s="11" t="s">
        <v>94</v>
      </c>
      <c r="I339" s="11" t="s">
        <v>180</v>
      </c>
      <c r="J339" s="11" t="s">
        <v>181</v>
      </c>
      <c r="K339" s="11"/>
      <c r="L339" s="11" t="s">
        <v>2075</v>
      </c>
      <c r="M339" s="11" t="s">
        <v>183</v>
      </c>
      <c r="N339" s="11" t="s">
        <v>100</v>
      </c>
      <c r="O339" s="11" t="s">
        <v>101</v>
      </c>
      <c r="P339" s="11" t="s">
        <v>102</v>
      </c>
      <c r="Q339" s="12">
        <v>113.883538</v>
      </c>
      <c r="R339" s="13">
        <v>22.576865000000002</v>
      </c>
      <c r="S339" s="11" t="s">
        <v>2076</v>
      </c>
      <c r="T339" s="11"/>
      <c r="U339" s="11" t="s">
        <v>104</v>
      </c>
      <c r="V339" s="11" t="s">
        <v>105</v>
      </c>
      <c r="W339" s="11" t="s">
        <v>106</v>
      </c>
      <c r="X339" s="11"/>
      <c r="Y339" s="11"/>
      <c r="Z339" s="11"/>
      <c r="AA339" s="12">
        <v>338</v>
      </c>
      <c r="AB339" s="12"/>
      <c r="AC339" s="11" t="s">
        <v>2029</v>
      </c>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row>
    <row r="340" spans="1:56" ht="56" x14ac:dyDescent="0.25">
      <c r="A340" s="11" t="s">
        <v>2077</v>
      </c>
      <c r="B340" s="11" t="s">
        <v>2078</v>
      </c>
      <c r="C340" s="11"/>
      <c r="D340" s="11" t="s">
        <v>91</v>
      </c>
      <c r="E340" s="11"/>
      <c r="F340" s="11"/>
      <c r="G340" s="11" t="s">
        <v>2079</v>
      </c>
      <c r="H340" s="11" t="s">
        <v>94</v>
      </c>
      <c r="I340" s="11" t="s">
        <v>180</v>
      </c>
      <c r="J340" s="11" t="s">
        <v>1945</v>
      </c>
      <c r="K340" s="11"/>
      <c r="L340" s="11" t="s">
        <v>2080</v>
      </c>
      <c r="M340" s="11" t="s">
        <v>183</v>
      </c>
      <c r="N340" s="11" t="s">
        <v>100</v>
      </c>
      <c r="O340" s="11" t="s">
        <v>101</v>
      </c>
      <c r="P340" s="11" t="s">
        <v>102</v>
      </c>
      <c r="Q340" s="12">
        <v>114.02018</v>
      </c>
      <c r="R340" s="13">
        <v>22.742778000000001</v>
      </c>
      <c r="S340" s="11" t="s">
        <v>2081</v>
      </c>
      <c r="T340" s="11"/>
      <c r="U340" s="11" t="s">
        <v>104</v>
      </c>
      <c r="V340" s="11" t="s">
        <v>105</v>
      </c>
      <c r="W340" s="11" t="s">
        <v>106</v>
      </c>
      <c r="X340" s="11"/>
      <c r="Y340" s="11"/>
      <c r="Z340" s="11"/>
      <c r="AA340" s="12">
        <v>339</v>
      </c>
      <c r="AB340" s="12"/>
      <c r="AC340" s="11" t="s">
        <v>2029</v>
      </c>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row>
    <row r="341" spans="1:56" ht="42" x14ac:dyDescent="0.25">
      <c r="A341" s="11" t="s">
        <v>2082</v>
      </c>
      <c r="B341" s="11" t="s">
        <v>2083</v>
      </c>
      <c r="C341" s="11"/>
      <c r="D341" s="11" t="s">
        <v>91</v>
      </c>
      <c r="E341" s="11"/>
      <c r="F341" s="11"/>
      <c r="G341" s="11" t="s">
        <v>2084</v>
      </c>
      <c r="H341" s="11" t="s">
        <v>94</v>
      </c>
      <c r="I341" s="11" t="s">
        <v>180</v>
      </c>
      <c r="J341" s="11" t="s">
        <v>1213</v>
      </c>
      <c r="K341" s="11"/>
      <c r="L341" s="11" t="s">
        <v>2085</v>
      </c>
      <c r="M341" s="11" t="s">
        <v>183</v>
      </c>
      <c r="N341" s="11" t="s">
        <v>100</v>
      </c>
      <c r="O341" s="11" t="s">
        <v>101</v>
      </c>
      <c r="P341" s="11" t="s">
        <v>102</v>
      </c>
      <c r="Q341" s="12">
        <v>113.93455899999999</v>
      </c>
      <c r="R341" s="13">
        <v>22.731801999999998</v>
      </c>
      <c r="S341" s="11" t="s">
        <v>2086</v>
      </c>
      <c r="T341" s="11"/>
      <c r="U341" s="11" t="s">
        <v>104</v>
      </c>
      <c r="V341" s="11" t="s">
        <v>105</v>
      </c>
      <c r="W341" s="11" t="s">
        <v>106</v>
      </c>
      <c r="X341" s="11"/>
      <c r="Y341" s="11"/>
      <c r="Z341" s="11"/>
      <c r="AA341" s="12">
        <v>340</v>
      </c>
      <c r="AB341" s="12"/>
      <c r="AC341" s="11" t="s">
        <v>2029</v>
      </c>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row>
    <row r="342" spans="1:56" ht="56" x14ac:dyDescent="0.25">
      <c r="A342" s="11" t="s">
        <v>2087</v>
      </c>
      <c r="B342" s="11" t="s">
        <v>2088</v>
      </c>
      <c r="C342" s="11"/>
      <c r="D342" s="11" t="s">
        <v>91</v>
      </c>
      <c r="E342" s="11"/>
      <c r="F342" s="11"/>
      <c r="G342" s="11" t="s">
        <v>2089</v>
      </c>
      <c r="H342" s="11" t="s">
        <v>94</v>
      </c>
      <c r="I342" s="11" t="s">
        <v>180</v>
      </c>
      <c r="J342" s="11" t="s">
        <v>1213</v>
      </c>
      <c r="K342" s="11"/>
      <c r="L342" s="11" t="s">
        <v>2090</v>
      </c>
      <c r="M342" s="11" t="s">
        <v>183</v>
      </c>
      <c r="N342" s="11" t="s">
        <v>100</v>
      </c>
      <c r="O342" s="11" t="s">
        <v>101</v>
      </c>
      <c r="P342" s="11" t="s">
        <v>102</v>
      </c>
      <c r="Q342" s="12">
        <v>114.200729</v>
      </c>
      <c r="R342" s="13">
        <v>22.644924</v>
      </c>
      <c r="S342" s="11" t="s">
        <v>2091</v>
      </c>
      <c r="T342" s="11"/>
      <c r="U342" s="11" t="s">
        <v>104</v>
      </c>
      <c r="V342" s="11" t="s">
        <v>105</v>
      </c>
      <c r="W342" s="11" t="s">
        <v>106</v>
      </c>
      <c r="X342" s="11"/>
      <c r="Y342" s="11"/>
      <c r="Z342" s="11"/>
      <c r="AA342" s="12">
        <v>341</v>
      </c>
      <c r="AB342" s="12"/>
      <c r="AC342" s="11" t="s">
        <v>2029</v>
      </c>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row>
    <row r="343" spans="1:56" ht="42" x14ac:dyDescent="0.25">
      <c r="A343" s="11" t="s">
        <v>2092</v>
      </c>
      <c r="B343" s="11" t="s">
        <v>2093</v>
      </c>
      <c r="C343" s="11"/>
      <c r="D343" s="11" t="s">
        <v>91</v>
      </c>
      <c r="E343" s="11"/>
      <c r="F343" s="11"/>
      <c r="G343" s="11" t="s">
        <v>2094</v>
      </c>
      <c r="H343" s="11" t="s">
        <v>94</v>
      </c>
      <c r="I343" s="11" t="s">
        <v>180</v>
      </c>
      <c r="J343" s="11" t="s">
        <v>1945</v>
      </c>
      <c r="K343" s="11"/>
      <c r="L343" s="11" t="s">
        <v>2095</v>
      </c>
      <c r="M343" s="11" t="s">
        <v>183</v>
      </c>
      <c r="N343" s="11" t="s">
        <v>100</v>
      </c>
      <c r="O343" s="11" t="s">
        <v>101</v>
      </c>
      <c r="P343" s="11" t="s">
        <v>102</v>
      </c>
      <c r="Q343" s="12">
        <v>114.019509</v>
      </c>
      <c r="R343" s="13">
        <v>22.67079</v>
      </c>
      <c r="S343" s="11" t="s">
        <v>2096</v>
      </c>
      <c r="T343" s="11"/>
      <c r="U343" s="11" t="s">
        <v>104</v>
      </c>
      <c r="V343" s="11" t="s">
        <v>105</v>
      </c>
      <c r="W343" s="11" t="s">
        <v>106</v>
      </c>
      <c r="X343" s="11"/>
      <c r="Y343" s="11"/>
      <c r="Z343" s="11"/>
      <c r="AA343" s="12">
        <v>342</v>
      </c>
      <c r="AB343" s="12"/>
      <c r="AC343" s="11" t="s">
        <v>2029</v>
      </c>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row>
    <row r="344" spans="1:56" ht="42" x14ac:dyDescent="0.25">
      <c r="A344" s="11" t="s">
        <v>2097</v>
      </c>
      <c r="B344" s="11" t="s">
        <v>2098</v>
      </c>
      <c r="C344" s="11"/>
      <c r="D344" s="11" t="s">
        <v>91</v>
      </c>
      <c r="E344" s="11"/>
      <c r="F344" s="11"/>
      <c r="G344" s="11" t="s">
        <v>2099</v>
      </c>
      <c r="H344" s="11" t="s">
        <v>94</v>
      </c>
      <c r="I344" s="11" t="s">
        <v>180</v>
      </c>
      <c r="J344" s="11" t="s">
        <v>1945</v>
      </c>
      <c r="K344" s="11"/>
      <c r="L344" s="11" t="s">
        <v>2100</v>
      </c>
      <c r="M344" s="11" t="s">
        <v>183</v>
      </c>
      <c r="N344" s="11" t="s">
        <v>100</v>
      </c>
      <c r="O344" s="11" t="s">
        <v>101</v>
      </c>
      <c r="P344" s="11" t="s">
        <v>102</v>
      </c>
      <c r="Q344" s="12">
        <v>114.060625</v>
      </c>
      <c r="R344" s="13">
        <v>22.715624999999999</v>
      </c>
      <c r="S344" s="11" t="s">
        <v>2101</v>
      </c>
      <c r="T344" s="11"/>
      <c r="U344" s="11" t="s">
        <v>104</v>
      </c>
      <c r="V344" s="11" t="s">
        <v>105</v>
      </c>
      <c r="W344" s="11" t="s">
        <v>106</v>
      </c>
      <c r="X344" s="11"/>
      <c r="Y344" s="11"/>
      <c r="Z344" s="11"/>
      <c r="AA344" s="12">
        <v>343</v>
      </c>
      <c r="AB344" s="12"/>
      <c r="AC344" s="11" t="s">
        <v>2029</v>
      </c>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row>
    <row r="345" spans="1:56" ht="42" x14ac:dyDescent="0.25">
      <c r="A345" s="11" t="s">
        <v>2102</v>
      </c>
      <c r="B345" s="11" t="s">
        <v>2103</v>
      </c>
      <c r="C345" s="11"/>
      <c r="D345" s="11" t="s">
        <v>91</v>
      </c>
      <c r="E345" s="11"/>
      <c r="F345" s="11" t="s">
        <v>2104</v>
      </c>
      <c r="G345" s="11" t="s">
        <v>2105</v>
      </c>
      <c r="H345" s="11" t="s">
        <v>94</v>
      </c>
      <c r="I345" s="11" t="s">
        <v>180</v>
      </c>
      <c r="J345" s="11" t="s">
        <v>2064</v>
      </c>
      <c r="K345" s="11"/>
      <c r="L345" s="11" t="s">
        <v>2106</v>
      </c>
      <c r="M345" s="11" t="s">
        <v>183</v>
      </c>
      <c r="N345" s="11" t="s">
        <v>100</v>
      </c>
      <c r="O345" s="11" t="s">
        <v>101</v>
      </c>
      <c r="P345" s="11" t="s">
        <v>102</v>
      </c>
      <c r="Q345" s="12">
        <v>114.10278099999999</v>
      </c>
      <c r="R345" s="13">
        <v>22.564643</v>
      </c>
      <c r="S345" s="11" t="s">
        <v>2107</v>
      </c>
      <c r="T345" s="11"/>
      <c r="U345" s="11" t="s">
        <v>104</v>
      </c>
      <c r="V345" s="11" t="s">
        <v>105</v>
      </c>
      <c r="W345" s="11" t="s">
        <v>106</v>
      </c>
      <c r="X345" s="11"/>
      <c r="Y345" s="11"/>
      <c r="Z345" s="11"/>
      <c r="AA345" s="12">
        <v>344</v>
      </c>
      <c r="AB345" s="12"/>
      <c r="AC345" s="11" t="s">
        <v>2029</v>
      </c>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row>
    <row r="346" spans="1:56" ht="70" x14ac:dyDescent="0.25">
      <c r="A346" s="11" t="s">
        <v>2108</v>
      </c>
      <c r="B346" s="11" t="s">
        <v>2109</v>
      </c>
      <c r="C346" s="11"/>
      <c r="D346" s="11" t="s">
        <v>91</v>
      </c>
      <c r="E346" s="11"/>
      <c r="F346" s="11"/>
      <c r="G346" s="11" t="s">
        <v>2110</v>
      </c>
      <c r="H346" s="11" t="s">
        <v>94</v>
      </c>
      <c r="I346" s="11" t="s">
        <v>180</v>
      </c>
      <c r="J346" s="11" t="s">
        <v>1945</v>
      </c>
      <c r="K346" s="11"/>
      <c r="L346" s="11" t="s">
        <v>2111</v>
      </c>
      <c r="M346" s="11" t="s">
        <v>183</v>
      </c>
      <c r="N346" s="11" t="s">
        <v>100</v>
      </c>
      <c r="O346" s="11" t="s">
        <v>101</v>
      </c>
      <c r="P346" s="11" t="s">
        <v>102</v>
      </c>
      <c r="Q346" s="12">
        <v>114.036936</v>
      </c>
      <c r="R346" s="13">
        <v>22.616789000000001</v>
      </c>
      <c r="S346" s="11" t="s">
        <v>2112</v>
      </c>
      <c r="T346" s="11"/>
      <c r="U346" s="11" t="s">
        <v>104</v>
      </c>
      <c r="V346" s="11" t="s">
        <v>105</v>
      </c>
      <c r="W346" s="11" t="s">
        <v>106</v>
      </c>
      <c r="X346" s="11"/>
      <c r="Y346" s="11"/>
      <c r="Z346" s="11"/>
      <c r="AA346" s="12">
        <v>345</v>
      </c>
      <c r="AB346" s="12"/>
      <c r="AC346" s="11" t="s">
        <v>2029</v>
      </c>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row>
    <row r="347" spans="1:56" ht="56" x14ac:dyDescent="0.25">
      <c r="A347" s="11" t="s">
        <v>2113</v>
      </c>
      <c r="B347" s="11" t="s">
        <v>2114</v>
      </c>
      <c r="C347" s="11"/>
      <c r="D347" s="11" t="s">
        <v>91</v>
      </c>
      <c r="E347" s="11"/>
      <c r="F347" s="11"/>
      <c r="G347" s="11" t="s">
        <v>2115</v>
      </c>
      <c r="H347" s="11" t="s">
        <v>94</v>
      </c>
      <c r="I347" s="11" t="s">
        <v>180</v>
      </c>
      <c r="J347" s="11" t="s">
        <v>233</v>
      </c>
      <c r="K347" s="11"/>
      <c r="L347" s="11" t="s">
        <v>2116</v>
      </c>
      <c r="M347" s="11" t="s">
        <v>183</v>
      </c>
      <c r="N347" s="11" t="s">
        <v>100</v>
      </c>
      <c r="O347" s="11" t="s">
        <v>101</v>
      </c>
      <c r="P347" s="11" t="s">
        <v>102</v>
      </c>
      <c r="Q347" s="12">
        <v>114.13</v>
      </c>
      <c r="R347" s="13">
        <v>22.61</v>
      </c>
      <c r="S347" s="11" t="s">
        <v>2117</v>
      </c>
      <c r="T347" s="11"/>
      <c r="U347" s="11" t="s">
        <v>104</v>
      </c>
      <c r="V347" s="11" t="s">
        <v>105</v>
      </c>
      <c r="W347" s="11" t="s">
        <v>106</v>
      </c>
      <c r="X347" s="11"/>
      <c r="Y347" s="11"/>
      <c r="Z347" s="11"/>
      <c r="AA347" s="12">
        <v>346</v>
      </c>
      <c r="AB347" s="12"/>
      <c r="AC347" s="11" t="s">
        <v>2029</v>
      </c>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row>
    <row r="348" spans="1:56" ht="42" x14ac:dyDescent="0.25">
      <c r="A348" s="11" t="s">
        <v>2118</v>
      </c>
      <c r="B348" s="11" t="s">
        <v>2119</v>
      </c>
      <c r="C348" s="11"/>
      <c r="D348" s="11" t="s">
        <v>91</v>
      </c>
      <c r="E348" s="11"/>
      <c r="F348" s="11"/>
      <c r="G348" s="11" t="s">
        <v>2120</v>
      </c>
      <c r="H348" s="11" t="s">
        <v>94</v>
      </c>
      <c r="I348" s="11" t="s">
        <v>180</v>
      </c>
      <c r="J348" s="11" t="s">
        <v>233</v>
      </c>
      <c r="K348" s="11"/>
      <c r="L348" s="11" t="s">
        <v>2121</v>
      </c>
      <c r="M348" s="11" t="s">
        <v>183</v>
      </c>
      <c r="N348" s="11" t="s">
        <v>100</v>
      </c>
      <c r="O348" s="11" t="s">
        <v>101</v>
      </c>
      <c r="P348" s="11" t="s">
        <v>102</v>
      </c>
      <c r="Q348" s="12"/>
      <c r="R348" s="13"/>
      <c r="S348" s="11" t="s">
        <v>2122</v>
      </c>
      <c r="T348" s="11"/>
      <c r="U348" s="11" t="s">
        <v>104</v>
      </c>
      <c r="V348" s="11" t="s">
        <v>105</v>
      </c>
      <c r="W348" s="11" t="s">
        <v>106</v>
      </c>
      <c r="X348" s="11"/>
      <c r="Y348" s="11"/>
      <c r="Z348" s="11"/>
      <c r="AA348" s="12">
        <v>347</v>
      </c>
      <c r="AB348" s="12"/>
      <c r="AC348" s="11" t="s">
        <v>2029</v>
      </c>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row>
    <row r="349" spans="1:56" ht="42" x14ac:dyDescent="0.25">
      <c r="A349" s="11" t="s">
        <v>2123</v>
      </c>
      <c r="B349" s="11" t="s">
        <v>2124</v>
      </c>
      <c r="C349" s="11"/>
      <c r="D349" s="11" t="s">
        <v>91</v>
      </c>
      <c r="E349" s="11"/>
      <c r="F349" s="11"/>
      <c r="G349" s="11" t="s">
        <v>2125</v>
      </c>
      <c r="H349" s="11" t="s">
        <v>94</v>
      </c>
      <c r="I349" s="11" t="s">
        <v>180</v>
      </c>
      <c r="J349" s="11" t="s">
        <v>181</v>
      </c>
      <c r="K349" s="11"/>
      <c r="L349" s="11" t="s">
        <v>2126</v>
      </c>
      <c r="M349" s="11" t="s">
        <v>183</v>
      </c>
      <c r="N349" s="11" t="s">
        <v>100</v>
      </c>
      <c r="O349" s="11" t="s">
        <v>101</v>
      </c>
      <c r="P349" s="11" t="s">
        <v>102</v>
      </c>
      <c r="Q349" s="12">
        <v>113.82969900000001</v>
      </c>
      <c r="R349" s="13">
        <v>22.764699</v>
      </c>
      <c r="S349" s="11" t="s">
        <v>2127</v>
      </c>
      <c r="T349" s="11"/>
      <c r="U349" s="11" t="s">
        <v>104</v>
      </c>
      <c r="V349" s="11" t="s">
        <v>105</v>
      </c>
      <c r="W349" s="11" t="s">
        <v>106</v>
      </c>
      <c r="X349" s="11"/>
      <c r="Y349" s="11"/>
      <c r="Z349" s="11"/>
      <c r="AA349" s="12">
        <v>348</v>
      </c>
      <c r="AB349" s="12"/>
      <c r="AC349" s="11" t="s">
        <v>2029</v>
      </c>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row>
    <row r="350" spans="1:56" ht="56" x14ac:dyDescent="0.25">
      <c r="A350" s="11" t="s">
        <v>2128</v>
      </c>
      <c r="B350" s="11" t="s">
        <v>2129</v>
      </c>
      <c r="C350" s="11"/>
      <c r="D350" s="11" t="s">
        <v>91</v>
      </c>
      <c r="E350" s="11"/>
      <c r="F350" s="11" t="s">
        <v>2129</v>
      </c>
      <c r="G350" s="11" t="s">
        <v>2130</v>
      </c>
      <c r="H350" s="11" t="s">
        <v>94</v>
      </c>
      <c r="I350" s="11" t="s">
        <v>180</v>
      </c>
      <c r="J350" s="11" t="s">
        <v>1213</v>
      </c>
      <c r="K350" s="11"/>
      <c r="L350" s="11" t="s">
        <v>2131</v>
      </c>
      <c r="M350" s="11" t="s">
        <v>183</v>
      </c>
      <c r="N350" s="11" t="s">
        <v>100</v>
      </c>
      <c r="O350" s="11" t="s">
        <v>101</v>
      </c>
      <c r="P350" s="11" t="s">
        <v>102</v>
      </c>
      <c r="Q350" s="12">
        <v>113.878472</v>
      </c>
      <c r="R350" s="13">
        <v>22.785788</v>
      </c>
      <c r="S350" s="11" t="s">
        <v>2132</v>
      </c>
      <c r="T350" s="11"/>
      <c r="U350" s="11" t="s">
        <v>104</v>
      </c>
      <c r="V350" s="11" t="s">
        <v>105</v>
      </c>
      <c r="W350" s="11" t="s">
        <v>106</v>
      </c>
      <c r="X350" s="11"/>
      <c r="Y350" s="11"/>
      <c r="Z350" s="11"/>
      <c r="AA350" s="12">
        <v>349</v>
      </c>
      <c r="AB350" s="12"/>
      <c r="AC350" s="11" t="s">
        <v>2029</v>
      </c>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row>
    <row r="351" spans="1:56" ht="56" x14ac:dyDescent="0.25">
      <c r="A351" s="11" t="s">
        <v>2133</v>
      </c>
      <c r="B351" s="11" t="s">
        <v>2134</v>
      </c>
      <c r="C351" s="11"/>
      <c r="D351" s="11" t="s">
        <v>91</v>
      </c>
      <c r="E351" s="11"/>
      <c r="F351" s="11"/>
      <c r="G351" s="11" t="s">
        <v>2135</v>
      </c>
      <c r="H351" s="11" t="s">
        <v>94</v>
      </c>
      <c r="I351" s="11" t="s">
        <v>180</v>
      </c>
      <c r="J351" s="11" t="s">
        <v>233</v>
      </c>
      <c r="K351" s="11"/>
      <c r="L351" s="11" t="s">
        <v>2136</v>
      </c>
      <c r="M351" s="11" t="s">
        <v>183</v>
      </c>
      <c r="N351" s="11" t="s">
        <v>100</v>
      </c>
      <c r="O351" s="11" t="s">
        <v>101</v>
      </c>
      <c r="P351" s="11" t="s">
        <v>102</v>
      </c>
      <c r="Q351" s="12">
        <v>114.149435</v>
      </c>
      <c r="R351" s="13">
        <v>22.621202</v>
      </c>
      <c r="S351" s="11" t="s">
        <v>2137</v>
      </c>
      <c r="T351" s="11"/>
      <c r="U351" s="11" t="s">
        <v>104</v>
      </c>
      <c r="V351" s="11" t="s">
        <v>105</v>
      </c>
      <c r="W351" s="11" t="s">
        <v>106</v>
      </c>
      <c r="X351" s="11"/>
      <c r="Y351" s="11"/>
      <c r="Z351" s="11"/>
      <c r="AA351" s="12">
        <v>350</v>
      </c>
      <c r="AB351" s="12"/>
      <c r="AC351" s="11" t="s">
        <v>2029</v>
      </c>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row>
    <row r="352" spans="1:56" ht="42" x14ac:dyDescent="0.25">
      <c r="A352" s="11" t="s">
        <v>2138</v>
      </c>
      <c r="B352" s="11" t="s">
        <v>2139</v>
      </c>
      <c r="C352" s="11"/>
      <c r="D352" s="11" t="s">
        <v>91</v>
      </c>
      <c r="E352" s="11"/>
      <c r="F352" s="11"/>
      <c r="G352" s="11" t="s">
        <v>2140</v>
      </c>
      <c r="H352" s="11" t="s">
        <v>94</v>
      </c>
      <c r="I352" s="11" t="s">
        <v>180</v>
      </c>
      <c r="J352" s="11" t="s">
        <v>233</v>
      </c>
      <c r="K352" s="11"/>
      <c r="L352" s="11" t="s">
        <v>2141</v>
      </c>
      <c r="M352" s="11" t="s">
        <v>183</v>
      </c>
      <c r="N352" s="11" t="s">
        <v>100</v>
      </c>
      <c r="O352" s="11" t="s">
        <v>101</v>
      </c>
      <c r="P352" s="11" t="s">
        <v>102</v>
      </c>
      <c r="Q352" s="12">
        <v>114.131545</v>
      </c>
      <c r="R352" s="13">
        <v>22.701504</v>
      </c>
      <c r="S352" s="11" t="s">
        <v>2142</v>
      </c>
      <c r="T352" s="11"/>
      <c r="U352" s="11" t="s">
        <v>104</v>
      </c>
      <c r="V352" s="11" t="s">
        <v>105</v>
      </c>
      <c r="W352" s="11" t="s">
        <v>106</v>
      </c>
      <c r="X352" s="11"/>
      <c r="Y352" s="11"/>
      <c r="Z352" s="11"/>
      <c r="AA352" s="12">
        <v>351</v>
      </c>
      <c r="AB352" s="12"/>
      <c r="AC352" s="11" t="s">
        <v>2029</v>
      </c>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row>
    <row r="353" spans="1:56" ht="70" x14ac:dyDescent="0.25">
      <c r="A353" s="11" t="s">
        <v>2143</v>
      </c>
      <c r="B353" s="11" t="s">
        <v>2144</v>
      </c>
      <c r="C353" s="11"/>
      <c r="D353" s="11" t="s">
        <v>91</v>
      </c>
      <c r="E353" s="11"/>
      <c r="F353" s="11"/>
      <c r="G353" s="11" t="s">
        <v>2145</v>
      </c>
      <c r="H353" s="11" t="s">
        <v>94</v>
      </c>
      <c r="I353" s="11" t="s">
        <v>180</v>
      </c>
      <c r="J353" s="11" t="s">
        <v>233</v>
      </c>
      <c r="K353" s="11"/>
      <c r="L353" s="11" t="s">
        <v>2146</v>
      </c>
      <c r="M353" s="11" t="s">
        <v>183</v>
      </c>
      <c r="N353" s="11" t="s">
        <v>100</v>
      </c>
      <c r="O353" s="11" t="s">
        <v>101</v>
      </c>
      <c r="P353" s="11" t="s">
        <v>102</v>
      </c>
      <c r="Q353" s="12">
        <v>114.069407</v>
      </c>
      <c r="R353" s="13">
        <v>22.650079000000002</v>
      </c>
      <c r="S353" s="11" t="s">
        <v>2147</v>
      </c>
      <c r="T353" s="11"/>
      <c r="U353" s="11" t="s">
        <v>104</v>
      </c>
      <c r="V353" s="11" t="s">
        <v>105</v>
      </c>
      <c r="W353" s="11" t="s">
        <v>106</v>
      </c>
      <c r="X353" s="11"/>
      <c r="Y353" s="11"/>
      <c r="Z353" s="11"/>
      <c r="AA353" s="12">
        <v>352</v>
      </c>
      <c r="AB353" s="12"/>
      <c r="AC353" s="11" t="s">
        <v>2029</v>
      </c>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row>
    <row r="354" spans="1:56" ht="42" x14ac:dyDescent="0.25">
      <c r="A354" s="11" t="s">
        <v>2148</v>
      </c>
      <c r="B354" s="11" t="s">
        <v>2149</v>
      </c>
      <c r="C354" s="11"/>
      <c r="D354" s="11" t="s">
        <v>91</v>
      </c>
      <c r="E354" s="11"/>
      <c r="F354" s="11"/>
      <c r="G354" s="11" t="s">
        <v>2150</v>
      </c>
      <c r="H354" s="11" t="s">
        <v>94</v>
      </c>
      <c r="I354" s="11" t="s">
        <v>180</v>
      </c>
      <c r="J354" s="11" t="s">
        <v>2048</v>
      </c>
      <c r="K354" s="11"/>
      <c r="L354" s="11" t="s">
        <v>2151</v>
      </c>
      <c r="M354" s="11" t="s">
        <v>183</v>
      </c>
      <c r="N354" s="11" t="s">
        <v>100</v>
      </c>
      <c r="O354" s="11" t="s">
        <v>101</v>
      </c>
      <c r="P354" s="11" t="s">
        <v>102</v>
      </c>
      <c r="Q354" s="12">
        <v>113.941771</v>
      </c>
      <c r="R354" s="13">
        <v>22.541581999999998</v>
      </c>
      <c r="S354" s="11" t="s">
        <v>2152</v>
      </c>
      <c r="T354" s="11"/>
      <c r="U354" s="11" t="s">
        <v>104</v>
      </c>
      <c r="V354" s="11" t="s">
        <v>105</v>
      </c>
      <c r="W354" s="11" t="s">
        <v>106</v>
      </c>
      <c r="X354" s="11"/>
      <c r="Y354" s="11"/>
      <c r="Z354" s="11"/>
      <c r="AA354" s="12">
        <v>353</v>
      </c>
      <c r="AB354" s="12"/>
      <c r="AC354" s="11" t="s">
        <v>2029</v>
      </c>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row>
    <row r="355" spans="1:56" ht="56" x14ac:dyDescent="0.25">
      <c r="A355" s="11" t="s">
        <v>2153</v>
      </c>
      <c r="B355" s="11" t="s">
        <v>2154</v>
      </c>
      <c r="C355" s="11"/>
      <c r="D355" s="11" t="s">
        <v>91</v>
      </c>
      <c r="E355" s="11"/>
      <c r="F355" s="11"/>
      <c r="G355" s="11" t="s">
        <v>2155</v>
      </c>
      <c r="H355" s="11" t="s">
        <v>94</v>
      </c>
      <c r="I355" s="11" t="s">
        <v>180</v>
      </c>
      <c r="J355" s="11" t="s">
        <v>181</v>
      </c>
      <c r="K355" s="11"/>
      <c r="L355" s="11" t="s">
        <v>2156</v>
      </c>
      <c r="M355" s="11" t="s">
        <v>183</v>
      </c>
      <c r="N355" s="11" t="s">
        <v>100</v>
      </c>
      <c r="O355" s="11" t="s">
        <v>101</v>
      </c>
      <c r="P355" s="11" t="s">
        <v>102</v>
      </c>
      <c r="Q355" s="12">
        <v>113.93123</v>
      </c>
      <c r="R355" s="13">
        <v>22.683022999999999</v>
      </c>
      <c r="S355" s="11" t="s">
        <v>2157</v>
      </c>
      <c r="T355" s="11"/>
      <c r="U355" s="11" t="s">
        <v>104</v>
      </c>
      <c r="V355" s="11" t="s">
        <v>105</v>
      </c>
      <c r="W355" s="11" t="s">
        <v>106</v>
      </c>
      <c r="X355" s="11"/>
      <c r="Y355" s="11"/>
      <c r="Z355" s="11"/>
      <c r="AA355" s="12">
        <v>354</v>
      </c>
      <c r="AB355" s="12"/>
      <c r="AC355" s="11" t="s">
        <v>2029</v>
      </c>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row>
    <row r="356" spans="1:56" ht="56" x14ac:dyDescent="0.25">
      <c r="A356" s="11" t="s">
        <v>2158</v>
      </c>
      <c r="B356" s="11" t="s">
        <v>2159</v>
      </c>
      <c r="C356" s="11"/>
      <c r="D356" s="11" t="s">
        <v>91</v>
      </c>
      <c r="E356" s="11"/>
      <c r="F356" s="11"/>
      <c r="G356" s="11" t="s">
        <v>2160</v>
      </c>
      <c r="H356" s="11" t="s">
        <v>94</v>
      </c>
      <c r="I356" s="11" t="s">
        <v>180</v>
      </c>
      <c r="J356" s="11" t="s">
        <v>181</v>
      </c>
      <c r="K356" s="11"/>
      <c r="L356" s="11" t="s">
        <v>2161</v>
      </c>
      <c r="M356" s="11" t="s">
        <v>183</v>
      </c>
      <c r="N356" s="11" t="s">
        <v>100</v>
      </c>
      <c r="O356" s="11" t="s">
        <v>101</v>
      </c>
      <c r="P356" s="11" t="s">
        <v>102</v>
      </c>
      <c r="Q356" s="12">
        <v>113.82143600000001</v>
      </c>
      <c r="R356" s="13">
        <v>22.727347999999999</v>
      </c>
      <c r="S356" s="11" t="s">
        <v>2162</v>
      </c>
      <c r="T356" s="11"/>
      <c r="U356" s="11" t="s">
        <v>104</v>
      </c>
      <c r="V356" s="11" t="s">
        <v>105</v>
      </c>
      <c r="W356" s="11" t="s">
        <v>106</v>
      </c>
      <c r="X356" s="11"/>
      <c r="Y356" s="11"/>
      <c r="Z356" s="11"/>
      <c r="AA356" s="12">
        <v>355</v>
      </c>
      <c r="AB356" s="12"/>
      <c r="AC356" s="11" t="s">
        <v>2029</v>
      </c>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row>
    <row r="357" spans="1:56" ht="42" x14ac:dyDescent="0.25">
      <c r="A357" s="11" t="s">
        <v>2163</v>
      </c>
      <c r="B357" s="11" t="s">
        <v>2164</v>
      </c>
      <c r="C357" s="11"/>
      <c r="D357" s="11" t="s">
        <v>91</v>
      </c>
      <c r="E357" s="11"/>
      <c r="F357" s="11"/>
      <c r="G357" s="11" t="s">
        <v>2165</v>
      </c>
      <c r="H357" s="11" t="s">
        <v>94</v>
      </c>
      <c r="I357" s="11" t="s">
        <v>180</v>
      </c>
      <c r="J357" s="11" t="s">
        <v>181</v>
      </c>
      <c r="K357" s="11"/>
      <c r="L357" s="11" t="s">
        <v>2166</v>
      </c>
      <c r="M357" s="11" t="s">
        <v>183</v>
      </c>
      <c r="N357" s="11" t="s">
        <v>100</v>
      </c>
      <c r="O357" s="11" t="s">
        <v>101</v>
      </c>
      <c r="P357" s="11" t="s">
        <v>102</v>
      </c>
      <c r="Q357" s="12"/>
      <c r="R357" s="13"/>
      <c r="S357" s="11" t="s">
        <v>2167</v>
      </c>
      <c r="T357" s="11"/>
      <c r="U357" s="11" t="s">
        <v>104</v>
      </c>
      <c r="V357" s="11" t="s">
        <v>105</v>
      </c>
      <c r="W357" s="11" t="s">
        <v>106</v>
      </c>
      <c r="X357" s="11"/>
      <c r="Y357" s="11"/>
      <c r="Z357" s="11"/>
      <c r="AA357" s="12">
        <v>356</v>
      </c>
      <c r="AB357" s="12"/>
      <c r="AC357" s="11" t="s">
        <v>2029</v>
      </c>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row>
    <row r="358" spans="1:56" ht="70" x14ac:dyDescent="0.25">
      <c r="A358" s="11" t="s">
        <v>2168</v>
      </c>
      <c r="B358" s="11" t="s">
        <v>2169</v>
      </c>
      <c r="C358" s="11"/>
      <c r="D358" s="11" t="s">
        <v>91</v>
      </c>
      <c r="E358" s="11"/>
      <c r="F358" s="11"/>
      <c r="G358" s="11" t="s">
        <v>2170</v>
      </c>
      <c r="H358" s="11" t="s">
        <v>94</v>
      </c>
      <c r="I358" s="11" t="s">
        <v>180</v>
      </c>
      <c r="J358" s="11" t="s">
        <v>1694</v>
      </c>
      <c r="K358" s="11"/>
      <c r="L358" s="11" t="s">
        <v>2171</v>
      </c>
      <c r="M358" s="11" t="s">
        <v>183</v>
      </c>
      <c r="N358" s="11" t="s">
        <v>100</v>
      </c>
      <c r="O358" s="11" t="s">
        <v>101</v>
      </c>
      <c r="P358" s="11" t="s">
        <v>102</v>
      </c>
      <c r="Q358" s="12">
        <v>114.347735</v>
      </c>
      <c r="R358" s="13">
        <v>22.678559</v>
      </c>
      <c r="S358" s="11" t="s">
        <v>2172</v>
      </c>
      <c r="T358" s="11"/>
      <c r="U358" s="11" t="s">
        <v>104</v>
      </c>
      <c r="V358" s="11" t="s">
        <v>105</v>
      </c>
      <c r="W358" s="11" t="s">
        <v>106</v>
      </c>
      <c r="X358" s="11"/>
      <c r="Y358" s="11"/>
      <c r="Z358" s="11"/>
      <c r="AA358" s="12">
        <v>357</v>
      </c>
      <c r="AB358" s="12"/>
      <c r="AC358" s="11" t="s">
        <v>2029</v>
      </c>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row>
    <row r="359" spans="1:56" ht="42" x14ac:dyDescent="0.25">
      <c r="A359" s="11" t="s">
        <v>2173</v>
      </c>
      <c r="B359" s="11" t="s">
        <v>2174</v>
      </c>
      <c r="C359" s="11"/>
      <c r="D359" s="11" t="s">
        <v>91</v>
      </c>
      <c r="E359" s="11"/>
      <c r="F359" s="11" t="s">
        <v>2174</v>
      </c>
      <c r="G359" s="11" t="s">
        <v>2175</v>
      </c>
      <c r="H359" s="11" t="s">
        <v>94</v>
      </c>
      <c r="I359" s="11" t="s">
        <v>180</v>
      </c>
      <c r="J359" s="11" t="s">
        <v>233</v>
      </c>
      <c r="K359" s="11"/>
      <c r="L359" s="11" t="s">
        <v>2176</v>
      </c>
      <c r="M359" s="11" t="s">
        <v>183</v>
      </c>
      <c r="N359" s="11" t="s">
        <v>100</v>
      </c>
      <c r="O359" s="11" t="s">
        <v>101</v>
      </c>
      <c r="P359" s="11" t="s">
        <v>102</v>
      </c>
      <c r="Q359" s="12">
        <v>114.258235</v>
      </c>
      <c r="R359" s="13">
        <v>22.711404999999999</v>
      </c>
      <c r="S359" s="11" t="s">
        <v>2177</v>
      </c>
      <c r="T359" s="11"/>
      <c r="U359" s="11" t="s">
        <v>104</v>
      </c>
      <c r="V359" s="11" t="s">
        <v>105</v>
      </c>
      <c r="W359" s="11" t="s">
        <v>106</v>
      </c>
      <c r="X359" s="11"/>
      <c r="Y359" s="11"/>
      <c r="Z359" s="11"/>
      <c r="AA359" s="12">
        <v>358</v>
      </c>
      <c r="AB359" s="12"/>
      <c r="AC359" s="11" t="s">
        <v>2029</v>
      </c>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row>
    <row r="360" spans="1:56" ht="56" x14ac:dyDescent="0.25">
      <c r="A360" s="11" t="s">
        <v>2178</v>
      </c>
      <c r="B360" s="11" t="s">
        <v>2179</v>
      </c>
      <c r="C360" s="11"/>
      <c r="D360" s="11" t="s">
        <v>91</v>
      </c>
      <c r="E360" s="11"/>
      <c r="F360" s="11"/>
      <c r="G360" s="11" t="s">
        <v>2180</v>
      </c>
      <c r="H360" s="11" t="s">
        <v>94</v>
      </c>
      <c r="I360" s="11" t="s">
        <v>180</v>
      </c>
      <c r="J360" s="11" t="s">
        <v>181</v>
      </c>
      <c r="K360" s="11"/>
      <c r="L360" s="11" t="s">
        <v>2181</v>
      </c>
      <c r="M360" s="11" t="s">
        <v>183</v>
      </c>
      <c r="N360" s="11" t="s">
        <v>100</v>
      </c>
      <c r="O360" s="11" t="s">
        <v>101</v>
      </c>
      <c r="P360" s="11" t="s">
        <v>102</v>
      </c>
      <c r="Q360" s="12">
        <v>113.84657199999999</v>
      </c>
      <c r="R360" s="13">
        <v>22.611433000000002</v>
      </c>
      <c r="S360" s="11" t="s">
        <v>2182</v>
      </c>
      <c r="T360" s="11"/>
      <c r="U360" s="11" t="s">
        <v>104</v>
      </c>
      <c r="V360" s="11" t="s">
        <v>105</v>
      </c>
      <c r="W360" s="11" t="s">
        <v>106</v>
      </c>
      <c r="X360" s="11"/>
      <c r="Y360" s="11"/>
      <c r="Z360" s="11"/>
      <c r="AA360" s="12">
        <v>359</v>
      </c>
      <c r="AB360" s="12"/>
      <c r="AC360" s="11" t="s">
        <v>2029</v>
      </c>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row>
    <row r="361" spans="1:56" ht="56" x14ac:dyDescent="0.25">
      <c r="A361" s="11" t="s">
        <v>2183</v>
      </c>
      <c r="B361" s="11" t="s">
        <v>2184</v>
      </c>
      <c r="C361" s="11"/>
      <c r="D361" s="11" t="s">
        <v>91</v>
      </c>
      <c r="E361" s="11" t="s">
        <v>92</v>
      </c>
      <c r="F361" s="11" t="s">
        <v>2185</v>
      </c>
      <c r="G361" s="11" t="s">
        <v>2186</v>
      </c>
      <c r="H361" s="11" t="s">
        <v>94</v>
      </c>
      <c r="I361" s="11" t="s">
        <v>343</v>
      </c>
      <c r="J361" s="11" t="s">
        <v>411</v>
      </c>
      <c r="K361" s="11" t="s">
        <v>2187</v>
      </c>
      <c r="L361" s="11" t="s">
        <v>2188</v>
      </c>
      <c r="M361" s="11" t="s">
        <v>133</v>
      </c>
      <c r="N361" s="11" t="s">
        <v>100</v>
      </c>
      <c r="O361" s="11" t="s">
        <v>101</v>
      </c>
      <c r="P361" s="11" t="s">
        <v>102</v>
      </c>
      <c r="Q361" s="12" t="s">
        <v>103</v>
      </c>
      <c r="R361" s="13" t="s">
        <v>103</v>
      </c>
      <c r="S361" s="11"/>
      <c r="T361" s="11"/>
      <c r="U361" s="11" t="s">
        <v>104</v>
      </c>
      <c r="V361" s="11" t="s">
        <v>105</v>
      </c>
      <c r="W361" s="11" t="s">
        <v>106</v>
      </c>
      <c r="X361" s="11"/>
      <c r="Y361" s="11"/>
      <c r="Z361" s="11"/>
      <c r="AA361" s="12">
        <v>360</v>
      </c>
      <c r="AB361" s="12"/>
      <c r="AC361" s="11" t="s">
        <v>2189</v>
      </c>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row>
    <row r="362" spans="1:56" ht="42" x14ac:dyDescent="0.25">
      <c r="A362" s="11" t="s">
        <v>2190</v>
      </c>
      <c r="B362" s="11" t="s">
        <v>2191</v>
      </c>
      <c r="C362" s="11"/>
      <c r="D362" s="11" t="s">
        <v>91</v>
      </c>
      <c r="E362" s="11" t="s">
        <v>92</v>
      </c>
      <c r="F362" s="11" t="s">
        <v>2192</v>
      </c>
      <c r="G362" s="11" t="s">
        <v>2193</v>
      </c>
      <c r="H362" s="11" t="s">
        <v>94</v>
      </c>
      <c r="I362" s="11" t="s">
        <v>121</v>
      </c>
      <c r="J362" s="11" t="s">
        <v>2007</v>
      </c>
      <c r="K362" s="11" t="s">
        <v>123</v>
      </c>
      <c r="L362" s="11" t="s">
        <v>2194</v>
      </c>
      <c r="M362" s="11" t="s">
        <v>133</v>
      </c>
      <c r="N362" s="11" t="s">
        <v>100</v>
      </c>
      <c r="O362" s="11" t="s">
        <v>101</v>
      </c>
      <c r="P362" s="11" t="s">
        <v>102</v>
      </c>
      <c r="Q362" s="12" t="s">
        <v>103</v>
      </c>
      <c r="R362" s="13" t="s">
        <v>103</v>
      </c>
      <c r="S362" s="11"/>
      <c r="T362" s="11"/>
      <c r="U362" s="11" t="s">
        <v>104</v>
      </c>
      <c r="V362" s="11" t="s">
        <v>105</v>
      </c>
      <c r="W362" s="11" t="s">
        <v>106</v>
      </c>
      <c r="X362" s="11"/>
      <c r="Y362" s="11"/>
      <c r="Z362" s="11"/>
      <c r="AA362" s="12">
        <v>361</v>
      </c>
      <c r="AB362" s="12"/>
      <c r="AC362" s="11" t="s">
        <v>2189</v>
      </c>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row>
    <row r="363" spans="1:56" ht="42" x14ac:dyDescent="0.25">
      <c r="A363" s="11" t="s">
        <v>2195</v>
      </c>
      <c r="B363" s="11" t="s">
        <v>2196</v>
      </c>
      <c r="C363" s="11"/>
      <c r="D363" s="11" t="s">
        <v>91</v>
      </c>
      <c r="E363" s="11"/>
      <c r="F363" s="11" t="s">
        <v>1692</v>
      </c>
      <c r="G363" s="11" t="s">
        <v>2197</v>
      </c>
      <c r="H363" s="11" t="s">
        <v>94</v>
      </c>
      <c r="I363" s="11" t="s">
        <v>121</v>
      </c>
      <c r="J363" s="11" t="s">
        <v>971</v>
      </c>
      <c r="K363" s="11" t="s">
        <v>123</v>
      </c>
      <c r="L363" s="11" t="s">
        <v>2198</v>
      </c>
      <c r="M363" s="11" t="s">
        <v>2019</v>
      </c>
      <c r="N363" s="11" t="s">
        <v>100</v>
      </c>
      <c r="O363" s="11" t="s">
        <v>155</v>
      </c>
      <c r="P363" s="11" t="s">
        <v>102</v>
      </c>
      <c r="Q363" s="12" t="s">
        <v>103</v>
      </c>
      <c r="R363" s="13" t="s">
        <v>103</v>
      </c>
      <c r="S363" s="11"/>
      <c r="T363" s="11"/>
      <c r="U363" s="11" t="s">
        <v>104</v>
      </c>
      <c r="V363" s="11" t="s">
        <v>105</v>
      </c>
      <c r="W363" s="11" t="s">
        <v>106</v>
      </c>
      <c r="X363" s="11"/>
      <c r="Y363" s="11"/>
      <c r="Z363" s="11"/>
      <c r="AA363" s="12">
        <v>362</v>
      </c>
      <c r="AB363" s="12"/>
      <c r="AC363" s="11" t="s">
        <v>107</v>
      </c>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row>
    <row r="364" spans="1:56" ht="70" x14ac:dyDescent="0.25">
      <c r="A364" s="11" t="s">
        <v>2199</v>
      </c>
      <c r="B364" s="11" t="s">
        <v>2200</v>
      </c>
      <c r="C364" s="11"/>
      <c r="D364" s="11" t="s">
        <v>91</v>
      </c>
      <c r="E364" s="11"/>
      <c r="F364" s="11" t="s">
        <v>2201</v>
      </c>
      <c r="G364" s="11" t="s">
        <v>2202</v>
      </c>
      <c r="H364" s="11" t="s">
        <v>94</v>
      </c>
      <c r="I364" s="11" t="s">
        <v>180</v>
      </c>
      <c r="J364" s="11" t="s">
        <v>233</v>
      </c>
      <c r="K364" s="11"/>
      <c r="L364" s="11" t="s">
        <v>2203</v>
      </c>
      <c r="M364" s="11" t="s">
        <v>183</v>
      </c>
      <c r="N364" s="11" t="s">
        <v>100</v>
      </c>
      <c r="O364" s="11" t="s">
        <v>101</v>
      </c>
      <c r="P364" s="11" t="s">
        <v>102</v>
      </c>
      <c r="Q364" s="12" t="s">
        <v>103</v>
      </c>
      <c r="R364" s="13" t="s">
        <v>103</v>
      </c>
      <c r="S364" s="11"/>
      <c r="T364" s="11"/>
      <c r="U364" s="11" t="s">
        <v>104</v>
      </c>
      <c r="V364" s="11" t="s">
        <v>105</v>
      </c>
      <c r="W364" s="11" t="s">
        <v>106</v>
      </c>
      <c r="X364" s="11"/>
      <c r="Y364" s="11"/>
      <c r="Z364" s="11"/>
      <c r="AA364" s="12">
        <v>363</v>
      </c>
      <c r="AB364" s="12"/>
      <c r="AC364" s="11" t="s">
        <v>2204</v>
      </c>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row>
    <row r="365" spans="1:56" ht="56" x14ac:dyDescent="0.25">
      <c r="A365" s="11" t="s">
        <v>2205</v>
      </c>
      <c r="B365" s="11" t="s">
        <v>2206</v>
      </c>
      <c r="C365" s="11"/>
      <c r="D365" s="11" t="s">
        <v>91</v>
      </c>
      <c r="E365" s="11"/>
      <c r="F365" s="11" t="s">
        <v>2207</v>
      </c>
      <c r="G365" s="11" t="s">
        <v>2208</v>
      </c>
      <c r="H365" s="11" t="s">
        <v>94</v>
      </c>
      <c r="I365" s="11" t="s">
        <v>180</v>
      </c>
      <c r="J365" s="11" t="s">
        <v>1945</v>
      </c>
      <c r="K365" s="11"/>
      <c r="L365" s="11" t="s">
        <v>2209</v>
      </c>
      <c r="M365" s="11" t="s">
        <v>183</v>
      </c>
      <c r="N365" s="11" t="s">
        <v>100</v>
      </c>
      <c r="O365" s="11" t="s">
        <v>101</v>
      </c>
      <c r="P365" s="11" t="s">
        <v>102</v>
      </c>
      <c r="Q365" s="12" t="s">
        <v>103</v>
      </c>
      <c r="R365" s="13" t="s">
        <v>103</v>
      </c>
      <c r="S365" s="11"/>
      <c r="T365" s="11"/>
      <c r="U365" s="11" t="s">
        <v>104</v>
      </c>
      <c r="V365" s="11" t="s">
        <v>105</v>
      </c>
      <c r="W365" s="11" t="s">
        <v>106</v>
      </c>
      <c r="X365" s="11"/>
      <c r="Y365" s="11"/>
      <c r="Z365" s="11"/>
      <c r="AA365" s="12">
        <v>364</v>
      </c>
      <c r="AB365" s="12"/>
      <c r="AC365" s="11" t="s">
        <v>2204</v>
      </c>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row>
    <row r="366" spans="1:56" ht="70" x14ac:dyDescent="0.25">
      <c r="A366" s="11" t="s">
        <v>2210</v>
      </c>
      <c r="B366" s="11" t="s">
        <v>2211</v>
      </c>
      <c r="C366" s="11"/>
      <c r="D366" s="11" t="s">
        <v>91</v>
      </c>
      <c r="E366" s="11"/>
      <c r="F366" s="11" t="s">
        <v>2204</v>
      </c>
      <c r="G366" s="11" t="s">
        <v>2212</v>
      </c>
      <c r="H366" s="11" t="s">
        <v>94</v>
      </c>
      <c r="I366" s="11" t="s">
        <v>180</v>
      </c>
      <c r="J366" s="11" t="s">
        <v>2048</v>
      </c>
      <c r="K366" s="11"/>
      <c r="L366" s="11" t="s">
        <v>2213</v>
      </c>
      <c r="M366" s="11" t="s">
        <v>183</v>
      </c>
      <c r="N366" s="11" t="s">
        <v>100</v>
      </c>
      <c r="O366" s="11" t="s">
        <v>101</v>
      </c>
      <c r="P366" s="11" t="s">
        <v>102</v>
      </c>
      <c r="Q366" s="12" t="s">
        <v>103</v>
      </c>
      <c r="R366" s="13" t="s">
        <v>103</v>
      </c>
      <c r="S366" s="11"/>
      <c r="T366" s="11"/>
      <c r="U366" s="11" t="s">
        <v>104</v>
      </c>
      <c r="V366" s="11" t="s">
        <v>105</v>
      </c>
      <c r="W366" s="11" t="s">
        <v>106</v>
      </c>
      <c r="X366" s="11"/>
      <c r="Y366" s="11"/>
      <c r="Z366" s="11"/>
      <c r="AA366" s="12">
        <v>365</v>
      </c>
      <c r="AB366" s="12"/>
      <c r="AC366" s="11" t="s">
        <v>2204</v>
      </c>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row>
    <row r="367" spans="1:56" ht="56" x14ac:dyDescent="0.25">
      <c r="A367" s="11" t="s">
        <v>2214</v>
      </c>
      <c r="B367" s="11" t="s">
        <v>2215</v>
      </c>
      <c r="C367" s="11"/>
      <c r="D367" s="11" t="s">
        <v>91</v>
      </c>
      <c r="E367" s="11"/>
      <c r="F367" s="11" t="s">
        <v>2216</v>
      </c>
      <c r="G367" s="11" t="s">
        <v>2217</v>
      </c>
      <c r="H367" s="11" t="s">
        <v>94</v>
      </c>
      <c r="I367" s="11" t="s">
        <v>180</v>
      </c>
      <c r="J367" s="11" t="s">
        <v>2218</v>
      </c>
      <c r="K367" s="11"/>
      <c r="L367" s="11" t="s">
        <v>2219</v>
      </c>
      <c r="M367" s="11" t="s">
        <v>183</v>
      </c>
      <c r="N367" s="11" t="s">
        <v>100</v>
      </c>
      <c r="O367" s="11" t="s">
        <v>101</v>
      </c>
      <c r="P367" s="11" t="s">
        <v>102</v>
      </c>
      <c r="Q367" s="12" t="s">
        <v>103</v>
      </c>
      <c r="R367" s="13" t="s">
        <v>103</v>
      </c>
      <c r="S367" s="11"/>
      <c r="T367" s="11"/>
      <c r="U367" s="11" t="s">
        <v>104</v>
      </c>
      <c r="V367" s="11" t="s">
        <v>105</v>
      </c>
      <c r="W367" s="11" t="s">
        <v>106</v>
      </c>
      <c r="X367" s="11"/>
      <c r="Y367" s="11"/>
      <c r="Z367" s="11"/>
      <c r="AA367" s="12">
        <v>366</v>
      </c>
      <c r="AB367" s="12"/>
      <c r="AC367" s="11" t="s">
        <v>2204</v>
      </c>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row>
    <row r="368" spans="1:56" ht="56" x14ac:dyDescent="0.25">
      <c r="A368" s="11" t="s">
        <v>2220</v>
      </c>
      <c r="B368" s="11" t="s">
        <v>2221</v>
      </c>
      <c r="C368" s="11"/>
      <c r="D368" s="11" t="s">
        <v>91</v>
      </c>
      <c r="E368" s="11"/>
      <c r="F368" s="11" t="s">
        <v>2222</v>
      </c>
      <c r="G368" s="11" t="s">
        <v>2223</v>
      </c>
      <c r="H368" s="11" t="s">
        <v>94</v>
      </c>
      <c r="I368" s="11" t="s">
        <v>180</v>
      </c>
      <c r="J368" s="11" t="s">
        <v>181</v>
      </c>
      <c r="K368" s="11"/>
      <c r="L368" s="11" t="s">
        <v>2224</v>
      </c>
      <c r="M368" s="11" t="s">
        <v>183</v>
      </c>
      <c r="N368" s="11" t="s">
        <v>100</v>
      </c>
      <c r="O368" s="11" t="s">
        <v>101</v>
      </c>
      <c r="P368" s="11" t="s">
        <v>102</v>
      </c>
      <c r="Q368" s="12" t="s">
        <v>103</v>
      </c>
      <c r="R368" s="13" t="s">
        <v>103</v>
      </c>
      <c r="S368" s="11"/>
      <c r="T368" s="11"/>
      <c r="U368" s="11" t="s">
        <v>104</v>
      </c>
      <c r="V368" s="11" t="s">
        <v>105</v>
      </c>
      <c r="W368" s="11" t="s">
        <v>106</v>
      </c>
      <c r="X368" s="11"/>
      <c r="Y368" s="11"/>
      <c r="Z368" s="11"/>
      <c r="AA368" s="12">
        <v>367</v>
      </c>
      <c r="AB368" s="12"/>
      <c r="AC368" s="11" t="s">
        <v>2204</v>
      </c>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row>
    <row r="369" spans="1:56" ht="56" x14ac:dyDescent="0.25">
      <c r="A369" s="11" t="s">
        <v>2225</v>
      </c>
      <c r="B369" s="11" t="s">
        <v>2226</v>
      </c>
      <c r="C369" s="11"/>
      <c r="D369" s="11" t="s">
        <v>91</v>
      </c>
      <c r="E369" s="11"/>
      <c r="F369" s="11" t="s">
        <v>2227</v>
      </c>
      <c r="G369" s="11" t="s">
        <v>2228</v>
      </c>
      <c r="H369" s="11" t="s">
        <v>94</v>
      </c>
      <c r="I369" s="11" t="s">
        <v>180</v>
      </c>
      <c r="J369" s="11" t="s">
        <v>1945</v>
      </c>
      <c r="K369" s="11"/>
      <c r="L369" s="11" t="s">
        <v>2229</v>
      </c>
      <c r="M369" s="11" t="s">
        <v>183</v>
      </c>
      <c r="N369" s="11" t="s">
        <v>100</v>
      </c>
      <c r="O369" s="11" t="s">
        <v>101</v>
      </c>
      <c r="P369" s="11" t="s">
        <v>102</v>
      </c>
      <c r="Q369" s="12" t="s">
        <v>103</v>
      </c>
      <c r="R369" s="13" t="s">
        <v>103</v>
      </c>
      <c r="S369" s="11"/>
      <c r="T369" s="11"/>
      <c r="U369" s="11" t="s">
        <v>104</v>
      </c>
      <c r="V369" s="11" t="s">
        <v>105</v>
      </c>
      <c r="W369" s="11" t="s">
        <v>106</v>
      </c>
      <c r="X369" s="11"/>
      <c r="Y369" s="11"/>
      <c r="Z369" s="11"/>
      <c r="AA369" s="12">
        <v>368</v>
      </c>
      <c r="AB369" s="12"/>
      <c r="AC369" s="11" t="s">
        <v>2204</v>
      </c>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row>
    <row r="370" spans="1:56" ht="56" x14ac:dyDescent="0.25">
      <c r="A370" s="11" t="s">
        <v>2230</v>
      </c>
      <c r="B370" s="11" t="s">
        <v>2231</v>
      </c>
      <c r="C370" s="11"/>
      <c r="D370" s="11" t="s">
        <v>91</v>
      </c>
      <c r="E370" s="11"/>
      <c r="F370" s="11" t="s">
        <v>2232</v>
      </c>
      <c r="G370" s="11" t="s">
        <v>2233</v>
      </c>
      <c r="H370" s="11" t="s">
        <v>94</v>
      </c>
      <c r="I370" s="11" t="s">
        <v>180</v>
      </c>
      <c r="J370" s="11" t="s">
        <v>2064</v>
      </c>
      <c r="K370" s="11"/>
      <c r="L370" s="11" t="s">
        <v>2234</v>
      </c>
      <c r="M370" s="11" t="s">
        <v>183</v>
      </c>
      <c r="N370" s="11" t="s">
        <v>100</v>
      </c>
      <c r="O370" s="11" t="s">
        <v>101</v>
      </c>
      <c r="P370" s="11" t="s">
        <v>102</v>
      </c>
      <c r="Q370" s="12" t="s">
        <v>103</v>
      </c>
      <c r="R370" s="13" t="s">
        <v>103</v>
      </c>
      <c r="S370" s="11"/>
      <c r="T370" s="11"/>
      <c r="U370" s="11" t="s">
        <v>104</v>
      </c>
      <c r="V370" s="11" t="s">
        <v>105</v>
      </c>
      <c r="W370" s="11" t="s">
        <v>106</v>
      </c>
      <c r="X370" s="11"/>
      <c r="Y370" s="11"/>
      <c r="Z370" s="11"/>
      <c r="AA370" s="12">
        <v>369</v>
      </c>
      <c r="AB370" s="12"/>
      <c r="AC370" s="11" t="s">
        <v>2204</v>
      </c>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row>
    <row r="371" spans="1:56" ht="56" x14ac:dyDescent="0.25">
      <c r="A371" s="11" t="s">
        <v>2235</v>
      </c>
      <c r="B371" s="11" t="s">
        <v>2236</v>
      </c>
      <c r="C371" s="11"/>
      <c r="D371" s="11" t="s">
        <v>91</v>
      </c>
      <c r="E371" s="11"/>
      <c r="F371" s="11" t="s">
        <v>2237</v>
      </c>
      <c r="G371" s="11" t="s">
        <v>2238</v>
      </c>
      <c r="H371" s="11" t="s">
        <v>94</v>
      </c>
      <c r="I371" s="11" t="s">
        <v>180</v>
      </c>
      <c r="J371" s="11" t="s">
        <v>2064</v>
      </c>
      <c r="K371" s="11"/>
      <c r="L371" s="11" t="s">
        <v>2239</v>
      </c>
      <c r="M371" s="11" t="s">
        <v>183</v>
      </c>
      <c r="N371" s="11" t="s">
        <v>100</v>
      </c>
      <c r="O371" s="11" t="s">
        <v>101</v>
      </c>
      <c r="P371" s="11" t="s">
        <v>102</v>
      </c>
      <c r="Q371" s="12" t="s">
        <v>103</v>
      </c>
      <c r="R371" s="13" t="s">
        <v>103</v>
      </c>
      <c r="S371" s="11"/>
      <c r="T371" s="11"/>
      <c r="U371" s="11" t="s">
        <v>104</v>
      </c>
      <c r="V371" s="11" t="s">
        <v>105</v>
      </c>
      <c r="W371" s="11" t="s">
        <v>106</v>
      </c>
      <c r="X371" s="11"/>
      <c r="Y371" s="11"/>
      <c r="Z371" s="11"/>
      <c r="AA371" s="12">
        <v>370</v>
      </c>
      <c r="AB371" s="12"/>
      <c r="AC371" s="11" t="s">
        <v>2204</v>
      </c>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row>
    <row r="372" spans="1:56" ht="56" x14ac:dyDescent="0.25">
      <c r="A372" s="11" t="s">
        <v>2240</v>
      </c>
      <c r="B372" s="11" t="s">
        <v>2241</v>
      </c>
      <c r="C372" s="11"/>
      <c r="D372" s="11" t="s">
        <v>91</v>
      </c>
      <c r="E372" s="11"/>
      <c r="F372" s="11" t="s">
        <v>2242</v>
      </c>
      <c r="G372" s="11" t="s">
        <v>2243</v>
      </c>
      <c r="H372" s="11" t="s">
        <v>94</v>
      </c>
      <c r="I372" s="11" t="s">
        <v>180</v>
      </c>
      <c r="J372" s="11" t="s">
        <v>2064</v>
      </c>
      <c r="K372" s="11"/>
      <c r="L372" s="11" t="s">
        <v>2244</v>
      </c>
      <c r="M372" s="11" t="s">
        <v>183</v>
      </c>
      <c r="N372" s="11" t="s">
        <v>100</v>
      </c>
      <c r="O372" s="11" t="s">
        <v>101</v>
      </c>
      <c r="P372" s="11" t="s">
        <v>102</v>
      </c>
      <c r="Q372" s="12" t="s">
        <v>103</v>
      </c>
      <c r="R372" s="13" t="s">
        <v>103</v>
      </c>
      <c r="S372" s="11"/>
      <c r="T372" s="11"/>
      <c r="U372" s="11" t="s">
        <v>104</v>
      </c>
      <c r="V372" s="11" t="s">
        <v>105</v>
      </c>
      <c r="W372" s="11" t="s">
        <v>106</v>
      </c>
      <c r="X372" s="11"/>
      <c r="Y372" s="11"/>
      <c r="Z372" s="11"/>
      <c r="AA372" s="12">
        <v>371</v>
      </c>
      <c r="AB372" s="12"/>
      <c r="AC372" s="11" t="s">
        <v>2204</v>
      </c>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row>
    <row r="373" spans="1:56" ht="56" x14ac:dyDescent="0.25">
      <c r="A373" s="11" t="s">
        <v>2245</v>
      </c>
      <c r="B373" s="11" t="s">
        <v>2246</v>
      </c>
      <c r="C373" s="11"/>
      <c r="D373" s="11" t="s">
        <v>91</v>
      </c>
      <c r="E373" s="11"/>
      <c r="F373" s="11" t="s">
        <v>2247</v>
      </c>
      <c r="G373" s="11" t="s">
        <v>2248</v>
      </c>
      <c r="H373" s="11" t="s">
        <v>94</v>
      </c>
      <c r="I373" s="11" t="s">
        <v>180</v>
      </c>
      <c r="J373" s="11" t="s">
        <v>2048</v>
      </c>
      <c r="K373" s="11"/>
      <c r="L373" s="11" t="s">
        <v>2249</v>
      </c>
      <c r="M373" s="11" t="s">
        <v>183</v>
      </c>
      <c r="N373" s="11" t="s">
        <v>100</v>
      </c>
      <c r="O373" s="11" t="s">
        <v>101</v>
      </c>
      <c r="P373" s="11" t="s">
        <v>102</v>
      </c>
      <c r="Q373" s="12" t="s">
        <v>103</v>
      </c>
      <c r="R373" s="13" t="s">
        <v>103</v>
      </c>
      <c r="S373" s="11"/>
      <c r="T373" s="11"/>
      <c r="U373" s="11" t="s">
        <v>104</v>
      </c>
      <c r="V373" s="11" t="s">
        <v>105</v>
      </c>
      <c r="W373" s="11" t="s">
        <v>106</v>
      </c>
      <c r="X373" s="11"/>
      <c r="Y373" s="11"/>
      <c r="Z373" s="11"/>
      <c r="AA373" s="12">
        <v>372</v>
      </c>
      <c r="AB373" s="12"/>
      <c r="AC373" s="11" t="s">
        <v>2204</v>
      </c>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row>
    <row r="374" spans="1:56" ht="70" x14ac:dyDescent="0.25">
      <c r="A374" s="11" t="s">
        <v>2250</v>
      </c>
      <c r="B374" s="11" t="s">
        <v>2251</v>
      </c>
      <c r="C374" s="11"/>
      <c r="D374" s="11" t="s">
        <v>91</v>
      </c>
      <c r="E374" s="11"/>
      <c r="F374" s="11" t="s">
        <v>2252</v>
      </c>
      <c r="G374" s="11" t="s">
        <v>2253</v>
      </c>
      <c r="H374" s="11" t="s">
        <v>94</v>
      </c>
      <c r="I374" s="11" t="s">
        <v>180</v>
      </c>
      <c r="J374" s="11" t="s">
        <v>181</v>
      </c>
      <c r="K374" s="11"/>
      <c r="L374" s="11" t="s">
        <v>2254</v>
      </c>
      <c r="M374" s="11" t="s">
        <v>183</v>
      </c>
      <c r="N374" s="11" t="s">
        <v>100</v>
      </c>
      <c r="O374" s="11" t="s">
        <v>101</v>
      </c>
      <c r="P374" s="11" t="s">
        <v>102</v>
      </c>
      <c r="Q374" s="12" t="s">
        <v>103</v>
      </c>
      <c r="R374" s="13" t="s">
        <v>103</v>
      </c>
      <c r="S374" s="11"/>
      <c r="T374" s="11"/>
      <c r="U374" s="11" t="s">
        <v>104</v>
      </c>
      <c r="V374" s="11" t="s">
        <v>105</v>
      </c>
      <c r="W374" s="11" t="s">
        <v>106</v>
      </c>
      <c r="X374" s="11"/>
      <c r="Y374" s="11"/>
      <c r="Z374" s="11"/>
      <c r="AA374" s="12">
        <v>373</v>
      </c>
      <c r="AB374" s="12"/>
      <c r="AC374" s="11" t="s">
        <v>2204</v>
      </c>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row>
    <row r="375" spans="1:56" ht="56" x14ac:dyDescent="0.25">
      <c r="A375" s="11" t="s">
        <v>2255</v>
      </c>
      <c r="B375" s="11" t="s">
        <v>2256</v>
      </c>
      <c r="C375" s="11"/>
      <c r="D375" s="11" t="s">
        <v>91</v>
      </c>
      <c r="E375" s="11"/>
      <c r="F375" s="11" t="s">
        <v>2257</v>
      </c>
      <c r="G375" s="11" t="s">
        <v>2258</v>
      </c>
      <c r="H375" s="11" t="s">
        <v>94</v>
      </c>
      <c r="I375" s="11" t="s">
        <v>121</v>
      </c>
      <c r="J375" s="11" t="s">
        <v>122</v>
      </c>
      <c r="K375" s="11"/>
      <c r="L375" s="11" t="s">
        <v>2259</v>
      </c>
      <c r="M375" s="11" t="s">
        <v>183</v>
      </c>
      <c r="N375" s="11" t="s">
        <v>100</v>
      </c>
      <c r="O375" s="11" t="s">
        <v>101</v>
      </c>
      <c r="P375" s="11" t="s">
        <v>102</v>
      </c>
      <c r="Q375" s="12" t="s">
        <v>103</v>
      </c>
      <c r="R375" s="13" t="s">
        <v>103</v>
      </c>
      <c r="S375" s="11"/>
      <c r="T375" s="11"/>
      <c r="U375" s="11" t="s">
        <v>104</v>
      </c>
      <c r="V375" s="11" t="s">
        <v>105</v>
      </c>
      <c r="W375" s="11" t="s">
        <v>106</v>
      </c>
      <c r="X375" s="11"/>
      <c r="Y375" s="11"/>
      <c r="Z375" s="11"/>
      <c r="AA375" s="12">
        <v>374</v>
      </c>
      <c r="AB375" s="12"/>
      <c r="AC375" s="11" t="s">
        <v>2204</v>
      </c>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row>
    <row r="376" spans="1:56" ht="56" x14ac:dyDescent="0.25">
      <c r="A376" s="11" t="s">
        <v>2260</v>
      </c>
      <c r="B376" s="11" t="s">
        <v>2261</v>
      </c>
      <c r="C376" s="11"/>
      <c r="D376" s="11" t="s">
        <v>91</v>
      </c>
      <c r="E376" s="11"/>
      <c r="F376" s="11" t="s">
        <v>2262</v>
      </c>
      <c r="G376" s="11" t="s">
        <v>2263</v>
      </c>
      <c r="H376" s="11" t="s">
        <v>94</v>
      </c>
      <c r="I376" s="11" t="s">
        <v>121</v>
      </c>
      <c r="J376" s="11" t="s">
        <v>2264</v>
      </c>
      <c r="K376" s="11"/>
      <c r="L376" s="11" t="s">
        <v>2265</v>
      </c>
      <c r="M376" s="11" t="s">
        <v>183</v>
      </c>
      <c r="N376" s="11" t="s">
        <v>100</v>
      </c>
      <c r="O376" s="11" t="s">
        <v>101</v>
      </c>
      <c r="P376" s="11" t="s">
        <v>102</v>
      </c>
      <c r="Q376" s="12" t="s">
        <v>103</v>
      </c>
      <c r="R376" s="13" t="s">
        <v>103</v>
      </c>
      <c r="S376" s="11"/>
      <c r="T376" s="11"/>
      <c r="U376" s="11" t="s">
        <v>104</v>
      </c>
      <c r="V376" s="11" t="s">
        <v>105</v>
      </c>
      <c r="W376" s="11" t="s">
        <v>106</v>
      </c>
      <c r="X376" s="11"/>
      <c r="Y376" s="11"/>
      <c r="Z376" s="11"/>
      <c r="AA376" s="12">
        <v>375</v>
      </c>
      <c r="AB376" s="12"/>
      <c r="AC376" s="11" t="s">
        <v>2204</v>
      </c>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row>
    <row r="377" spans="1:56" ht="56" x14ac:dyDescent="0.25">
      <c r="A377" s="11" t="s">
        <v>2266</v>
      </c>
      <c r="B377" s="11" t="s">
        <v>2267</v>
      </c>
      <c r="C377" s="11"/>
      <c r="D377" s="11" t="s">
        <v>91</v>
      </c>
      <c r="E377" s="11"/>
      <c r="F377" s="11" t="s">
        <v>2268</v>
      </c>
      <c r="G377" s="11" t="s">
        <v>2269</v>
      </c>
      <c r="H377" s="11" t="s">
        <v>94</v>
      </c>
      <c r="I377" s="11" t="s">
        <v>121</v>
      </c>
      <c r="J377" s="11" t="s">
        <v>737</v>
      </c>
      <c r="K377" s="11"/>
      <c r="L377" s="11" t="s">
        <v>2270</v>
      </c>
      <c r="M377" s="11" t="s">
        <v>183</v>
      </c>
      <c r="N377" s="11" t="s">
        <v>100</v>
      </c>
      <c r="O377" s="11" t="s">
        <v>101</v>
      </c>
      <c r="P377" s="11" t="s">
        <v>102</v>
      </c>
      <c r="Q377" s="12" t="s">
        <v>103</v>
      </c>
      <c r="R377" s="13" t="s">
        <v>103</v>
      </c>
      <c r="S377" s="11"/>
      <c r="T377" s="11"/>
      <c r="U377" s="11" t="s">
        <v>104</v>
      </c>
      <c r="V377" s="11" t="s">
        <v>105</v>
      </c>
      <c r="W377" s="11" t="s">
        <v>106</v>
      </c>
      <c r="X377" s="11"/>
      <c r="Y377" s="11"/>
      <c r="Z377" s="11"/>
      <c r="AA377" s="12">
        <v>376</v>
      </c>
      <c r="AB377" s="12"/>
      <c r="AC377" s="11" t="s">
        <v>2204</v>
      </c>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row>
    <row r="378" spans="1:56" ht="56" x14ac:dyDescent="0.25">
      <c r="A378" s="11" t="s">
        <v>2271</v>
      </c>
      <c r="B378" s="11" t="s">
        <v>2272</v>
      </c>
      <c r="C378" s="11"/>
      <c r="D378" s="11" t="s">
        <v>91</v>
      </c>
      <c r="E378" s="11"/>
      <c r="F378" s="11" t="s">
        <v>2273</v>
      </c>
      <c r="G378" s="11" t="s">
        <v>2274</v>
      </c>
      <c r="H378" s="11" t="s">
        <v>94</v>
      </c>
      <c r="I378" s="11" t="s">
        <v>121</v>
      </c>
      <c r="J378" s="11" t="s">
        <v>2007</v>
      </c>
      <c r="K378" s="11"/>
      <c r="L378" s="11" t="s">
        <v>2275</v>
      </c>
      <c r="M378" s="11" t="s">
        <v>183</v>
      </c>
      <c r="N378" s="11" t="s">
        <v>100</v>
      </c>
      <c r="O378" s="11" t="s">
        <v>101</v>
      </c>
      <c r="P378" s="11" t="s">
        <v>102</v>
      </c>
      <c r="Q378" s="12" t="s">
        <v>103</v>
      </c>
      <c r="R378" s="13" t="s">
        <v>103</v>
      </c>
      <c r="S378" s="11"/>
      <c r="T378" s="11"/>
      <c r="U378" s="11" t="s">
        <v>104</v>
      </c>
      <c r="V378" s="11" t="s">
        <v>105</v>
      </c>
      <c r="W378" s="11" t="s">
        <v>106</v>
      </c>
      <c r="X378" s="11"/>
      <c r="Y378" s="11"/>
      <c r="Z378" s="11"/>
      <c r="AA378" s="12">
        <v>377</v>
      </c>
      <c r="AB378" s="12"/>
      <c r="AC378" s="11" t="s">
        <v>2204</v>
      </c>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row>
    <row r="379" spans="1:56" ht="56" x14ac:dyDescent="0.25">
      <c r="A379" s="11" t="s">
        <v>2276</v>
      </c>
      <c r="B379" s="11" t="s">
        <v>2277</v>
      </c>
      <c r="C379" s="11"/>
      <c r="D379" s="11" t="s">
        <v>91</v>
      </c>
      <c r="E379" s="11"/>
      <c r="F379" s="11" t="s">
        <v>2278</v>
      </c>
      <c r="G379" s="11" t="s">
        <v>2279</v>
      </c>
      <c r="H379" s="11" t="s">
        <v>94</v>
      </c>
      <c r="I379" s="11" t="s">
        <v>121</v>
      </c>
      <c r="J379" s="11" t="s">
        <v>2264</v>
      </c>
      <c r="K379" s="11"/>
      <c r="L379" s="11" t="s">
        <v>2280</v>
      </c>
      <c r="M379" s="11" t="s">
        <v>183</v>
      </c>
      <c r="N379" s="11" t="s">
        <v>100</v>
      </c>
      <c r="O379" s="11" t="s">
        <v>101</v>
      </c>
      <c r="P379" s="11" t="s">
        <v>102</v>
      </c>
      <c r="Q379" s="12" t="s">
        <v>103</v>
      </c>
      <c r="R379" s="13" t="s">
        <v>103</v>
      </c>
      <c r="S379" s="11"/>
      <c r="T379" s="11"/>
      <c r="U379" s="11" t="s">
        <v>104</v>
      </c>
      <c r="V379" s="11" t="s">
        <v>105</v>
      </c>
      <c r="W379" s="11" t="s">
        <v>106</v>
      </c>
      <c r="X379" s="11"/>
      <c r="Y379" s="11"/>
      <c r="Z379" s="11"/>
      <c r="AA379" s="12">
        <v>378</v>
      </c>
      <c r="AB379" s="12"/>
      <c r="AC379" s="11" t="s">
        <v>2204</v>
      </c>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row>
    <row r="380" spans="1:56" ht="56" x14ac:dyDescent="0.25">
      <c r="A380" s="11" t="s">
        <v>2281</v>
      </c>
      <c r="B380" s="11" t="s">
        <v>2282</v>
      </c>
      <c r="C380" s="11"/>
      <c r="D380" s="11" t="s">
        <v>91</v>
      </c>
      <c r="E380" s="11"/>
      <c r="F380" s="11" t="s">
        <v>2283</v>
      </c>
      <c r="G380" s="11" t="s">
        <v>2284</v>
      </c>
      <c r="H380" s="11" t="s">
        <v>94</v>
      </c>
      <c r="I380" s="11" t="s">
        <v>121</v>
      </c>
      <c r="J380" s="11" t="s">
        <v>2285</v>
      </c>
      <c r="K380" s="11"/>
      <c r="L380" s="11" t="s">
        <v>2286</v>
      </c>
      <c r="M380" s="11" t="s">
        <v>183</v>
      </c>
      <c r="N380" s="11" t="s">
        <v>100</v>
      </c>
      <c r="O380" s="11" t="s">
        <v>101</v>
      </c>
      <c r="P380" s="11" t="s">
        <v>102</v>
      </c>
      <c r="Q380" s="12" t="s">
        <v>103</v>
      </c>
      <c r="R380" s="13" t="s">
        <v>103</v>
      </c>
      <c r="S380" s="11"/>
      <c r="T380" s="11"/>
      <c r="U380" s="11" t="s">
        <v>104</v>
      </c>
      <c r="V380" s="11" t="s">
        <v>105</v>
      </c>
      <c r="W380" s="11" t="s">
        <v>106</v>
      </c>
      <c r="X380" s="11"/>
      <c r="Y380" s="11"/>
      <c r="Z380" s="11"/>
      <c r="AA380" s="12">
        <v>379</v>
      </c>
      <c r="AB380" s="12"/>
      <c r="AC380" s="11" t="s">
        <v>2204</v>
      </c>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row>
    <row r="381" spans="1:56" ht="84" x14ac:dyDescent="0.25">
      <c r="A381" s="11" t="s">
        <v>2287</v>
      </c>
      <c r="B381" s="11" t="s">
        <v>2288</v>
      </c>
      <c r="C381" s="11"/>
      <c r="D381" s="11" t="s">
        <v>91</v>
      </c>
      <c r="E381" s="11" t="s">
        <v>92</v>
      </c>
      <c r="F381" s="11" t="s">
        <v>2289</v>
      </c>
      <c r="G381" s="11" t="s">
        <v>2290</v>
      </c>
      <c r="H381" s="11" t="s">
        <v>94</v>
      </c>
      <c r="I381" s="11" t="s">
        <v>351</v>
      </c>
      <c r="J381" s="11" t="s">
        <v>351</v>
      </c>
      <c r="K381" s="11" t="s">
        <v>123</v>
      </c>
      <c r="L381" s="11" t="s">
        <v>2291</v>
      </c>
      <c r="M381" s="11" t="s">
        <v>133</v>
      </c>
      <c r="N381" s="11" t="s">
        <v>100</v>
      </c>
      <c r="O381" s="11" t="s">
        <v>101</v>
      </c>
      <c r="P381" s="11" t="s">
        <v>102</v>
      </c>
      <c r="Q381" s="12" t="s">
        <v>103</v>
      </c>
      <c r="R381" s="13" t="s">
        <v>103</v>
      </c>
      <c r="S381" s="11"/>
      <c r="T381" s="11"/>
      <c r="U381" s="11" t="s">
        <v>104</v>
      </c>
      <c r="V381" s="11" t="s">
        <v>105</v>
      </c>
      <c r="W381" s="11" t="s">
        <v>106</v>
      </c>
      <c r="X381" s="11"/>
      <c r="Y381" s="11"/>
      <c r="Z381" s="11"/>
      <c r="AA381" s="12">
        <v>380</v>
      </c>
      <c r="AB381" s="12"/>
      <c r="AC381" s="11" t="s">
        <v>2292</v>
      </c>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row>
    <row r="382" spans="1:56" ht="42" x14ac:dyDescent="0.25">
      <c r="A382" s="11" t="s">
        <v>2293</v>
      </c>
      <c r="B382" s="11" t="s">
        <v>2294</v>
      </c>
      <c r="C382" s="11"/>
      <c r="D382" s="11" t="s">
        <v>91</v>
      </c>
      <c r="E382" s="11" t="s">
        <v>92</v>
      </c>
      <c r="F382" s="11" t="s">
        <v>2294</v>
      </c>
      <c r="G382" s="11" t="s">
        <v>2295</v>
      </c>
      <c r="H382" s="11" t="s">
        <v>94</v>
      </c>
      <c r="I382" s="11" t="s">
        <v>121</v>
      </c>
      <c r="J382" s="11" t="s">
        <v>122</v>
      </c>
      <c r="K382" s="11" t="s">
        <v>123</v>
      </c>
      <c r="L382" s="11" t="s">
        <v>2296</v>
      </c>
      <c r="M382" s="11" t="s">
        <v>139</v>
      </c>
      <c r="N382" s="11" t="s">
        <v>100</v>
      </c>
      <c r="O382" s="11" t="s">
        <v>2297</v>
      </c>
      <c r="P382" s="11" t="s">
        <v>102</v>
      </c>
      <c r="Q382" s="12" t="s">
        <v>103</v>
      </c>
      <c r="R382" s="13" t="s">
        <v>103</v>
      </c>
      <c r="S382" s="11"/>
      <c r="T382" s="11"/>
      <c r="U382" s="11" t="s">
        <v>104</v>
      </c>
      <c r="V382" s="11" t="s">
        <v>105</v>
      </c>
      <c r="W382" s="11" t="s">
        <v>106</v>
      </c>
      <c r="X382" s="11"/>
      <c r="Y382" s="11"/>
      <c r="Z382" s="11"/>
      <c r="AA382" s="12">
        <v>381</v>
      </c>
      <c r="AB382" s="12"/>
      <c r="AC382" s="11" t="s">
        <v>2294</v>
      </c>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row>
    <row r="383" spans="1:56" ht="56" x14ac:dyDescent="0.25">
      <c r="A383" s="11" t="s">
        <v>2298</v>
      </c>
      <c r="B383" s="11" t="s">
        <v>2299</v>
      </c>
      <c r="C383" s="11"/>
      <c r="D383" s="11" t="s">
        <v>91</v>
      </c>
      <c r="E383" s="11"/>
      <c r="F383" s="11" t="s">
        <v>2300</v>
      </c>
      <c r="G383" s="11" t="s">
        <v>2301</v>
      </c>
      <c r="H383" s="11" t="s">
        <v>94</v>
      </c>
      <c r="I383" s="11" t="s">
        <v>95</v>
      </c>
      <c r="J383" s="11" t="s">
        <v>749</v>
      </c>
      <c r="K383" s="11"/>
      <c r="L383" s="11" t="s">
        <v>2302</v>
      </c>
      <c r="M383" s="11" t="s">
        <v>125</v>
      </c>
      <c r="N383" s="11" t="s">
        <v>100</v>
      </c>
      <c r="O383" s="11" t="s">
        <v>101</v>
      </c>
      <c r="P383" s="11" t="s">
        <v>102</v>
      </c>
      <c r="Q383" s="12" t="s">
        <v>103</v>
      </c>
      <c r="R383" s="13" t="s">
        <v>103</v>
      </c>
      <c r="S383" s="11"/>
      <c r="T383" s="11"/>
      <c r="U383" s="11" t="s">
        <v>104</v>
      </c>
      <c r="V383" s="11" t="s">
        <v>105</v>
      </c>
      <c r="W383" s="11" t="s">
        <v>106</v>
      </c>
      <c r="X383" s="11"/>
      <c r="Y383" s="11"/>
      <c r="Z383" s="11"/>
      <c r="AA383" s="12">
        <v>382</v>
      </c>
      <c r="AB383" s="12"/>
      <c r="AC383" s="11" t="s">
        <v>2303</v>
      </c>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row>
    <row r="384" spans="1:56" ht="56" x14ac:dyDescent="0.25">
      <c r="A384" s="11" t="s">
        <v>2304</v>
      </c>
      <c r="B384" s="11" t="s">
        <v>2305</v>
      </c>
      <c r="C384" s="11"/>
      <c r="D384" s="11" t="s">
        <v>91</v>
      </c>
      <c r="E384" s="11"/>
      <c r="F384" s="11" t="s">
        <v>2306</v>
      </c>
      <c r="G384" s="11" t="s">
        <v>2307</v>
      </c>
      <c r="H384" s="11" t="s">
        <v>94</v>
      </c>
      <c r="I384" s="11" t="s">
        <v>95</v>
      </c>
      <c r="J384" s="11" t="s">
        <v>96</v>
      </c>
      <c r="K384" s="11"/>
      <c r="L384" s="11" t="s">
        <v>2308</v>
      </c>
      <c r="M384" s="11" t="s">
        <v>125</v>
      </c>
      <c r="N384" s="11" t="s">
        <v>100</v>
      </c>
      <c r="O384" s="11" t="s">
        <v>101</v>
      </c>
      <c r="P384" s="11" t="s">
        <v>102</v>
      </c>
      <c r="Q384" s="12" t="s">
        <v>103</v>
      </c>
      <c r="R384" s="13" t="s">
        <v>103</v>
      </c>
      <c r="S384" s="11"/>
      <c r="T384" s="11"/>
      <c r="U384" s="11" t="s">
        <v>104</v>
      </c>
      <c r="V384" s="11" t="s">
        <v>105</v>
      </c>
      <c r="W384" s="11" t="s">
        <v>106</v>
      </c>
      <c r="X384" s="11"/>
      <c r="Y384" s="11"/>
      <c r="Z384" s="11"/>
      <c r="AA384" s="12">
        <v>383</v>
      </c>
      <c r="AB384" s="12"/>
      <c r="AC384" s="11" t="s">
        <v>2303</v>
      </c>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row>
    <row r="385" spans="1:56" ht="56" x14ac:dyDescent="0.25">
      <c r="A385" s="11" t="s">
        <v>2309</v>
      </c>
      <c r="B385" s="11" t="s">
        <v>2310</v>
      </c>
      <c r="C385" s="11"/>
      <c r="D385" s="11" t="s">
        <v>91</v>
      </c>
      <c r="E385" s="11"/>
      <c r="F385" s="11" t="s">
        <v>2311</v>
      </c>
      <c r="G385" s="11" t="s">
        <v>2312</v>
      </c>
      <c r="H385" s="11" t="s">
        <v>94</v>
      </c>
      <c r="I385" s="11" t="s">
        <v>95</v>
      </c>
      <c r="J385" s="11" t="s">
        <v>1087</v>
      </c>
      <c r="K385" s="11"/>
      <c r="L385" s="11" t="s">
        <v>2313</v>
      </c>
      <c r="M385" s="11" t="s">
        <v>125</v>
      </c>
      <c r="N385" s="11" t="s">
        <v>100</v>
      </c>
      <c r="O385" s="11" t="s">
        <v>101</v>
      </c>
      <c r="P385" s="11" t="s">
        <v>102</v>
      </c>
      <c r="Q385" s="12" t="s">
        <v>103</v>
      </c>
      <c r="R385" s="13" t="s">
        <v>103</v>
      </c>
      <c r="S385" s="11"/>
      <c r="T385" s="11"/>
      <c r="U385" s="11" t="s">
        <v>104</v>
      </c>
      <c r="V385" s="11" t="s">
        <v>105</v>
      </c>
      <c r="W385" s="11" t="s">
        <v>106</v>
      </c>
      <c r="X385" s="11"/>
      <c r="Y385" s="11"/>
      <c r="Z385" s="11"/>
      <c r="AA385" s="12">
        <v>384</v>
      </c>
      <c r="AB385" s="12"/>
      <c r="AC385" s="11" t="s">
        <v>2303</v>
      </c>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row>
    <row r="386" spans="1:56" ht="56" x14ac:dyDescent="0.25">
      <c r="A386" s="11" t="s">
        <v>2314</v>
      </c>
      <c r="B386" s="11" t="s">
        <v>2315</v>
      </c>
      <c r="C386" s="11"/>
      <c r="D386" s="11" t="s">
        <v>91</v>
      </c>
      <c r="E386" s="11"/>
      <c r="F386" s="11" t="s">
        <v>2316</v>
      </c>
      <c r="G386" s="11" t="s">
        <v>2317</v>
      </c>
      <c r="H386" s="11" t="s">
        <v>94</v>
      </c>
      <c r="I386" s="11" t="s">
        <v>95</v>
      </c>
      <c r="J386" s="11" t="s">
        <v>96</v>
      </c>
      <c r="K386" s="11"/>
      <c r="L386" s="11" t="s">
        <v>2318</v>
      </c>
      <c r="M386" s="11" t="s">
        <v>125</v>
      </c>
      <c r="N386" s="11" t="s">
        <v>100</v>
      </c>
      <c r="O386" s="11" t="s">
        <v>101</v>
      </c>
      <c r="P386" s="11" t="s">
        <v>102</v>
      </c>
      <c r="Q386" s="12" t="s">
        <v>103</v>
      </c>
      <c r="R386" s="13" t="s">
        <v>103</v>
      </c>
      <c r="S386" s="11"/>
      <c r="T386" s="11"/>
      <c r="U386" s="11" t="s">
        <v>104</v>
      </c>
      <c r="V386" s="11" t="s">
        <v>105</v>
      </c>
      <c r="W386" s="11" t="s">
        <v>106</v>
      </c>
      <c r="X386" s="11"/>
      <c r="Y386" s="11"/>
      <c r="Z386" s="11"/>
      <c r="AA386" s="12">
        <v>385</v>
      </c>
      <c r="AB386" s="12"/>
      <c r="AC386" s="11" t="s">
        <v>2303</v>
      </c>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row>
    <row r="387" spans="1:56" ht="70" x14ac:dyDescent="0.25">
      <c r="A387" s="11" t="s">
        <v>2319</v>
      </c>
      <c r="B387" s="11" t="s">
        <v>2320</v>
      </c>
      <c r="C387" s="11"/>
      <c r="D387" s="11" t="s">
        <v>91</v>
      </c>
      <c r="E387" s="11"/>
      <c r="F387" s="11" t="s">
        <v>2321</v>
      </c>
      <c r="G387" s="11" t="s">
        <v>2322</v>
      </c>
      <c r="H387" s="11" t="s">
        <v>94</v>
      </c>
      <c r="I387" s="11" t="s">
        <v>95</v>
      </c>
      <c r="J387" s="11" t="s">
        <v>96</v>
      </c>
      <c r="K387" s="11"/>
      <c r="L387" s="11" t="s">
        <v>2323</v>
      </c>
      <c r="M387" s="11" t="s">
        <v>125</v>
      </c>
      <c r="N387" s="11" t="s">
        <v>100</v>
      </c>
      <c r="O387" s="11" t="s">
        <v>101</v>
      </c>
      <c r="P387" s="11" t="s">
        <v>102</v>
      </c>
      <c r="Q387" s="12" t="s">
        <v>103</v>
      </c>
      <c r="R387" s="13" t="s">
        <v>103</v>
      </c>
      <c r="S387" s="11"/>
      <c r="T387" s="11"/>
      <c r="U387" s="11" t="s">
        <v>104</v>
      </c>
      <c r="V387" s="11" t="s">
        <v>105</v>
      </c>
      <c r="W387" s="11" t="s">
        <v>106</v>
      </c>
      <c r="X387" s="11"/>
      <c r="Y387" s="11"/>
      <c r="Z387" s="11"/>
      <c r="AA387" s="12">
        <v>386</v>
      </c>
      <c r="AB387" s="12"/>
      <c r="AC387" s="11" t="s">
        <v>2303</v>
      </c>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row>
    <row r="388" spans="1:56" ht="56" x14ac:dyDescent="0.25">
      <c r="A388" s="11" t="s">
        <v>2324</v>
      </c>
      <c r="B388" s="11" t="s">
        <v>2325</v>
      </c>
      <c r="C388" s="11"/>
      <c r="D388" s="11" t="s">
        <v>91</v>
      </c>
      <c r="E388" s="11"/>
      <c r="F388" s="11" t="s">
        <v>2326</v>
      </c>
      <c r="G388" s="11" t="s">
        <v>2327</v>
      </c>
      <c r="H388" s="11" t="s">
        <v>94</v>
      </c>
      <c r="I388" s="11" t="s">
        <v>121</v>
      </c>
      <c r="J388" s="11" t="s">
        <v>2264</v>
      </c>
      <c r="K388" s="11"/>
      <c r="L388" s="11" t="s">
        <v>2328</v>
      </c>
      <c r="M388" s="11" t="s">
        <v>125</v>
      </c>
      <c r="N388" s="11" t="s">
        <v>100</v>
      </c>
      <c r="O388" s="11" t="s">
        <v>101</v>
      </c>
      <c r="P388" s="11" t="s">
        <v>102</v>
      </c>
      <c r="Q388" s="12" t="s">
        <v>103</v>
      </c>
      <c r="R388" s="13" t="s">
        <v>103</v>
      </c>
      <c r="S388" s="11"/>
      <c r="T388" s="11"/>
      <c r="U388" s="11" t="s">
        <v>104</v>
      </c>
      <c r="V388" s="11" t="s">
        <v>105</v>
      </c>
      <c r="W388" s="11" t="s">
        <v>106</v>
      </c>
      <c r="X388" s="11"/>
      <c r="Y388" s="11"/>
      <c r="Z388" s="11"/>
      <c r="AA388" s="12">
        <v>387</v>
      </c>
      <c r="AB388" s="12"/>
      <c r="AC388" s="11" t="s">
        <v>2303</v>
      </c>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row>
    <row r="389" spans="1:56" ht="56" x14ac:dyDescent="0.25">
      <c r="A389" s="11" t="s">
        <v>2329</v>
      </c>
      <c r="B389" s="11" t="s">
        <v>2330</v>
      </c>
      <c r="C389" s="11"/>
      <c r="D389" s="11" t="s">
        <v>91</v>
      </c>
      <c r="E389" s="11"/>
      <c r="F389" s="11" t="s">
        <v>2331</v>
      </c>
      <c r="G389" s="11" t="s">
        <v>2332</v>
      </c>
      <c r="H389" s="11" t="s">
        <v>94</v>
      </c>
      <c r="I389" s="11" t="s">
        <v>121</v>
      </c>
      <c r="J389" s="11" t="s">
        <v>122</v>
      </c>
      <c r="K389" s="11"/>
      <c r="L389" s="11" t="s">
        <v>2333</v>
      </c>
      <c r="M389" s="11" t="s">
        <v>125</v>
      </c>
      <c r="N389" s="11" t="s">
        <v>100</v>
      </c>
      <c r="O389" s="11" t="s">
        <v>101</v>
      </c>
      <c r="P389" s="11" t="s">
        <v>102</v>
      </c>
      <c r="Q389" s="12" t="s">
        <v>103</v>
      </c>
      <c r="R389" s="13" t="s">
        <v>103</v>
      </c>
      <c r="S389" s="11"/>
      <c r="T389" s="11"/>
      <c r="U389" s="11" t="s">
        <v>104</v>
      </c>
      <c r="V389" s="11" t="s">
        <v>105</v>
      </c>
      <c r="W389" s="11" t="s">
        <v>106</v>
      </c>
      <c r="X389" s="11"/>
      <c r="Y389" s="11"/>
      <c r="Z389" s="11"/>
      <c r="AA389" s="12">
        <v>388</v>
      </c>
      <c r="AB389" s="12"/>
      <c r="AC389" s="11" t="s">
        <v>2303</v>
      </c>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row>
    <row r="390" spans="1:56" ht="56" x14ac:dyDescent="0.25">
      <c r="A390" s="11" t="s">
        <v>2334</v>
      </c>
      <c r="B390" s="11" t="s">
        <v>2335</v>
      </c>
      <c r="C390" s="11"/>
      <c r="D390" s="11" t="s">
        <v>91</v>
      </c>
      <c r="E390" s="11"/>
      <c r="F390" s="11" t="s">
        <v>2336</v>
      </c>
      <c r="G390" s="11" t="s">
        <v>2337</v>
      </c>
      <c r="H390" s="11" t="s">
        <v>94</v>
      </c>
      <c r="I390" s="11" t="s">
        <v>121</v>
      </c>
      <c r="J390" s="11" t="s">
        <v>122</v>
      </c>
      <c r="K390" s="11"/>
      <c r="L390" s="11" t="s">
        <v>2338</v>
      </c>
      <c r="M390" s="11" t="s">
        <v>125</v>
      </c>
      <c r="N390" s="11" t="s">
        <v>100</v>
      </c>
      <c r="O390" s="11" t="s">
        <v>101</v>
      </c>
      <c r="P390" s="11" t="s">
        <v>102</v>
      </c>
      <c r="Q390" s="12" t="s">
        <v>103</v>
      </c>
      <c r="R390" s="13" t="s">
        <v>103</v>
      </c>
      <c r="S390" s="11"/>
      <c r="T390" s="11"/>
      <c r="U390" s="11" t="s">
        <v>104</v>
      </c>
      <c r="V390" s="11" t="s">
        <v>105</v>
      </c>
      <c r="W390" s="11" t="s">
        <v>106</v>
      </c>
      <c r="X390" s="11"/>
      <c r="Y390" s="11"/>
      <c r="Z390" s="11"/>
      <c r="AA390" s="12">
        <v>389</v>
      </c>
      <c r="AB390" s="12"/>
      <c r="AC390" s="11" t="s">
        <v>2303</v>
      </c>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row>
    <row r="391" spans="1:56" ht="56" x14ac:dyDescent="0.25">
      <c r="A391" s="11" t="s">
        <v>2339</v>
      </c>
      <c r="B391" s="11" t="s">
        <v>2340</v>
      </c>
      <c r="C391" s="11"/>
      <c r="D391" s="11" t="s">
        <v>91</v>
      </c>
      <c r="E391" s="11"/>
      <c r="F391" s="11" t="s">
        <v>2341</v>
      </c>
      <c r="G391" s="11" t="s">
        <v>2342</v>
      </c>
      <c r="H391" s="11" t="s">
        <v>94</v>
      </c>
      <c r="I391" s="11" t="s">
        <v>121</v>
      </c>
      <c r="J391" s="11" t="s">
        <v>2343</v>
      </c>
      <c r="K391" s="11"/>
      <c r="L391" s="11" t="s">
        <v>2344</v>
      </c>
      <c r="M391" s="11" t="s">
        <v>125</v>
      </c>
      <c r="N391" s="11" t="s">
        <v>100</v>
      </c>
      <c r="O391" s="11" t="s">
        <v>101</v>
      </c>
      <c r="P391" s="11" t="s">
        <v>102</v>
      </c>
      <c r="Q391" s="12" t="s">
        <v>103</v>
      </c>
      <c r="R391" s="13" t="s">
        <v>103</v>
      </c>
      <c r="S391" s="11"/>
      <c r="T391" s="11"/>
      <c r="U391" s="11" t="s">
        <v>104</v>
      </c>
      <c r="V391" s="11" t="s">
        <v>105</v>
      </c>
      <c r="W391" s="11" t="s">
        <v>106</v>
      </c>
      <c r="X391" s="11"/>
      <c r="Y391" s="11"/>
      <c r="Z391" s="11"/>
      <c r="AA391" s="12">
        <v>390</v>
      </c>
      <c r="AB391" s="12"/>
      <c r="AC391" s="11" t="s">
        <v>2303</v>
      </c>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row>
    <row r="392" spans="1:56" ht="56" x14ac:dyDescent="0.25">
      <c r="A392" s="11" t="s">
        <v>2345</v>
      </c>
      <c r="B392" s="11" t="s">
        <v>2346</v>
      </c>
      <c r="C392" s="11"/>
      <c r="D392" s="11" t="s">
        <v>91</v>
      </c>
      <c r="E392" s="11"/>
      <c r="F392" s="11" t="s">
        <v>2347</v>
      </c>
      <c r="G392" s="11" t="s">
        <v>2348</v>
      </c>
      <c r="H392" s="11" t="s">
        <v>94</v>
      </c>
      <c r="I392" s="11" t="s">
        <v>121</v>
      </c>
      <c r="J392" s="11" t="s">
        <v>799</v>
      </c>
      <c r="K392" s="11"/>
      <c r="L392" s="11" t="s">
        <v>2349</v>
      </c>
      <c r="M392" s="11" t="s">
        <v>125</v>
      </c>
      <c r="N392" s="11" t="s">
        <v>100</v>
      </c>
      <c r="O392" s="11" t="s">
        <v>101</v>
      </c>
      <c r="P392" s="11" t="s">
        <v>102</v>
      </c>
      <c r="Q392" s="12" t="s">
        <v>103</v>
      </c>
      <c r="R392" s="13" t="s">
        <v>103</v>
      </c>
      <c r="S392" s="11"/>
      <c r="T392" s="11"/>
      <c r="U392" s="11" t="s">
        <v>104</v>
      </c>
      <c r="V392" s="11" t="s">
        <v>105</v>
      </c>
      <c r="W392" s="11" t="s">
        <v>106</v>
      </c>
      <c r="X392" s="11"/>
      <c r="Y392" s="11"/>
      <c r="Z392" s="11"/>
      <c r="AA392" s="12">
        <v>391</v>
      </c>
      <c r="AB392" s="12"/>
      <c r="AC392" s="11" t="s">
        <v>2303</v>
      </c>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row>
    <row r="393" spans="1:56" ht="56" x14ac:dyDescent="0.25">
      <c r="A393" s="11" t="s">
        <v>2350</v>
      </c>
      <c r="B393" s="11" t="s">
        <v>2351</v>
      </c>
      <c r="C393" s="11"/>
      <c r="D393" s="11" t="s">
        <v>91</v>
      </c>
      <c r="E393" s="11"/>
      <c r="F393" s="11" t="s">
        <v>2352</v>
      </c>
      <c r="G393" s="11" t="s">
        <v>2353</v>
      </c>
      <c r="H393" s="11" t="s">
        <v>94</v>
      </c>
      <c r="I393" s="11" t="s">
        <v>121</v>
      </c>
      <c r="J393" s="11" t="s">
        <v>131</v>
      </c>
      <c r="K393" s="11"/>
      <c r="L393" s="11" t="s">
        <v>2354</v>
      </c>
      <c r="M393" s="11" t="s">
        <v>125</v>
      </c>
      <c r="N393" s="11" t="s">
        <v>100</v>
      </c>
      <c r="O393" s="11" t="s">
        <v>101</v>
      </c>
      <c r="P393" s="11" t="s">
        <v>102</v>
      </c>
      <c r="Q393" s="12" t="s">
        <v>103</v>
      </c>
      <c r="R393" s="13" t="s">
        <v>103</v>
      </c>
      <c r="S393" s="11"/>
      <c r="T393" s="11"/>
      <c r="U393" s="11" t="s">
        <v>104</v>
      </c>
      <c r="V393" s="11" t="s">
        <v>105</v>
      </c>
      <c r="W393" s="11" t="s">
        <v>106</v>
      </c>
      <c r="X393" s="11"/>
      <c r="Y393" s="11"/>
      <c r="Z393" s="11"/>
      <c r="AA393" s="12">
        <v>392</v>
      </c>
      <c r="AB393" s="12"/>
      <c r="AC393" s="11" t="s">
        <v>2303</v>
      </c>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row>
    <row r="394" spans="1:56" ht="70" x14ac:dyDescent="0.25">
      <c r="A394" s="11" t="s">
        <v>2355</v>
      </c>
      <c r="B394" s="11" t="s">
        <v>2356</v>
      </c>
      <c r="C394" s="11"/>
      <c r="D394" s="11" t="s">
        <v>91</v>
      </c>
      <c r="E394" s="11"/>
      <c r="F394" s="11" t="s">
        <v>2357</v>
      </c>
      <c r="G394" s="11" t="s">
        <v>2358</v>
      </c>
      <c r="H394" s="11" t="s">
        <v>94</v>
      </c>
      <c r="I394" s="11" t="s">
        <v>121</v>
      </c>
      <c r="J394" s="11" t="s">
        <v>971</v>
      </c>
      <c r="K394" s="11"/>
      <c r="L394" s="11" t="s">
        <v>2359</v>
      </c>
      <c r="M394" s="11" t="s">
        <v>125</v>
      </c>
      <c r="N394" s="11" t="s">
        <v>100</v>
      </c>
      <c r="O394" s="11" t="s">
        <v>101</v>
      </c>
      <c r="P394" s="11" t="s">
        <v>102</v>
      </c>
      <c r="Q394" s="12" t="s">
        <v>103</v>
      </c>
      <c r="R394" s="13" t="s">
        <v>103</v>
      </c>
      <c r="S394" s="11"/>
      <c r="T394" s="11"/>
      <c r="U394" s="11" t="s">
        <v>104</v>
      </c>
      <c r="V394" s="11" t="s">
        <v>105</v>
      </c>
      <c r="W394" s="11" t="s">
        <v>106</v>
      </c>
      <c r="X394" s="11"/>
      <c r="Y394" s="11"/>
      <c r="Z394" s="11"/>
      <c r="AA394" s="12">
        <v>393</v>
      </c>
      <c r="AB394" s="12"/>
      <c r="AC394" s="11" t="s">
        <v>2303</v>
      </c>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row>
    <row r="395" spans="1:56" ht="56" x14ac:dyDescent="0.25">
      <c r="A395" s="11" t="s">
        <v>2360</v>
      </c>
      <c r="B395" s="11" t="s">
        <v>2361</v>
      </c>
      <c r="C395" s="11"/>
      <c r="D395" s="11" t="s">
        <v>91</v>
      </c>
      <c r="E395" s="11"/>
      <c r="F395" s="11" t="s">
        <v>2362</v>
      </c>
      <c r="G395" s="11" t="s">
        <v>2363</v>
      </c>
      <c r="H395" s="11" t="s">
        <v>94</v>
      </c>
      <c r="I395" s="11" t="s">
        <v>121</v>
      </c>
      <c r="J395" s="11" t="s">
        <v>971</v>
      </c>
      <c r="K395" s="11"/>
      <c r="L395" s="11" t="s">
        <v>2364</v>
      </c>
      <c r="M395" s="11" t="s">
        <v>125</v>
      </c>
      <c r="N395" s="11" t="s">
        <v>100</v>
      </c>
      <c r="O395" s="11" t="s">
        <v>101</v>
      </c>
      <c r="P395" s="11" t="s">
        <v>102</v>
      </c>
      <c r="Q395" s="12" t="s">
        <v>103</v>
      </c>
      <c r="R395" s="13" t="s">
        <v>103</v>
      </c>
      <c r="S395" s="11"/>
      <c r="T395" s="11"/>
      <c r="U395" s="11" t="s">
        <v>104</v>
      </c>
      <c r="V395" s="11" t="s">
        <v>105</v>
      </c>
      <c r="W395" s="11" t="s">
        <v>106</v>
      </c>
      <c r="X395" s="11"/>
      <c r="Y395" s="11"/>
      <c r="Z395" s="11"/>
      <c r="AA395" s="12">
        <v>394</v>
      </c>
      <c r="AB395" s="12"/>
      <c r="AC395" s="11" t="s">
        <v>2303</v>
      </c>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row>
    <row r="396" spans="1:56" ht="70" x14ac:dyDescent="0.25">
      <c r="A396" s="11" t="s">
        <v>2365</v>
      </c>
      <c r="B396" s="11" t="s">
        <v>2366</v>
      </c>
      <c r="C396" s="11"/>
      <c r="D396" s="11" t="s">
        <v>91</v>
      </c>
      <c r="E396" s="11"/>
      <c r="F396" s="11" t="s">
        <v>2367</v>
      </c>
      <c r="G396" s="11" t="s">
        <v>2368</v>
      </c>
      <c r="H396" s="11" t="s">
        <v>94</v>
      </c>
      <c r="I396" s="11" t="s">
        <v>121</v>
      </c>
      <c r="J396" s="11" t="s">
        <v>737</v>
      </c>
      <c r="K396" s="11"/>
      <c r="L396" s="11" t="s">
        <v>2369</v>
      </c>
      <c r="M396" s="11" t="s">
        <v>125</v>
      </c>
      <c r="N396" s="11" t="s">
        <v>100</v>
      </c>
      <c r="O396" s="11" t="s">
        <v>101</v>
      </c>
      <c r="P396" s="11" t="s">
        <v>102</v>
      </c>
      <c r="Q396" s="12" t="s">
        <v>103</v>
      </c>
      <c r="R396" s="13" t="s">
        <v>103</v>
      </c>
      <c r="S396" s="11"/>
      <c r="T396" s="11"/>
      <c r="U396" s="11" t="s">
        <v>104</v>
      </c>
      <c r="V396" s="11" t="s">
        <v>105</v>
      </c>
      <c r="W396" s="11" t="s">
        <v>106</v>
      </c>
      <c r="X396" s="11"/>
      <c r="Y396" s="11"/>
      <c r="Z396" s="11"/>
      <c r="AA396" s="12">
        <v>395</v>
      </c>
      <c r="AB396" s="12"/>
      <c r="AC396" s="11" t="s">
        <v>2303</v>
      </c>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row>
    <row r="397" spans="1:56" ht="56" x14ac:dyDescent="0.25">
      <c r="A397" s="11" t="s">
        <v>2370</v>
      </c>
      <c r="B397" s="11" t="s">
        <v>2371</v>
      </c>
      <c r="C397" s="11"/>
      <c r="D397" s="11" t="s">
        <v>91</v>
      </c>
      <c r="E397" s="11"/>
      <c r="F397" s="11" t="s">
        <v>2372</v>
      </c>
      <c r="G397" s="11" t="s">
        <v>2373</v>
      </c>
      <c r="H397" s="11" t="s">
        <v>94</v>
      </c>
      <c r="I397" s="11" t="s">
        <v>121</v>
      </c>
      <c r="J397" s="11" t="s">
        <v>2285</v>
      </c>
      <c r="K397" s="11"/>
      <c r="L397" s="11" t="s">
        <v>2374</v>
      </c>
      <c r="M397" s="11" t="s">
        <v>125</v>
      </c>
      <c r="N397" s="11" t="s">
        <v>100</v>
      </c>
      <c r="O397" s="11" t="s">
        <v>101</v>
      </c>
      <c r="P397" s="11" t="s">
        <v>102</v>
      </c>
      <c r="Q397" s="12" t="s">
        <v>103</v>
      </c>
      <c r="R397" s="13" t="s">
        <v>103</v>
      </c>
      <c r="S397" s="11"/>
      <c r="T397" s="11"/>
      <c r="U397" s="11" t="s">
        <v>104</v>
      </c>
      <c r="V397" s="11" t="s">
        <v>105</v>
      </c>
      <c r="W397" s="11" t="s">
        <v>106</v>
      </c>
      <c r="X397" s="11"/>
      <c r="Y397" s="11"/>
      <c r="Z397" s="11"/>
      <c r="AA397" s="12">
        <v>396</v>
      </c>
      <c r="AB397" s="12"/>
      <c r="AC397" s="11" t="s">
        <v>2303</v>
      </c>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row>
    <row r="398" spans="1:56" ht="56" x14ac:dyDescent="0.25">
      <c r="A398" s="11" t="s">
        <v>2375</v>
      </c>
      <c r="B398" s="11" t="s">
        <v>2376</v>
      </c>
      <c r="C398" s="11"/>
      <c r="D398" s="11" t="s">
        <v>91</v>
      </c>
      <c r="E398" s="11"/>
      <c r="F398" s="11" t="s">
        <v>2377</v>
      </c>
      <c r="G398" s="11" t="s">
        <v>2378</v>
      </c>
      <c r="H398" s="11" t="s">
        <v>94</v>
      </c>
      <c r="I398" s="11" t="s">
        <v>121</v>
      </c>
      <c r="J398" s="11" t="s">
        <v>971</v>
      </c>
      <c r="K398" s="11"/>
      <c r="L398" s="11" t="s">
        <v>2379</v>
      </c>
      <c r="M398" s="11" t="s">
        <v>125</v>
      </c>
      <c r="N398" s="11" t="s">
        <v>100</v>
      </c>
      <c r="O398" s="11" t="s">
        <v>101</v>
      </c>
      <c r="P398" s="11" t="s">
        <v>102</v>
      </c>
      <c r="Q398" s="12" t="s">
        <v>103</v>
      </c>
      <c r="R398" s="13" t="s">
        <v>103</v>
      </c>
      <c r="S398" s="11"/>
      <c r="T398" s="11"/>
      <c r="U398" s="11" t="s">
        <v>104</v>
      </c>
      <c r="V398" s="11" t="s">
        <v>105</v>
      </c>
      <c r="W398" s="11" t="s">
        <v>106</v>
      </c>
      <c r="X398" s="11"/>
      <c r="Y398" s="11"/>
      <c r="Z398" s="11"/>
      <c r="AA398" s="12">
        <v>397</v>
      </c>
      <c r="AB398" s="12"/>
      <c r="AC398" s="11" t="s">
        <v>2303</v>
      </c>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row>
    <row r="399" spans="1:56" ht="70" x14ac:dyDescent="0.25">
      <c r="A399" s="11" t="s">
        <v>2380</v>
      </c>
      <c r="B399" s="11" t="s">
        <v>2381</v>
      </c>
      <c r="C399" s="11"/>
      <c r="D399" s="11" t="s">
        <v>91</v>
      </c>
      <c r="E399" s="11"/>
      <c r="F399" s="11" t="s">
        <v>2382</v>
      </c>
      <c r="G399" s="11" t="s">
        <v>2383</v>
      </c>
      <c r="H399" s="11" t="s">
        <v>94</v>
      </c>
      <c r="I399" s="11" t="s">
        <v>121</v>
      </c>
      <c r="J399" s="11" t="s">
        <v>971</v>
      </c>
      <c r="K399" s="11"/>
      <c r="L399" s="11" t="s">
        <v>2384</v>
      </c>
      <c r="M399" s="11" t="s">
        <v>125</v>
      </c>
      <c r="N399" s="11" t="s">
        <v>100</v>
      </c>
      <c r="O399" s="11" t="s">
        <v>101</v>
      </c>
      <c r="P399" s="11" t="s">
        <v>102</v>
      </c>
      <c r="Q399" s="12" t="s">
        <v>103</v>
      </c>
      <c r="R399" s="13" t="s">
        <v>103</v>
      </c>
      <c r="S399" s="11"/>
      <c r="T399" s="11"/>
      <c r="U399" s="11" t="s">
        <v>104</v>
      </c>
      <c r="V399" s="11" t="s">
        <v>105</v>
      </c>
      <c r="W399" s="11" t="s">
        <v>106</v>
      </c>
      <c r="X399" s="11"/>
      <c r="Y399" s="11"/>
      <c r="Z399" s="11"/>
      <c r="AA399" s="12">
        <v>398</v>
      </c>
      <c r="AB399" s="12"/>
      <c r="AC399" s="11" t="s">
        <v>2303</v>
      </c>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row>
    <row r="400" spans="1:56" ht="56" x14ac:dyDescent="0.25">
      <c r="A400" s="11" t="s">
        <v>2385</v>
      </c>
      <c r="B400" s="11" t="s">
        <v>2386</v>
      </c>
      <c r="C400" s="11"/>
      <c r="D400" s="11" t="s">
        <v>91</v>
      </c>
      <c r="E400" s="11"/>
      <c r="F400" s="11" t="s">
        <v>2387</v>
      </c>
      <c r="G400" s="11" t="s">
        <v>2388</v>
      </c>
      <c r="H400" s="11" t="s">
        <v>94</v>
      </c>
      <c r="I400" s="11" t="s">
        <v>121</v>
      </c>
      <c r="J400" s="11" t="s">
        <v>122</v>
      </c>
      <c r="K400" s="11"/>
      <c r="L400" s="11" t="s">
        <v>2389</v>
      </c>
      <c r="M400" s="11" t="s">
        <v>125</v>
      </c>
      <c r="N400" s="11" t="s">
        <v>100</v>
      </c>
      <c r="O400" s="11" t="s">
        <v>101</v>
      </c>
      <c r="P400" s="11" t="s">
        <v>102</v>
      </c>
      <c r="Q400" s="12" t="s">
        <v>103</v>
      </c>
      <c r="R400" s="13" t="s">
        <v>103</v>
      </c>
      <c r="S400" s="11"/>
      <c r="T400" s="11"/>
      <c r="U400" s="11" t="s">
        <v>104</v>
      </c>
      <c r="V400" s="11" t="s">
        <v>105</v>
      </c>
      <c r="W400" s="11" t="s">
        <v>106</v>
      </c>
      <c r="X400" s="11"/>
      <c r="Y400" s="11"/>
      <c r="Z400" s="11"/>
      <c r="AA400" s="12">
        <v>399</v>
      </c>
      <c r="AB400" s="12"/>
      <c r="AC400" s="11" t="s">
        <v>2303</v>
      </c>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row>
    <row r="401" spans="1:56" ht="42" x14ac:dyDescent="0.25">
      <c r="A401" s="11" t="s">
        <v>2390</v>
      </c>
      <c r="B401" s="11" t="s">
        <v>2391</v>
      </c>
      <c r="C401" s="11"/>
      <c r="D401" s="11" t="s">
        <v>91</v>
      </c>
      <c r="E401" s="11" t="s">
        <v>92</v>
      </c>
      <c r="F401" s="11" t="s">
        <v>2391</v>
      </c>
      <c r="G401" s="11" t="s">
        <v>2392</v>
      </c>
      <c r="H401" s="11" t="s">
        <v>94</v>
      </c>
      <c r="I401" s="11" t="s">
        <v>121</v>
      </c>
      <c r="J401" s="11" t="s">
        <v>2285</v>
      </c>
      <c r="K401" s="11" t="s">
        <v>123</v>
      </c>
      <c r="L401" s="11" t="s">
        <v>2393</v>
      </c>
      <c r="M401" s="11" t="s">
        <v>139</v>
      </c>
      <c r="N401" s="11" t="s">
        <v>174</v>
      </c>
      <c r="O401" s="11" t="s">
        <v>101</v>
      </c>
      <c r="P401" s="11" t="s">
        <v>102</v>
      </c>
      <c r="Q401" s="12" t="s">
        <v>103</v>
      </c>
      <c r="R401" s="13" t="s">
        <v>103</v>
      </c>
      <c r="S401" s="11"/>
      <c r="T401" s="11"/>
      <c r="U401" s="11" t="s">
        <v>104</v>
      </c>
      <c r="V401" s="11" t="s">
        <v>105</v>
      </c>
      <c r="W401" s="11" t="s">
        <v>106</v>
      </c>
      <c r="X401" s="11"/>
      <c r="Y401" s="11"/>
      <c r="Z401" s="11"/>
      <c r="AA401" s="12">
        <v>400</v>
      </c>
      <c r="AB401" s="12"/>
      <c r="AC401" s="11" t="s">
        <v>107</v>
      </c>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row>
    <row r="402" spans="1:56" ht="56" x14ac:dyDescent="0.25">
      <c r="A402" s="11" t="s">
        <v>2394</v>
      </c>
      <c r="B402" s="11" t="s">
        <v>2395</v>
      </c>
      <c r="C402" s="11"/>
      <c r="D402" s="11" t="s">
        <v>91</v>
      </c>
      <c r="E402" s="11" t="s">
        <v>92</v>
      </c>
      <c r="F402" s="11" t="s">
        <v>2396</v>
      </c>
      <c r="G402" s="11" t="s">
        <v>2397</v>
      </c>
      <c r="H402" s="11" t="s">
        <v>94</v>
      </c>
      <c r="I402" s="11" t="s">
        <v>121</v>
      </c>
      <c r="J402" s="11" t="s">
        <v>737</v>
      </c>
      <c r="K402" s="11" t="s">
        <v>123</v>
      </c>
      <c r="L402" s="11" t="s">
        <v>2398</v>
      </c>
      <c r="M402" s="11" t="s">
        <v>139</v>
      </c>
      <c r="N402" s="11" t="s">
        <v>174</v>
      </c>
      <c r="O402" s="11" t="s">
        <v>101</v>
      </c>
      <c r="P402" s="11" t="s">
        <v>102</v>
      </c>
      <c r="Q402" s="12" t="s">
        <v>103</v>
      </c>
      <c r="R402" s="13" t="s">
        <v>103</v>
      </c>
      <c r="S402" s="11"/>
      <c r="T402" s="11"/>
      <c r="U402" s="11" t="s">
        <v>104</v>
      </c>
      <c r="V402" s="11" t="s">
        <v>105</v>
      </c>
      <c r="W402" s="11" t="s">
        <v>106</v>
      </c>
      <c r="X402" s="11"/>
      <c r="Y402" s="11"/>
      <c r="Z402" s="11"/>
      <c r="AA402" s="12">
        <v>401</v>
      </c>
      <c r="AB402" s="12"/>
      <c r="AC402" s="11" t="s">
        <v>107</v>
      </c>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row>
    <row r="403" spans="1:56" ht="42" x14ac:dyDescent="0.25">
      <c r="A403" s="11" t="s">
        <v>2399</v>
      </c>
      <c r="B403" s="11" t="s">
        <v>2400</v>
      </c>
      <c r="C403" s="11"/>
      <c r="D403" s="11" t="s">
        <v>91</v>
      </c>
      <c r="E403" s="11" t="s">
        <v>92</v>
      </c>
      <c r="F403" s="11" t="s">
        <v>2400</v>
      </c>
      <c r="G403" s="11" t="s">
        <v>2401</v>
      </c>
      <c r="H403" s="11" t="s">
        <v>94</v>
      </c>
      <c r="I403" s="11" t="s">
        <v>121</v>
      </c>
      <c r="J403" s="11" t="s">
        <v>2285</v>
      </c>
      <c r="K403" s="11" t="s">
        <v>123</v>
      </c>
      <c r="L403" s="11" t="s">
        <v>2402</v>
      </c>
      <c r="M403" s="11" t="s">
        <v>139</v>
      </c>
      <c r="N403" s="11" t="s">
        <v>174</v>
      </c>
      <c r="O403" s="11" t="s">
        <v>101</v>
      </c>
      <c r="P403" s="11" t="s">
        <v>102</v>
      </c>
      <c r="Q403" s="12" t="s">
        <v>103</v>
      </c>
      <c r="R403" s="13" t="s">
        <v>103</v>
      </c>
      <c r="S403" s="11"/>
      <c r="T403" s="11"/>
      <c r="U403" s="11" t="s">
        <v>104</v>
      </c>
      <c r="V403" s="11" t="s">
        <v>105</v>
      </c>
      <c r="W403" s="11" t="s">
        <v>106</v>
      </c>
      <c r="X403" s="11"/>
      <c r="Y403" s="11"/>
      <c r="Z403" s="11"/>
      <c r="AA403" s="12">
        <v>402</v>
      </c>
      <c r="AB403" s="12"/>
      <c r="AC403" s="11" t="s">
        <v>2403</v>
      </c>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row>
    <row r="404" spans="1:56" ht="56" x14ac:dyDescent="0.25">
      <c r="A404" s="11" t="s">
        <v>2404</v>
      </c>
      <c r="B404" s="11" t="s">
        <v>2405</v>
      </c>
      <c r="C404" s="11"/>
      <c r="D404" s="11" t="s">
        <v>91</v>
      </c>
      <c r="E404" s="11" t="s">
        <v>92</v>
      </c>
      <c r="F404" s="11" t="s">
        <v>2406</v>
      </c>
      <c r="G404" s="11" t="s">
        <v>2407</v>
      </c>
      <c r="H404" s="11" t="s">
        <v>94</v>
      </c>
      <c r="I404" s="11" t="s">
        <v>121</v>
      </c>
      <c r="J404" s="11" t="s">
        <v>737</v>
      </c>
      <c r="K404" s="11" t="s">
        <v>123</v>
      </c>
      <c r="L404" s="11" t="s">
        <v>2408</v>
      </c>
      <c r="M404" s="11" t="s">
        <v>139</v>
      </c>
      <c r="N404" s="11" t="s">
        <v>174</v>
      </c>
      <c r="O404" s="11" t="s">
        <v>140</v>
      </c>
      <c r="P404" s="11" t="s">
        <v>102</v>
      </c>
      <c r="Q404" s="12" t="s">
        <v>103</v>
      </c>
      <c r="R404" s="13" t="s">
        <v>103</v>
      </c>
      <c r="S404" s="11"/>
      <c r="T404" s="11"/>
      <c r="U404" s="11" t="s">
        <v>104</v>
      </c>
      <c r="V404" s="11" t="s">
        <v>105</v>
      </c>
      <c r="W404" s="11" t="s">
        <v>106</v>
      </c>
      <c r="X404" s="11"/>
      <c r="Y404" s="11"/>
      <c r="Z404" s="11"/>
      <c r="AA404" s="12">
        <v>403</v>
      </c>
      <c r="AB404" s="12"/>
      <c r="AC404" s="11" t="s">
        <v>107</v>
      </c>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row>
    <row r="405" spans="1:56" ht="56" x14ac:dyDescent="0.25">
      <c r="A405" s="11" t="s">
        <v>2409</v>
      </c>
      <c r="B405" s="11" t="s">
        <v>2410</v>
      </c>
      <c r="C405" s="11"/>
      <c r="D405" s="11" t="s">
        <v>91</v>
      </c>
      <c r="E405" s="11" t="s">
        <v>92</v>
      </c>
      <c r="F405" s="11" t="s">
        <v>2410</v>
      </c>
      <c r="G405" s="11" t="s">
        <v>2411</v>
      </c>
      <c r="H405" s="11" t="s">
        <v>94</v>
      </c>
      <c r="I405" s="11" t="s">
        <v>112</v>
      </c>
      <c r="J405" s="11" t="s">
        <v>112</v>
      </c>
      <c r="K405" s="11" t="s">
        <v>123</v>
      </c>
      <c r="L405" s="11" t="s">
        <v>2412</v>
      </c>
      <c r="M405" s="11" t="s">
        <v>115</v>
      </c>
      <c r="N405" s="11" t="s">
        <v>174</v>
      </c>
      <c r="O405" s="11" t="s">
        <v>101</v>
      </c>
      <c r="P405" s="11" t="s">
        <v>102</v>
      </c>
      <c r="Q405" s="12" t="s">
        <v>103</v>
      </c>
      <c r="R405" s="13" t="s">
        <v>103</v>
      </c>
      <c r="S405" s="11"/>
      <c r="T405" s="11"/>
      <c r="U405" s="11" t="s">
        <v>104</v>
      </c>
      <c r="V405" s="11" t="s">
        <v>105</v>
      </c>
      <c r="W405" s="11" t="s">
        <v>106</v>
      </c>
      <c r="X405" s="11"/>
      <c r="Y405" s="11"/>
      <c r="Z405" s="11"/>
      <c r="AA405" s="12">
        <v>404</v>
      </c>
      <c r="AB405" s="12"/>
      <c r="AC405" s="11" t="s">
        <v>116</v>
      </c>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row>
    <row r="406" spans="1:56" ht="42" x14ac:dyDescent="0.25">
      <c r="A406" s="11" t="s">
        <v>2413</v>
      </c>
      <c r="B406" s="11" t="s">
        <v>2414</v>
      </c>
      <c r="C406" s="11"/>
      <c r="D406" s="11" t="s">
        <v>91</v>
      </c>
      <c r="E406" s="11" t="s">
        <v>92</v>
      </c>
      <c r="F406" s="11" t="s">
        <v>2415</v>
      </c>
      <c r="G406" s="11" t="s">
        <v>153</v>
      </c>
      <c r="H406" s="11" t="s">
        <v>94</v>
      </c>
      <c r="I406" s="11" t="s">
        <v>121</v>
      </c>
      <c r="J406" s="11" t="s">
        <v>971</v>
      </c>
      <c r="K406" s="11" t="s">
        <v>123</v>
      </c>
      <c r="L406" s="11" t="s">
        <v>971</v>
      </c>
      <c r="M406" s="11" t="s">
        <v>139</v>
      </c>
      <c r="N406" s="11" t="s">
        <v>174</v>
      </c>
      <c r="O406" s="11" t="s">
        <v>140</v>
      </c>
      <c r="P406" s="11" t="s">
        <v>102</v>
      </c>
      <c r="Q406" s="12">
        <v>0</v>
      </c>
      <c r="R406" s="13">
        <v>0</v>
      </c>
      <c r="S406" s="11"/>
      <c r="T406" s="11"/>
      <c r="U406" s="11" t="s">
        <v>104</v>
      </c>
      <c r="V406" s="11" t="s">
        <v>105</v>
      </c>
      <c r="W406" s="11" t="s">
        <v>106</v>
      </c>
      <c r="X406" s="11"/>
      <c r="Y406" s="11"/>
      <c r="Z406" s="11"/>
      <c r="AA406" s="12">
        <v>405</v>
      </c>
      <c r="AB406" s="12"/>
      <c r="AC406" s="11" t="s">
        <v>107</v>
      </c>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row>
    <row r="407" spans="1:56" ht="42" x14ac:dyDescent="0.25">
      <c r="A407" s="11" t="s">
        <v>2416</v>
      </c>
      <c r="B407" s="11" t="s">
        <v>2417</v>
      </c>
      <c r="C407" s="11"/>
      <c r="D407" s="11" t="s">
        <v>91</v>
      </c>
      <c r="E407" s="11" t="s">
        <v>92</v>
      </c>
      <c r="F407" s="11" t="s">
        <v>2418</v>
      </c>
      <c r="G407" s="11" t="s">
        <v>153</v>
      </c>
      <c r="H407" s="11" t="s">
        <v>94</v>
      </c>
      <c r="I407" s="11" t="s">
        <v>121</v>
      </c>
      <c r="J407" s="11" t="s">
        <v>971</v>
      </c>
      <c r="K407" s="11" t="s">
        <v>123</v>
      </c>
      <c r="L407" s="11" t="s">
        <v>971</v>
      </c>
      <c r="M407" s="11" t="s">
        <v>139</v>
      </c>
      <c r="N407" s="11" t="s">
        <v>174</v>
      </c>
      <c r="O407" s="11" t="s">
        <v>140</v>
      </c>
      <c r="P407" s="11" t="s">
        <v>102</v>
      </c>
      <c r="Q407" s="12">
        <v>0</v>
      </c>
      <c r="R407" s="13">
        <v>0</v>
      </c>
      <c r="S407" s="11"/>
      <c r="T407" s="11"/>
      <c r="U407" s="11" t="s">
        <v>104</v>
      </c>
      <c r="V407" s="11" t="s">
        <v>105</v>
      </c>
      <c r="W407" s="11" t="s">
        <v>106</v>
      </c>
      <c r="X407" s="11"/>
      <c r="Y407" s="11"/>
      <c r="Z407" s="11"/>
      <c r="AA407" s="12">
        <v>406</v>
      </c>
      <c r="AB407" s="12"/>
      <c r="AC407" s="11" t="s">
        <v>107</v>
      </c>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row>
    <row r="408" spans="1:56" ht="42" x14ac:dyDescent="0.25">
      <c r="A408" s="11" t="s">
        <v>2419</v>
      </c>
      <c r="B408" s="11" t="s">
        <v>2420</v>
      </c>
      <c r="C408" s="11"/>
      <c r="D408" s="11" t="s">
        <v>91</v>
      </c>
      <c r="E408" s="11" t="s">
        <v>92</v>
      </c>
      <c r="F408" s="11" t="s">
        <v>2421</v>
      </c>
      <c r="G408" s="11" t="s">
        <v>153</v>
      </c>
      <c r="H408" s="11" t="s">
        <v>94</v>
      </c>
      <c r="I408" s="11" t="s">
        <v>121</v>
      </c>
      <c r="J408" s="11" t="s">
        <v>737</v>
      </c>
      <c r="K408" s="11" t="s">
        <v>123</v>
      </c>
      <c r="L408" s="11" t="s">
        <v>737</v>
      </c>
      <c r="M408" s="11" t="s">
        <v>139</v>
      </c>
      <c r="N408" s="11" t="s">
        <v>174</v>
      </c>
      <c r="O408" s="11" t="s">
        <v>140</v>
      </c>
      <c r="P408" s="11" t="s">
        <v>102</v>
      </c>
      <c r="Q408" s="12">
        <v>0</v>
      </c>
      <c r="R408" s="13">
        <v>0</v>
      </c>
      <c r="S408" s="11"/>
      <c r="T408" s="11"/>
      <c r="U408" s="11" t="s">
        <v>104</v>
      </c>
      <c r="V408" s="11" t="s">
        <v>105</v>
      </c>
      <c r="W408" s="11" t="s">
        <v>106</v>
      </c>
      <c r="X408" s="11"/>
      <c r="Y408" s="11"/>
      <c r="Z408" s="11"/>
      <c r="AA408" s="12">
        <v>407</v>
      </c>
      <c r="AB408" s="12"/>
      <c r="AC408" s="11" t="s">
        <v>107</v>
      </c>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row>
    <row r="409" spans="1:56" ht="42" x14ac:dyDescent="0.25">
      <c r="A409" s="11" t="s">
        <v>2422</v>
      </c>
      <c r="B409" s="11" t="s">
        <v>2423</v>
      </c>
      <c r="C409" s="11"/>
      <c r="D409" s="11" t="s">
        <v>91</v>
      </c>
      <c r="E409" s="11" t="s">
        <v>92</v>
      </c>
      <c r="F409" s="11" t="s">
        <v>2423</v>
      </c>
      <c r="G409" s="11" t="s">
        <v>2424</v>
      </c>
      <c r="H409" s="11" t="s">
        <v>94</v>
      </c>
      <c r="I409" s="11" t="s">
        <v>95</v>
      </c>
      <c r="J409" s="11" t="s">
        <v>96</v>
      </c>
      <c r="K409" s="11" t="s">
        <v>2425</v>
      </c>
      <c r="L409" s="11" t="s">
        <v>2426</v>
      </c>
      <c r="M409" s="11" t="s">
        <v>183</v>
      </c>
      <c r="N409" s="11" t="s">
        <v>174</v>
      </c>
      <c r="O409" s="11" t="s">
        <v>101</v>
      </c>
      <c r="P409" s="11" t="s">
        <v>102</v>
      </c>
      <c r="Q409" s="12">
        <v>0</v>
      </c>
      <c r="R409" s="13">
        <v>0</v>
      </c>
      <c r="S409" s="11"/>
      <c r="T409" s="11"/>
      <c r="U409" s="11" t="s">
        <v>104</v>
      </c>
      <c r="V409" s="11" t="s">
        <v>105</v>
      </c>
      <c r="W409" s="11" t="s">
        <v>106</v>
      </c>
      <c r="X409" s="11"/>
      <c r="Y409" s="11"/>
      <c r="Z409" s="11"/>
      <c r="AA409" s="12">
        <v>408</v>
      </c>
      <c r="AB409" s="12"/>
      <c r="AC409" s="11" t="s">
        <v>107</v>
      </c>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row>
    <row r="410" spans="1:56" ht="42" x14ac:dyDescent="0.25">
      <c r="A410" s="11" t="s">
        <v>2427</v>
      </c>
      <c r="B410" s="11" t="s">
        <v>2428</v>
      </c>
      <c r="C410" s="11"/>
      <c r="D410" s="11" t="s">
        <v>91</v>
      </c>
      <c r="E410" s="11" t="s">
        <v>92</v>
      </c>
      <c r="F410" s="11" t="s">
        <v>2429</v>
      </c>
      <c r="G410" s="11" t="s">
        <v>2430</v>
      </c>
      <c r="H410" s="11" t="s">
        <v>94</v>
      </c>
      <c r="I410" s="11" t="s">
        <v>121</v>
      </c>
      <c r="J410" s="11" t="s">
        <v>122</v>
      </c>
      <c r="K410" s="11" t="s">
        <v>123</v>
      </c>
      <c r="L410" s="11" t="s">
        <v>2431</v>
      </c>
      <c r="M410" s="11" t="s">
        <v>139</v>
      </c>
      <c r="N410" s="11" t="s">
        <v>174</v>
      </c>
      <c r="O410" s="11" t="s">
        <v>2297</v>
      </c>
      <c r="P410" s="11" t="s">
        <v>102</v>
      </c>
      <c r="Q410" s="12">
        <v>0</v>
      </c>
      <c r="R410" s="13">
        <v>0</v>
      </c>
      <c r="S410" s="11"/>
      <c r="T410" s="11"/>
      <c r="U410" s="11" t="s">
        <v>104</v>
      </c>
      <c r="V410" s="11" t="s">
        <v>105</v>
      </c>
      <c r="W410" s="11" t="s">
        <v>106</v>
      </c>
      <c r="X410" s="11"/>
      <c r="Y410" s="11"/>
      <c r="Z410" s="11"/>
      <c r="AA410" s="12">
        <v>409</v>
      </c>
      <c r="AB410" s="12"/>
      <c r="AC410" s="11" t="s">
        <v>2432</v>
      </c>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row>
    <row r="411" spans="1:56" ht="42" x14ac:dyDescent="0.25">
      <c r="A411" s="11" t="s">
        <v>2433</v>
      </c>
      <c r="B411" s="11" t="s">
        <v>2434</v>
      </c>
      <c r="C411" s="11"/>
      <c r="D411" s="11" t="s">
        <v>91</v>
      </c>
      <c r="E411" s="11" t="s">
        <v>92</v>
      </c>
      <c r="F411" s="11" t="s">
        <v>2434</v>
      </c>
      <c r="G411" s="11" t="s">
        <v>2435</v>
      </c>
      <c r="H411" s="11" t="s">
        <v>94</v>
      </c>
      <c r="I411" s="11" t="s">
        <v>112</v>
      </c>
      <c r="J411" s="11" t="s">
        <v>112</v>
      </c>
      <c r="K411" s="11" t="s">
        <v>1734</v>
      </c>
      <c r="L411" s="11" t="s">
        <v>2436</v>
      </c>
      <c r="M411" s="11" t="s">
        <v>183</v>
      </c>
      <c r="N411" s="11" t="s">
        <v>174</v>
      </c>
      <c r="O411" s="11" t="s">
        <v>101</v>
      </c>
      <c r="P411" s="11" t="s">
        <v>102</v>
      </c>
      <c r="Q411" s="12">
        <v>0</v>
      </c>
      <c r="R411" s="13">
        <v>0</v>
      </c>
      <c r="S411" s="11"/>
      <c r="T411" s="11"/>
      <c r="U411" s="11" t="s">
        <v>104</v>
      </c>
      <c r="V411" s="11" t="s">
        <v>105</v>
      </c>
      <c r="W411" s="11" t="s">
        <v>106</v>
      </c>
      <c r="X411" s="11"/>
      <c r="Y411" s="11"/>
      <c r="Z411" s="11"/>
      <c r="AA411" s="12">
        <v>410</v>
      </c>
      <c r="AB411" s="12"/>
      <c r="AC411" s="11" t="s">
        <v>184</v>
      </c>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row>
    <row r="412" spans="1:56" ht="70" x14ac:dyDescent="0.25">
      <c r="A412" s="11" t="s">
        <v>2437</v>
      </c>
      <c r="B412" s="11" t="s">
        <v>2438</v>
      </c>
      <c r="C412" s="11"/>
      <c r="D412" s="11" t="s">
        <v>91</v>
      </c>
      <c r="E412" s="11" t="s">
        <v>92</v>
      </c>
      <c r="F412" s="11" t="s">
        <v>2439</v>
      </c>
      <c r="G412" s="11" t="s">
        <v>2440</v>
      </c>
      <c r="H412" s="11" t="s">
        <v>94</v>
      </c>
      <c r="I412" s="11" t="s">
        <v>112</v>
      </c>
      <c r="J412" s="11" t="s">
        <v>112</v>
      </c>
      <c r="K412" s="11" t="s">
        <v>2441</v>
      </c>
      <c r="L412" s="11" t="s">
        <v>2442</v>
      </c>
      <c r="M412" s="11" t="s">
        <v>183</v>
      </c>
      <c r="N412" s="11" t="s">
        <v>174</v>
      </c>
      <c r="O412" s="11" t="s">
        <v>101</v>
      </c>
      <c r="P412" s="11" t="s">
        <v>102</v>
      </c>
      <c r="Q412" s="12">
        <v>114.001502</v>
      </c>
      <c r="R412" s="13">
        <v>22.913103</v>
      </c>
      <c r="S412" s="11" t="s">
        <v>2443</v>
      </c>
      <c r="T412" s="11"/>
      <c r="U412" s="11" t="s">
        <v>104</v>
      </c>
      <c r="V412" s="11" t="s">
        <v>105</v>
      </c>
      <c r="W412" s="11" t="s">
        <v>106</v>
      </c>
      <c r="X412" s="11"/>
      <c r="Y412" s="11"/>
      <c r="Z412" s="11"/>
      <c r="AA412" s="12">
        <v>411</v>
      </c>
      <c r="AB412" s="12"/>
      <c r="AC412" s="11" t="s">
        <v>2029</v>
      </c>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row>
    <row r="413" spans="1:56" ht="56" x14ac:dyDescent="0.25">
      <c r="A413" s="11" t="s">
        <v>2444</v>
      </c>
      <c r="B413" s="11" t="s">
        <v>2445</v>
      </c>
      <c r="C413" s="11"/>
      <c r="D413" s="11" t="s">
        <v>91</v>
      </c>
      <c r="E413" s="11" t="s">
        <v>92</v>
      </c>
      <c r="F413" s="11" t="s">
        <v>2445</v>
      </c>
      <c r="G413" s="11" t="s">
        <v>2446</v>
      </c>
      <c r="H413" s="11" t="s">
        <v>94</v>
      </c>
      <c r="I413" s="11" t="s">
        <v>112</v>
      </c>
      <c r="J413" s="11" t="s">
        <v>112</v>
      </c>
      <c r="K413" s="11" t="s">
        <v>1531</v>
      </c>
      <c r="L413" s="11" t="s">
        <v>2447</v>
      </c>
      <c r="M413" s="11" t="s">
        <v>183</v>
      </c>
      <c r="N413" s="11" t="s">
        <v>174</v>
      </c>
      <c r="O413" s="11" t="s">
        <v>101</v>
      </c>
      <c r="P413" s="11" t="s">
        <v>102</v>
      </c>
      <c r="Q413" s="12">
        <v>113.870407</v>
      </c>
      <c r="R413" s="13">
        <v>23.064684</v>
      </c>
      <c r="S413" s="11" t="s">
        <v>2448</v>
      </c>
      <c r="T413" s="11"/>
      <c r="U413" s="11" t="s">
        <v>104</v>
      </c>
      <c r="V413" s="11" t="s">
        <v>105</v>
      </c>
      <c r="W413" s="11" t="s">
        <v>106</v>
      </c>
      <c r="X413" s="11"/>
      <c r="Y413" s="11"/>
      <c r="Z413" s="11"/>
      <c r="AA413" s="12">
        <v>412</v>
      </c>
      <c r="AB413" s="12"/>
      <c r="AC413" s="11" t="s">
        <v>2029</v>
      </c>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row>
    <row r="414" spans="1:56" ht="56" x14ac:dyDescent="0.25">
      <c r="A414" s="11" t="s">
        <v>2449</v>
      </c>
      <c r="B414" s="11" t="s">
        <v>2450</v>
      </c>
      <c r="C414" s="11"/>
      <c r="D414" s="11" t="s">
        <v>91</v>
      </c>
      <c r="E414" s="11" t="s">
        <v>92</v>
      </c>
      <c r="F414" s="11" t="s">
        <v>2451</v>
      </c>
      <c r="G414" s="11" t="s">
        <v>2452</v>
      </c>
      <c r="H414" s="11" t="s">
        <v>94</v>
      </c>
      <c r="I414" s="11" t="s">
        <v>112</v>
      </c>
      <c r="J414" s="11" t="s">
        <v>112</v>
      </c>
      <c r="K414" s="11" t="s">
        <v>1500</v>
      </c>
      <c r="L414" s="11" t="s">
        <v>2453</v>
      </c>
      <c r="M414" s="11" t="s">
        <v>183</v>
      </c>
      <c r="N414" s="11" t="s">
        <v>174</v>
      </c>
      <c r="O414" s="11" t="s">
        <v>101</v>
      </c>
      <c r="P414" s="11" t="s">
        <v>102</v>
      </c>
      <c r="Q414" s="12">
        <v>113.81112899999999</v>
      </c>
      <c r="R414" s="13">
        <v>22.812989000000002</v>
      </c>
      <c r="S414" s="11" t="s">
        <v>2454</v>
      </c>
      <c r="T414" s="11"/>
      <c r="U414" s="11" t="s">
        <v>104</v>
      </c>
      <c r="V414" s="11" t="s">
        <v>105</v>
      </c>
      <c r="W414" s="11" t="s">
        <v>106</v>
      </c>
      <c r="X414" s="11"/>
      <c r="Y414" s="11"/>
      <c r="Z414" s="11"/>
      <c r="AA414" s="12">
        <v>413</v>
      </c>
      <c r="AB414" s="12"/>
      <c r="AC414" s="11" t="s">
        <v>2029</v>
      </c>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row>
    <row r="415" spans="1:56" ht="56" x14ac:dyDescent="0.25">
      <c r="A415" s="11" t="s">
        <v>2455</v>
      </c>
      <c r="B415" s="11" t="s">
        <v>2456</v>
      </c>
      <c r="C415" s="11"/>
      <c r="D415" s="11" t="s">
        <v>91</v>
      </c>
      <c r="E415" s="11" t="s">
        <v>92</v>
      </c>
      <c r="F415" s="11" t="s">
        <v>2457</v>
      </c>
      <c r="G415" s="11" t="s">
        <v>2458</v>
      </c>
      <c r="H415" s="11" t="s">
        <v>94</v>
      </c>
      <c r="I415" s="11" t="s">
        <v>95</v>
      </c>
      <c r="J415" s="11" t="s">
        <v>2459</v>
      </c>
      <c r="K415" s="11" t="s">
        <v>123</v>
      </c>
      <c r="L415" s="11" t="s">
        <v>2460</v>
      </c>
      <c r="M415" s="11" t="s">
        <v>183</v>
      </c>
      <c r="N415" s="11" t="s">
        <v>174</v>
      </c>
      <c r="O415" s="11" t="s">
        <v>101</v>
      </c>
      <c r="P415" s="11" t="s">
        <v>102</v>
      </c>
      <c r="Q415" s="12">
        <v>112.884122</v>
      </c>
      <c r="R415" s="13">
        <v>22.89087</v>
      </c>
      <c r="S415" s="11" t="s">
        <v>2461</v>
      </c>
      <c r="T415" s="11"/>
      <c r="U415" s="11" t="s">
        <v>104</v>
      </c>
      <c r="V415" s="11" t="s">
        <v>105</v>
      </c>
      <c r="W415" s="11" t="s">
        <v>106</v>
      </c>
      <c r="X415" s="11"/>
      <c r="Y415" s="11"/>
      <c r="Z415" s="11"/>
      <c r="AA415" s="12">
        <v>414</v>
      </c>
      <c r="AB415" s="12"/>
      <c r="AC415" s="11" t="s">
        <v>2029</v>
      </c>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row>
    <row r="416" spans="1:56" ht="56" x14ac:dyDescent="0.25">
      <c r="A416" s="11" t="s">
        <v>2462</v>
      </c>
      <c r="B416" s="11" t="s">
        <v>2463</v>
      </c>
      <c r="C416" s="11"/>
      <c r="D416" s="11" t="s">
        <v>91</v>
      </c>
      <c r="E416" s="11" t="s">
        <v>92</v>
      </c>
      <c r="F416" s="11" t="s">
        <v>2464</v>
      </c>
      <c r="G416" s="11" t="s">
        <v>2465</v>
      </c>
      <c r="H416" s="11" t="s">
        <v>94</v>
      </c>
      <c r="I416" s="11" t="s">
        <v>121</v>
      </c>
      <c r="J416" s="11" t="s">
        <v>122</v>
      </c>
      <c r="K416" s="11" t="s">
        <v>123</v>
      </c>
      <c r="L416" s="11" t="s">
        <v>2466</v>
      </c>
      <c r="M416" s="11" t="s">
        <v>99</v>
      </c>
      <c r="N416" s="11" t="s">
        <v>174</v>
      </c>
      <c r="O416" s="11" t="s">
        <v>101</v>
      </c>
      <c r="P416" s="11" t="s">
        <v>102</v>
      </c>
      <c r="Q416" s="12">
        <v>113.396441</v>
      </c>
      <c r="R416" s="13">
        <v>23.191644</v>
      </c>
      <c r="S416" s="11"/>
      <c r="T416" s="11"/>
      <c r="U416" s="11" t="s">
        <v>104</v>
      </c>
      <c r="V416" s="11" t="s">
        <v>105</v>
      </c>
      <c r="W416" s="11" t="s">
        <v>106</v>
      </c>
      <c r="X416" s="11"/>
      <c r="Y416" s="11"/>
      <c r="Z416" s="11"/>
      <c r="AA416" s="12">
        <v>415</v>
      </c>
      <c r="AB416" s="12"/>
      <c r="AC416" s="11" t="s">
        <v>107</v>
      </c>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row>
    <row r="417" spans="1:56" ht="56" x14ac:dyDescent="0.25">
      <c r="A417" s="11" t="s">
        <v>2467</v>
      </c>
      <c r="B417" s="11" t="s">
        <v>2468</v>
      </c>
      <c r="C417" s="11"/>
      <c r="D417" s="11" t="s">
        <v>91</v>
      </c>
      <c r="E417" s="11" t="s">
        <v>92</v>
      </c>
      <c r="F417" s="11" t="s">
        <v>2468</v>
      </c>
      <c r="G417" s="11" t="s">
        <v>2469</v>
      </c>
      <c r="H417" s="11" t="s">
        <v>94</v>
      </c>
      <c r="I417" s="11" t="s">
        <v>2470</v>
      </c>
      <c r="J417" s="11" t="s">
        <v>2471</v>
      </c>
      <c r="K417" s="11" t="s">
        <v>123</v>
      </c>
      <c r="L417" s="11" t="s">
        <v>2472</v>
      </c>
      <c r="M417" s="11" t="s">
        <v>115</v>
      </c>
      <c r="N417" s="11" t="s">
        <v>174</v>
      </c>
      <c r="O417" s="11" t="s">
        <v>101</v>
      </c>
      <c r="P417" s="11" t="s">
        <v>102</v>
      </c>
      <c r="Q417" s="12">
        <v>112.454919</v>
      </c>
      <c r="R417" s="13">
        <v>23.023060000000001</v>
      </c>
      <c r="S417" s="11"/>
      <c r="T417" s="11"/>
      <c r="U417" s="11" t="s">
        <v>104</v>
      </c>
      <c r="V417" s="11" t="s">
        <v>105</v>
      </c>
      <c r="W417" s="11" t="s">
        <v>106</v>
      </c>
      <c r="X417" s="11"/>
      <c r="Y417" s="11"/>
      <c r="Z417" s="11"/>
      <c r="AA417" s="12">
        <v>416</v>
      </c>
      <c r="AB417" s="12"/>
      <c r="AC417" s="11" t="s">
        <v>116</v>
      </c>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row>
    <row r="418" spans="1:56" ht="56" x14ac:dyDescent="0.25">
      <c r="A418" s="11" t="s">
        <v>2473</v>
      </c>
      <c r="B418" s="11" t="s">
        <v>2474</v>
      </c>
      <c r="C418" s="11"/>
      <c r="D418" s="11" t="s">
        <v>91</v>
      </c>
      <c r="E418" s="11" t="s">
        <v>92</v>
      </c>
      <c r="F418" s="11" t="s">
        <v>2475</v>
      </c>
      <c r="G418" s="11" t="s">
        <v>2476</v>
      </c>
      <c r="H418" s="11" t="s">
        <v>94</v>
      </c>
      <c r="I418" s="11" t="s">
        <v>112</v>
      </c>
      <c r="J418" s="11" t="s">
        <v>112</v>
      </c>
      <c r="K418" s="11" t="s">
        <v>113</v>
      </c>
      <c r="L418" s="11" t="s">
        <v>2477</v>
      </c>
      <c r="M418" s="11" t="s">
        <v>99</v>
      </c>
      <c r="N418" s="11" t="s">
        <v>174</v>
      </c>
      <c r="O418" s="11" t="s">
        <v>101</v>
      </c>
      <c r="P418" s="11" t="s">
        <v>102</v>
      </c>
      <c r="Q418" s="12">
        <v>113.735859</v>
      </c>
      <c r="R418" s="13">
        <v>23.007054</v>
      </c>
      <c r="S418" s="11"/>
      <c r="T418" s="11"/>
      <c r="U418" s="11" t="s">
        <v>104</v>
      </c>
      <c r="V418" s="11" t="s">
        <v>105</v>
      </c>
      <c r="W418" s="11" t="s">
        <v>106</v>
      </c>
      <c r="X418" s="11"/>
      <c r="Y418" s="11"/>
      <c r="Z418" s="11"/>
      <c r="AA418" s="12">
        <v>417</v>
      </c>
      <c r="AB418" s="12"/>
      <c r="AC418" s="11" t="s">
        <v>2478</v>
      </c>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row>
    <row r="419" spans="1:56" ht="56" x14ac:dyDescent="0.25">
      <c r="A419" s="11" t="s">
        <v>2479</v>
      </c>
      <c r="B419" s="11" t="s">
        <v>2480</v>
      </c>
      <c r="C419" s="11"/>
      <c r="D419" s="11" t="s">
        <v>91</v>
      </c>
      <c r="E419" s="11" t="s">
        <v>92</v>
      </c>
      <c r="F419" s="11" t="s">
        <v>2481</v>
      </c>
      <c r="G419" s="11" t="s">
        <v>2482</v>
      </c>
      <c r="H419" s="11" t="s">
        <v>94</v>
      </c>
      <c r="I419" s="11" t="s">
        <v>112</v>
      </c>
      <c r="J419" s="11" t="s">
        <v>112</v>
      </c>
      <c r="K419" s="11" t="s">
        <v>113</v>
      </c>
      <c r="L419" s="11" t="s">
        <v>2483</v>
      </c>
      <c r="M419" s="11" t="s">
        <v>99</v>
      </c>
      <c r="N419" s="11" t="s">
        <v>174</v>
      </c>
      <c r="O419" s="11" t="s">
        <v>101</v>
      </c>
      <c r="P419" s="11" t="s">
        <v>102</v>
      </c>
      <c r="Q419" s="12">
        <v>113.725317</v>
      </c>
      <c r="R419" s="13">
        <v>22.988949999999999</v>
      </c>
      <c r="S419" s="11"/>
      <c r="T419" s="11"/>
      <c r="U419" s="11" t="s">
        <v>104</v>
      </c>
      <c r="V419" s="11" t="s">
        <v>105</v>
      </c>
      <c r="W419" s="11" t="s">
        <v>106</v>
      </c>
      <c r="X419" s="11"/>
      <c r="Y419" s="11"/>
      <c r="Z419" s="11"/>
      <c r="AA419" s="12">
        <v>418</v>
      </c>
      <c r="AB419" s="12"/>
      <c r="AC419" s="11" t="s">
        <v>107</v>
      </c>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row>
    <row r="420" spans="1:56" ht="42" x14ac:dyDescent="0.25">
      <c r="A420" s="11" t="s">
        <v>2484</v>
      </c>
      <c r="B420" s="11" t="s">
        <v>2485</v>
      </c>
      <c r="C420" s="11"/>
      <c r="D420" s="11" t="s">
        <v>91</v>
      </c>
      <c r="E420" s="11"/>
      <c r="F420" s="11" t="s">
        <v>2486</v>
      </c>
      <c r="G420" s="11" t="s">
        <v>2487</v>
      </c>
      <c r="H420" s="11" t="s">
        <v>94</v>
      </c>
      <c r="I420" s="11" t="s">
        <v>121</v>
      </c>
      <c r="J420" s="11" t="s">
        <v>971</v>
      </c>
      <c r="K420" s="11" t="s">
        <v>2488</v>
      </c>
      <c r="L420" s="11" t="s">
        <v>2489</v>
      </c>
      <c r="M420" s="11" t="s">
        <v>125</v>
      </c>
      <c r="N420" s="11" t="s">
        <v>174</v>
      </c>
      <c r="O420" s="11" t="s">
        <v>140</v>
      </c>
      <c r="P420" s="11" t="s">
        <v>102</v>
      </c>
      <c r="Q420" s="12">
        <v>113.235626</v>
      </c>
      <c r="R420" s="13">
        <v>23.164881000000001</v>
      </c>
      <c r="S420" s="11"/>
      <c r="T420" s="11"/>
      <c r="U420" s="11" t="s">
        <v>104</v>
      </c>
      <c r="V420" s="11" t="s">
        <v>105</v>
      </c>
      <c r="W420" s="11" t="s">
        <v>106</v>
      </c>
      <c r="X420" s="11"/>
      <c r="Y420" s="11"/>
      <c r="Z420" s="11"/>
      <c r="AA420" s="12">
        <v>419</v>
      </c>
      <c r="AB420" s="12"/>
      <c r="AC420" s="11" t="s">
        <v>2490</v>
      </c>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row>
    <row r="421" spans="1:56" ht="56" x14ac:dyDescent="0.25">
      <c r="A421" s="11" t="s">
        <v>2491</v>
      </c>
      <c r="B421" s="11" t="s">
        <v>2492</v>
      </c>
      <c r="C421" s="11"/>
      <c r="D421" s="11" t="s">
        <v>91</v>
      </c>
      <c r="E421" s="11"/>
      <c r="F421" s="11" t="s">
        <v>2486</v>
      </c>
      <c r="G421" s="11" t="s">
        <v>2493</v>
      </c>
      <c r="H421" s="11" t="s">
        <v>94</v>
      </c>
      <c r="I421" s="11" t="s">
        <v>121</v>
      </c>
      <c r="J421" s="11" t="s">
        <v>971</v>
      </c>
      <c r="K421" s="11" t="s">
        <v>123</v>
      </c>
      <c r="L421" s="11" t="s">
        <v>2494</v>
      </c>
      <c r="M421" s="11" t="s">
        <v>125</v>
      </c>
      <c r="N421" s="11" t="s">
        <v>174</v>
      </c>
      <c r="O421" s="11" t="s">
        <v>140</v>
      </c>
      <c r="P421" s="11" t="s">
        <v>102</v>
      </c>
      <c r="Q421" s="12">
        <v>113.339219</v>
      </c>
      <c r="R421" s="13">
        <v>23.276543</v>
      </c>
      <c r="S421" s="11"/>
      <c r="T421" s="11"/>
      <c r="U421" s="11" t="s">
        <v>104</v>
      </c>
      <c r="V421" s="11" t="s">
        <v>105</v>
      </c>
      <c r="W421" s="11" t="s">
        <v>106</v>
      </c>
      <c r="X421" s="11"/>
      <c r="Y421" s="11"/>
      <c r="Z421" s="11"/>
      <c r="AA421" s="12">
        <v>420</v>
      </c>
      <c r="AB421" s="12"/>
      <c r="AC421" s="11" t="s">
        <v>2490</v>
      </c>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row>
    <row r="422" spans="1:56" ht="56" x14ac:dyDescent="0.25">
      <c r="A422" s="11" t="s">
        <v>2495</v>
      </c>
      <c r="B422" s="11" t="s">
        <v>2496</v>
      </c>
      <c r="C422" s="11"/>
      <c r="D422" s="11" t="s">
        <v>91</v>
      </c>
      <c r="E422" s="11"/>
      <c r="F422" s="11" t="s">
        <v>2497</v>
      </c>
      <c r="G422" s="11" t="s">
        <v>2498</v>
      </c>
      <c r="H422" s="11" t="s">
        <v>94</v>
      </c>
      <c r="I422" s="11" t="s">
        <v>121</v>
      </c>
      <c r="J422" s="11" t="s">
        <v>2264</v>
      </c>
      <c r="K422" s="11" t="s">
        <v>123</v>
      </c>
      <c r="L422" s="11" t="s">
        <v>2499</v>
      </c>
      <c r="M422" s="11" t="s">
        <v>125</v>
      </c>
      <c r="N422" s="11" t="s">
        <v>174</v>
      </c>
      <c r="O422" s="11" t="s">
        <v>140</v>
      </c>
      <c r="P422" s="11" t="s">
        <v>102</v>
      </c>
      <c r="Q422" s="12">
        <v>113.254925</v>
      </c>
      <c r="R422" s="13">
        <v>23.115124999999999</v>
      </c>
      <c r="S422" s="11"/>
      <c r="T422" s="11"/>
      <c r="U422" s="11" t="s">
        <v>104</v>
      </c>
      <c r="V422" s="11" t="s">
        <v>105</v>
      </c>
      <c r="W422" s="11" t="s">
        <v>106</v>
      </c>
      <c r="X422" s="11"/>
      <c r="Y422" s="11"/>
      <c r="Z422" s="11"/>
      <c r="AA422" s="12">
        <v>421</v>
      </c>
      <c r="AB422" s="12"/>
      <c r="AC422" s="11" t="s">
        <v>2490</v>
      </c>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row>
    <row r="423" spans="1:56" ht="56" x14ac:dyDescent="0.25">
      <c r="A423" s="11" t="s">
        <v>2500</v>
      </c>
      <c r="B423" s="11" t="s">
        <v>2501</v>
      </c>
      <c r="C423" s="11"/>
      <c r="D423" s="11" t="s">
        <v>91</v>
      </c>
      <c r="E423" s="11" t="s">
        <v>92</v>
      </c>
      <c r="F423" s="11" t="s">
        <v>2501</v>
      </c>
      <c r="G423" s="11" t="s">
        <v>2502</v>
      </c>
      <c r="H423" s="11" t="s">
        <v>94</v>
      </c>
      <c r="I423" s="11" t="s">
        <v>95</v>
      </c>
      <c r="J423" s="11" t="s">
        <v>96</v>
      </c>
      <c r="K423" s="11" t="s">
        <v>2503</v>
      </c>
      <c r="L423" s="11" t="s">
        <v>2504</v>
      </c>
      <c r="M423" s="11" t="s">
        <v>115</v>
      </c>
      <c r="N423" s="11" t="s">
        <v>174</v>
      </c>
      <c r="O423" s="11" t="s">
        <v>101</v>
      </c>
      <c r="P423" s="11" t="s">
        <v>102</v>
      </c>
      <c r="Q423" s="12">
        <v>113.109054</v>
      </c>
      <c r="R423" s="13">
        <v>23.101697999999999</v>
      </c>
      <c r="S423" s="11"/>
      <c r="T423" s="11"/>
      <c r="U423" s="11" t="s">
        <v>104</v>
      </c>
      <c r="V423" s="11" t="s">
        <v>105</v>
      </c>
      <c r="W423" s="11" t="s">
        <v>106</v>
      </c>
      <c r="X423" s="11"/>
      <c r="Y423" s="11"/>
      <c r="Z423" s="11"/>
      <c r="AA423" s="12">
        <v>422</v>
      </c>
      <c r="AB423" s="12"/>
      <c r="AC423" s="11" t="s">
        <v>2505</v>
      </c>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row>
    <row r="424" spans="1:56" ht="56" x14ac:dyDescent="0.25">
      <c r="A424" s="11" t="s">
        <v>2506</v>
      </c>
      <c r="B424" s="11" t="s">
        <v>2507</v>
      </c>
      <c r="C424" s="11"/>
      <c r="D424" s="11" t="s">
        <v>91</v>
      </c>
      <c r="E424" s="11" t="s">
        <v>92</v>
      </c>
      <c r="F424" s="11" t="s">
        <v>2507</v>
      </c>
      <c r="G424" s="11" t="s">
        <v>2508</v>
      </c>
      <c r="H424" s="11" t="s">
        <v>94</v>
      </c>
      <c r="I424" s="11" t="s">
        <v>121</v>
      </c>
      <c r="J424" s="11" t="s">
        <v>2285</v>
      </c>
      <c r="K424" s="11" t="s">
        <v>123</v>
      </c>
      <c r="L424" s="11" t="s">
        <v>2509</v>
      </c>
      <c r="M424" s="11" t="s">
        <v>115</v>
      </c>
      <c r="N424" s="11" t="s">
        <v>174</v>
      </c>
      <c r="O424" s="11" t="s">
        <v>101</v>
      </c>
      <c r="P424" s="11" t="s">
        <v>102</v>
      </c>
      <c r="Q424" s="12">
        <v>113.337225</v>
      </c>
      <c r="R424" s="13">
        <v>23.087074999999999</v>
      </c>
      <c r="S424" s="11"/>
      <c r="T424" s="11"/>
      <c r="U424" s="11" t="s">
        <v>104</v>
      </c>
      <c r="V424" s="11" t="s">
        <v>105</v>
      </c>
      <c r="W424" s="11" t="s">
        <v>106</v>
      </c>
      <c r="X424" s="11"/>
      <c r="Y424" s="11"/>
      <c r="Z424" s="11"/>
      <c r="AA424" s="12">
        <v>423</v>
      </c>
      <c r="AB424" s="12"/>
      <c r="AC424" s="11" t="s">
        <v>2505</v>
      </c>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row>
    <row r="425" spans="1:56" ht="56" x14ac:dyDescent="0.25">
      <c r="A425" s="11" t="s">
        <v>2510</v>
      </c>
      <c r="B425" s="11" t="s">
        <v>2511</v>
      </c>
      <c r="C425" s="11"/>
      <c r="D425" s="11" t="s">
        <v>91</v>
      </c>
      <c r="E425" s="11" t="s">
        <v>92</v>
      </c>
      <c r="F425" s="11" t="s">
        <v>2511</v>
      </c>
      <c r="G425" s="11" t="s">
        <v>2512</v>
      </c>
      <c r="H425" s="11" t="s">
        <v>94</v>
      </c>
      <c r="I425" s="11" t="s">
        <v>95</v>
      </c>
      <c r="J425" s="11" t="s">
        <v>749</v>
      </c>
      <c r="K425" s="11" t="s">
        <v>2513</v>
      </c>
      <c r="L425" s="11" t="s">
        <v>2514</v>
      </c>
      <c r="M425" s="11" t="s">
        <v>115</v>
      </c>
      <c r="N425" s="11" t="s">
        <v>174</v>
      </c>
      <c r="O425" s="11" t="s">
        <v>101</v>
      </c>
      <c r="P425" s="11" t="s">
        <v>102</v>
      </c>
      <c r="Q425" s="12">
        <v>113.12537500000001</v>
      </c>
      <c r="R425" s="13">
        <v>22.957081840000001</v>
      </c>
      <c r="S425" s="11"/>
      <c r="T425" s="11"/>
      <c r="U425" s="11" t="s">
        <v>104</v>
      </c>
      <c r="V425" s="11" t="s">
        <v>105</v>
      </c>
      <c r="W425" s="11" t="s">
        <v>106</v>
      </c>
      <c r="X425" s="11"/>
      <c r="Y425" s="11"/>
      <c r="Z425" s="11"/>
      <c r="AA425" s="12">
        <v>424</v>
      </c>
      <c r="AB425" s="12"/>
      <c r="AC425" s="11" t="s">
        <v>2505</v>
      </c>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row>
    <row r="426" spans="1:56" ht="42" x14ac:dyDescent="0.25">
      <c r="A426" s="11" t="s">
        <v>2515</v>
      </c>
      <c r="B426" s="11" t="s">
        <v>2516</v>
      </c>
      <c r="C426" s="11"/>
      <c r="D426" s="11" t="s">
        <v>91</v>
      </c>
      <c r="E426" s="11" t="s">
        <v>92</v>
      </c>
      <c r="F426" s="11" t="s">
        <v>2516</v>
      </c>
      <c r="G426" s="11" t="s">
        <v>2517</v>
      </c>
      <c r="H426" s="11" t="s">
        <v>94</v>
      </c>
      <c r="I426" s="11" t="s">
        <v>121</v>
      </c>
      <c r="J426" s="11" t="s">
        <v>737</v>
      </c>
      <c r="K426" s="11" t="s">
        <v>2518</v>
      </c>
      <c r="L426" s="11" t="s">
        <v>2519</v>
      </c>
      <c r="M426" s="11" t="s">
        <v>115</v>
      </c>
      <c r="N426" s="11" t="s">
        <v>174</v>
      </c>
      <c r="O426" s="11" t="s">
        <v>101</v>
      </c>
      <c r="P426" s="11" t="s">
        <v>102</v>
      </c>
      <c r="Q426" s="12">
        <v>113.48655599999999</v>
      </c>
      <c r="R426" s="13">
        <v>22.956343</v>
      </c>
      <c r="S426" s="11"/>
      <c r="T426" s="11"/>
      <c r="U426" s="11" t="s">
        <v>104</v>
      </c>
      <c r="V426" s="11" t="s">
        <v>105</v>
      </c>
      <c r="W426" s="11" t="s">
        <v>106</v>
      </c>
      <c r="X426" s="11"/>
      <c r="Y426" s="11"/>
      <c r="Z426" s="11"/>
      <c r="AA426" s="12">
        <v>425</v>
      </c>
      <c r="AB426" s="12"/>
      <c r="AC426" s="11" t="s">
        <v>2505</v>
      </c>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row>
    <row r="427" spans="1:56" ht="42" x14ac:dyDescent="0.25">
      <c r="A427" s="11" t="s">
        <v>2520</v>
      </c>
      <c r="B427" s="11" t="s">
        <v>2521</v>
      </c>
      <c r="C427" s="11"/>
      <c r="D427" s="11" t="s">
        <v>91</v>
      </c>
      <c r="E427" s="11"/>
      <c r="F427" s="11" t="s">
        <v>2521</v>
      </c>
      <c r="G427" s="11" t="s">
        <v>2522</v>
      </c>
      <c r="H427" s="11" t="s">
        <v>94</v>
      </c>
      <c r="I427" s="11" t="s">
        <v>121</v>
      </c>
      <c r="J427" s="11" t="s">
        <v>122</v>
      </c>
      <c r="K427" s="11" t="s">
        <v>123</v>
      </c>
      <c r="L427" s="11" t="s">
        <v>2523</v>
      </c>
      <c r="M427" s="11" t="s">
        <v>2019</v>
      </c>
      <c r="N427" s="11" t="s">
        <v>174</v>
      </c>
      <c r="O427" s="11" t="s">
        <v>175</v>
      </c>
      <c r="P427" s="11" t="s">
        <v>102</v>
      </c>
      <c r="Q427" s="12">
        <v>0</v>
      </c>
      <c r="R427" s="13">
        <v>0</v>
      </c>
      <c r="S427" s="11"/>
      <c r="T427" s="11"/>
      <c r="U427" s="11" t="s">
        <v>104</v>
      </c>
      <c r="V427" s="11" t="s">
        <v>105</v>
      </c>
      <c r="W427" s="11" t="s">
        <v>106</v>
      </c>
      <c r="X427" s="11"/>
      <c r="Y427" s="11"/>
      <c r="Z427" s="11"/>
      <c r="AA427" s="12">
        <v>426</v>
      </c>
      <c r="AB427" s="12"/>
      <c r="AC427" s="11" t="s">
        <v>2521</v>
      </c>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row>
    <row r="428" spans="1:56" ht="56" x14ac:dyDescent="0.25">
      <c r="A428" s="11" t="s">
        <v>2524</v>
      </c>
      <c r="B428" s="11" t="s">
        <v>2525</v>
      </c>
      <c r="C428" s="11"/>
      <c r="D428" s="11" t="s">
        <v>91</v>
      </c>
      <c r="E428" s="11" t="s">
        <v>92</v>
      </c>
      <c r="F428" s="11" t="s">
        <v>2526</v>
      </c>
      <c r="G428" s="11" t="s">
        <v>2527</v>
      </c>
      <c r="H428" s="11" t="s">
        <v>94</v>
      </c>
      <c r="I428" s="11" t="s">
        <v>121</v>
      </c>
      <c r="J428" s="11" t="s">
        <v>122</v>
      </c>
      <c r="K428" s="11" t="s">
        <v>123</v>
      </c>
      <c r="L428" s="11" t="s">
        <v>2528</v>
      </c>
      <c r="M428" s="11" t="s">
        <v>133</v>
      </c>
      <c r="N428" s="11" t="s">
        <v>174</v>
      </c>
      <c r="O428" s="11" t="s">
        <v>101</v>
      </c>
      <c r="P428" s="11" t="s">
        <v>102</v>
      </c>
      <c r="Q428" s="12">
        <v>113.340726</v>
      </c>
      <c r="R428" s="13">
        <v>23.142806</v>
      </c>
      <c r="S428" s="11"/>
      <c r="T428" s="11"/>
      <c r="U428" s="11" t="s">
        <v>104</v>
      </c>
      <c r="V428" s="11" t="s">
        <v>105</v>
      </c>
      <c r="W428" s="11" t="s">
        <v>106</v>
      </c>
      <c r="X428" s="11"/>
      <c r="Y428" s="11"/>
      <c r="Z428" s="11"/>
      <c r="AA428" s="12">
        <v>427</v>
      </c>
      <c r="AB428" s="12"/>
      <c r="AC428" s="11" t="s">
        <v>2029</v>
      </c>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row>
    <row r="429" spans="1:56" ht="70" x14ac:dyDescent="0.25">
      <c r="A429" s="11" t="s">
        <v>2529</v>
      </c>
      <c r="B429" s="11" t="s">
        <v>2530</v>
      </c>
      <c r="C429" s="11"/>
      <c r="D429" s="11" t="s">
        <v>91</v>
      </c>
      <c r="E429" s="11" t="s">
        <v>92</v>
      </c>
      <c r="F429" s="11" t="s">
        <v>2531</v>
      </c>
      <c r="G429" s="11" t="s">
        <v>2532</v>
      </c>
      <c r="H429" s="11" t="s">
        <v>94</v>
      </c>
      <c r="I429" s="11" t="s">
        <v>121</v>
      </c>
      <c r="J429" s="11" t="s">
        <v>737</v>
      </c>
      <c r="K429" s="11" t="s">
        <v>123</v>
      </c>
      <c r="L429" s="11" t="s">
        <v>2533</v>
      </c>
      <c r="M429" s="11" t="s">
        <v>133</v>
      </c>
      <c r="N429" s="11" t="s">
        <v>174</v>
      </c>
      <c r="O429" s="11" t="s">
        <v>101</v>
      </c>
      <c r="P429" s="11" t="s">
        <v>102</v>
      </c>
      <c r="Q429" s="12">
        <v>113.321729</v>
      </c>
      <c r="R429" s="13">
        <v>22.972581000000002</v>
      </c>
      <c r="S429" s="11"/>
      <c r="T429" s="11"/>
      <c r="U429" s="11" t="s">
        <v>104</v>
      </c>
      <c r="V429" s="11" t="s">
        <v>105</v>
      </c>
      <c r="W429" s="11" t="s">
        <v>106</v>
      </c>
      <c r="X429" s="11"/>
      <c r="Y429" s="11"/>
      <c r="Z429" s="11"/>
      <c r="AA429" s="12">
        <v>428</v>
      </c>
      <c r="AB429" s="12"/>
      <c r="AC429" s="11" t="s">
        <v>2029</v>
      </c>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row>
    <row r="430" spans="1:56" ht="42" x14ac:dyDescent="0.25">
      <c r="A430" s="11" t="s">
        <v>2534</v>
      </c>
      <c r="B430" s="11" t="s">
        <v>2535</v>
      </c>
      <c r="C430" s="11"/>
      <c r="D430" s="11" t="s">
        <v>91</v>
      </c>
      <c r="E430" s="11" t="s">
        <v>92</v>
      </c>
      <c r="F430" s="11" t="s">
        <v>2536</v>
      </c>
      <c r="G430" s="11" t="s">
        <v>2537</v>
      </c>
      <c r="H430" s="11" t="s">
        <v>94</v>
      </c>
      <c r="I430" s="11" t="s">
        <v>112</v>
      </c>
      <c r="J430" s="11" t="s">
        <v>112</v>
      </c>
      <c r="K430" s="11" t="s">
        <v>123</v>
      </c>
      <c r="L430" s="11" t="s">
        <v>2538</v>
      </c>
      <c r="M430" s="11" t="s">
        <v>133</v>
      </c>
      <c r="N430" s="11" t="s">
        <v>174</v>
      </c>
      <c r="O430" s="11" t="s">
        <v>101</v>
      </c>
      <c r="P430" s="11" t="s">
        <v>102</v>
      </c>
      <c r="Q430" s="12">
        <v>113.709574</v>
      </c>
      <c r="R430" s="13">
        <v>23.033270999999999</v>
      </c>
      <c r="S430" s="11"/>
      <c r="T430" s="11"/>
      <c r="U430" s="11" t="s">
        <v>104</v>
      </c>
      <c r="V430" s="11" t="s">
        <v>105</v>
      </c>
      <c r="W430" s="11" t="s">
        <v>106</v>
      </c>
      <c r="X430" s="11"/>
      <c r="Y430" s="11"/>
      <c r="Z430" s="11"/>
      <c r="AA430" s="12">
        <v>429</v>
      </c>
      <c r="AB430" s="12"/>
      <c r="AC430" s="11" t="s">
        <v>2029</v>
      </c>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row>
    <row r="431" spans="1:56" ht="56" x14ac:dyDescent="0.25">
      <c r="A431" s="11" t="s">
        <v>2539</v>
      </c>
      <c r="B431" s="11" t="s">
        <v>2540</v>
      </c>
      <c r="C431" s="11"/>
      <c r="D431" s="11" t="s">
        <v>91</v>
      </c>
      <c r="E431" s="11" t="s">
        <v>92</v>
      </c>
      <c r="F431" s="11" t="s">
        <v>2541</v>
      </c>
      <c r="G431" s="11" t="s">
        <v>2542</v>
      </c>
      <c r="H431" s="11" t="s">
        <v>94</v>
      </c>
      <c r="I431" s="11" t="s">
        <v>121</v>
      </c>
      <c r="J431" s="11" t="s">
        <v>122</v>
      </c>
      <c r="K431" s="11" t="s">
        <v>123</v>
      </c>
      <c r="L431" s="11" t="s">
        <v>2543</v>
      </c>
      <c r="M431" s="11" t="s">
        <v>133</v>
      </c>
      <c r="N431" s="11" t="s">
        <v>174</v>
      </c>
      <c r="O431" s="11" t="s">
        <v>101</v>
      </c>
      <c r="P431" s="11" t="s">
        <v>102</v>
      </c>
      <c r="Q431" s="12">
        <v>113.40107</v>
      </c>
      <c r="R431" s="13">
        <v>23.164223</v>
      </c>
      <c r="S431" s="11"/>
      <c r="T431" s="11"/>
      <c r="U431" s="11" t="s">
        <v>104</v>
      </c>
      <c r="V431" s="11" t="s">
        <v>105</v>
      </c>
      <c r="W431" s="11" t="s">
        <v>106</v>
      </c>
      <c r="X431" s="11"/>
      <c r="Y431" s="11"/>
      <c r="Z431" s="11"/>
      <c r="AA431" s="12">
        <v>430</v>
      </c>
      <c r="AB431" s="12"/>
      <c r="AC431" s="11" t="s">
        <v>2029</v>
      </c>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row>
    <row r="432" spans="1:56" ht="42" x14ac:dyDescent="0.25">
      <c r="A432" s="11" t="s">
        <v>2544</v>
      </c>
      <c r="B432" s="11" t="s">
        <v>2545</v>
      </c>
      <c r="C432" s="11"/>
      <c r="D432" s="11" t="s">
        <v>91</v>
      </c>
      <c r="E432" s="11" t="s">
        <v>92</v>
      </c>
      <c r="F432" s="11" t="s">
        <v>2546</v>
      </c>
      <c r="G432" s="11" t="s">
        <v>2547</v>
      </c>
      <c r="H432" s="11" t="s">
        <v>94</v>
      </c>
      <c r="I432" s="11" t="s">
        <v>95</v>
      </c>
      <c r="J432" s="11" t="s">
        <v>1056</v>
      </c>
      <c r="K432" s="11" t="s">
        <v>123</v>
      </c>
      <c r="L432" s="11" t="s">
        <v>2548</v>
      </c>
      <c r="M432" s="11" t="s">
        <v>133</v>
      </c>
      <c r="N432" s="11" t="s">
        <v>174</v>
      </c>
      <c r="O432" s="11" t="s">
        <v>101</v>
      </c>
      <c r="P432" s="11" t="s">
        <v>102</v>
      </c>
      <c r="Q432" s="12">
        <v>112.897358</v>
      </c>
      <c r="R432" s="13">
        <v>23.160844999999998</v>
      </c>
      <c r="S432" s="11"/>
      <c r="T432" s="11"/>
      <c r="U432" s="11" t="s">
        <v>104</v>
      </c>
      <c r="V432" s="11" t="s">
        <v>105</v>
      </c>
      <c r="W432" s="11" t="s">
        <v>106</v>
      </c>
      <c r="X432" s="11"/>
      <c r="Y432" s="11"/>
      <c r="Z432" s="11"/>
      <c r="AA432" s="12">
        <v>431</v>
      </c>
      <c r="AB432" s="12"/>
      <c r="AC432" s="11" t="s">
        <v>2029</v>
      </c>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row>
    <row r="433" spans="1:56" ht="84" x14ac:dyDescent="0.25">
      <c r="A433" s="11" t="s">
        <v>2549</v>
      </c>
      <c r="B433" s="11" t="s">
        <v>2550</v>
      </c>
      <c r="C433" s="11"/>
      <c r="D433" s="11" t="s">
        <v>91</v>
      </c>
      <c r="E433" s="11" t="s">
        <v>92</v>
      </c>
      <c r="F433" s="11" t="s">
        <v>2551</v>
      </c>
      <c r="G433" s="11" t="s">
        <v>2552</v>
      </c>
      <c r="H433" s="11" t="s">
        <v>94</v>
      </c>
      <c r="I433" s="11" t="s">
        <v>95</v>
      </c>
      <c r="J433" s="11" t="s">
        <v>749</v>
      </c>
      <c r="K433" s="11" t="s">
        <v>123</v>
      </c>
      <c r="L433" s="11" t="s">
        <v>2553</v>
      </c>
      <c r="M433" s="11" t="s">
        <v>133</v>
      </c>
      <c r="N433" s="11" t="s">
        <v>174</v>
      </c>
      <c r="O433" s="11" t="s">
        <v>101</v>
      </c>
      <c r="P433" s="11" t="s">
        <v>102</v>
      </c>
      <c r="Q433" s="12">
        <v>113.100707</v>
      </c>
      <c r="R433" s="13">
        <v>22.957080999999999</v>
      </c>
      <c r="S433" s="11"/>
      <c r="T433" s="11"/>
      <c r="U433" s="11" t="s">
        <v>104</v>
      </c>
      <c r="V433" s="11" t="s">
        <v>105</v>
      </c>
      <c r="W433" s="11" t="s">
        <v>106</v>
      </c>
      <c r="X433" s="11"/>
      <c r="Y433" s="11"/>
      <c r="Z433" s="11"/>
      <c r="AA433" s="12">
        <v>432</v>
      </c>
      <c r="AB433" s="12"/>
      <c r="AC433" s="11" t="s">
        <v>2029</v>
      </c>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row>
    <row r="434" spans="1:56" ht="42" x14ac:dyDescent="0.25">
      <c r="A434" s="11" t="s">
        <v>2554</v>
      </c>
      <c r="B434" s="11" t="s">
        <v>2555</v>
      </c>
      <c r="C434" s="11"/>
      <c r="D434" s="11" t="s">
        <v>91</v>
      </c>
      <c r="E434" s="11" t="s">
        <v>92</v>
      </c>
      <c r="F434" s="11" t="s">
        <v>2556</v>
      </c>
      <c r="G434" s="11" t="s">
        <v>2557</v>
      </c>
      <c r="H434" s="11" t="s">
        <v>94</v>
      </c>
      <c r="I434" s="11" t="s">
        <v>121</v>
      </c>
      <c r="J434" s="11" t="s">
        <v>799</v>
      </c>
      <c r="K434" s="11" t="s">
        <v>123</v>
      </c>
      <c r="L434" s="11" t="s">
        <v>2558</v>
      </c>
      <c r="M434" s="11" t="s">
        <v>133</v>
      </c>
      <c r="N434" s="11" t="s">
        <v>174</v>
      </c>
      <c r="O434" s="11" t="s">
        <v>101</v>
      </c>
      <c r="P434" s="11" t="s">
        <v>102</v>
      </c>
      <c r="Q434" s="12">
        <v>113.213718</v>
      </c>
      <c r="R434" s="13">
        <v>23.386552999999999</v>
      </c>
      <c r="S434" s="11"/>
      <c r="T434" s="11"/>
      <c r="U434" s="11" t="s">
        <v>104</v>
      </c>
      <c r="V434" s="11" t="s">
        <v>105</v>
      </c>
      <c r="W434" s="11" t="s">
        <v>106</v>
      </c>
      <c r="X434" s="11"/>
      <c r="Y434" s="11"/>
      <c r="Z434" s="11"/>
      <c r="AA434" s="12">
        <v>433</v>
      </c>
      <c r="AB434" s="12"/>
      <c r="AC434" s="11" t="s">
        <v>2029</v>
      </c>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row>
    <row r="435" spans="1:56" ht="56" x14ac:dyDescent="0.25">
      <c r="A435" s="11" t="s">
        <v>2559</v>
      </c>
      <c r="B435" s="11" t="s">
        <v>2560</v>
      </c>
      <c r="C435" s="11"/>
      <c r="D435" s="11" t="s">
        <v>91</v>
      </c>
      <c r="E435" s="11" t="s">
        <v>92</v>
      </c>
      <c r="F435" s="11" t="s">
        <v>2561</v>
      </c>
      <c r="G435" s="11" t="s">
        <v>2562</v>
      </c>
      <c r="H435" s="11" t="s">
        <v>94</v>
      </c>
      <c r="I435" s="11" t="s">
        <v>121</v>
      </c>
      <c r="J435" s="11" t="s">
        <v>2285</v>
      </c>
      <c r="K435" s="11" t="s">
        <v>123</v>
      </c>
      <c r="L435" s="11" t="s">
        <v>2563</v>
      </c>
      <c r="M435" s="11" t="s">
        <v>133</v>
      </c>
      <c r="N435" s="11" t="s">
        <v>174</v>
      </c>
      <c r="O435" s="11" t="s">
        <v>101</v>
      </c>
      <c r="P435" s="11" t="s">
        <v>102</v>
      </c>
      <c r="Q435" s="12">
        <v>113.288995</v>
      </c>
      <c r="R435" s="13">
        <v>23.084185999999999</v>
      </c>
      <c r="S435" s="11"/>
      <c r="T435" s="11"/>
      <c r="U435" s="11" t="s">
        <v>104</v>
      </c>
      <c r="V435" s="11" t="s">
        <v>105</v>
      </c>
      <c r="W435" s="11" t="s">
        <v>106</v>
      </c>
      <c r="X435" s="11"/>
      <c r="Y435" s="11"/>
      <c r="Z435" s="11"/>
      <c r="AA435" s="12">
        <v>434</v>
      </c>
      <c r="AB435" s="12"/>
      <c r="AC435" s="11" t="s">
        <v>2029</v>
      </c>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row>
    <row r="436" spans="1:56" ht="56" x14ac:dyDescent="0.25">
      <c r="A436" s="11" t="s">
        <v>2564</v>
      </c>
      <c r="B436" s="11" t="s">
        <v>2565</v>
      </c>
      <c r="C436" s="11"/>
      <c r="D436" s="11" t="s">
        <v>91</v>
      </c>
      <c r="E436" s="11" t="s">
        <v>92</v>
      </c>
      <c r="F436" s="11" t="s">
        <v>2566</v>
      </c>
      <c r="G436" s="11" t="s">
        <v>2567</v>
      </c>
      <c r="H436" s="11" t="s">
        <v>94</v>
      </c>
      <c r="I436" s="11" t="s">
        <v>121</v>
      </c>
      <c r="J436" s="11" t="s">
        <v>971</v>
      </c>
      <c r="K436" s="11" t="s">
        <v>123</v>
      </c>
      <c r="L436" s="11" t="s">
        <v>2568</v>
      </c>
      <c r="M436" s="11" t="s">
        <v>133</v>
      </c>
      <c r="N436" s="11" t="s">
        <v>174</v>
      </c>
      <c r="O436" s="11" t="s">
        <v>101</v>
      </c>
      <c r="P436" s="11" t="s">
        <v>102</v>
      </c>
      <c r="Q436" s="12">
        <v>113.35012</v>
      </c>
      <c r="R436" s="13">
        <v>23.247384</v>
      </c>
      <c r="S436" s="11"/>
      <c r="T436" s="11"/>
      <c r="U436" s="11" t="s">
        <v>104</v>
      </c>
      <c r="V436" s="11" t="s">
        <v>105</v>
      </c>
      <c r="W436" s="11" t="s">
        <v>106</v>
      </c>
      <c r="X436" s="11"/>
      <c r="Y436" s="11"/>
      <c r="Z436" s="11"/>
      <c r="AA436" s="12">
        <v>435</v>
      </c>
      <c r="AB436" s="12"/>
      <c r="AC436" s="11" t="s">
        <v>2029</v>
      </c>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row>
    <row r="437" spans="1:56" ht="42" x14ac:dyDescent="0.25">
      <c r="A437" s="11" t="s">
        <v>2569</v>
      </c>
      <c r="B437" s="11" t="s">
        <v>2570</v>
      </c>
      <c r="C437" s="11"/>
      <c r="D437" s="11" t="s">
        <v>91</v>
      </c>
      <c r="E437" s="11" t="s">
        <v>92</v>
      </c>
      <c r="F437" s="11" t="s">
        <v>2571</v>
      </c>
      <c r="G437" s="11" t="s">
        <v>2572</v>
      </c>
      <c r="H437" s="11" t="s">
        <v>94</v>
      </c>
      <c r="I437" s="11" t="s">
        <v>121</v>
      </c>
      <c r="J437" s="11" t="s">
        <v>737</v>
      </c>
      <c r="K437" s="11" t="s">
        <v>123</v>
      </c>
      <c r="L437" s="11" t="s">
        <v>2573</v>
      </c>
      <c r="M437" s="11" t="s">
        <v>133</v>
      </c>
      <c r="N437" s="11" t="s">
        <v>174</v>
      </c>
      <c r="O437" s="11" t="s">
        <v>101</v>
      </c>
      <c r="P437" s="11" t="s">
        <v>102</v>
      </c>
      <c r="Q437" s="12">
        <v>113.314216</v>
      </c>
      <c r="R437" s="13">
        <v>23.018308999999999</v>
      </c>
      <c r="S437" s="11"/>
      <c r="T437" s="11"/>
      <c r="U437" s="11" t="s">
        <v>104</v>
      </c>
      <c r="V437" s="11" t="s">
        <v>105</v>
      </c>
      <c r="W437" s="11" t="s">
        <v>106</v>
      </c>
      <c r="X437" s="11"/>
      <c r="Y437" s="11"/>
      <c r="Z437" s="11"/>
      <c r="AA437" s="12">
        <v>436</v>
      </c>
      <c r="AB437" s="12"/>
      <c r="AC437" s="11" t="s">
        <v>2029</v>
      </c>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row>
    <row r="438" spans="1:56" ht="42" x14ac:dyDescent="0.25">
      <c r="A438" s="11" t="s">
        <v>2574</v>
      </c>
      <c r="B438" s="11" t="s">
        <v>2575</v>
      </c>
      <c r="C438" s="11"/>
      <c r="D438" s="11" t="s">
        <v>91</v>
      </c>
      <c r="E438" s="11" t="s">
        <v>92</v>
      </c>
      <c r="F438" s="11" t="s">
        <v>2576</v>
      </c>
      <c r="G438" s="11" t="s">
        <v>2577</v>
      </c>
      <c r="H438" s="11" t="s">
        <v>94</v>
      </c>
      <c r="I438" s="11" t="s">
        <v>95</v>
      </c>
      <c r="J438" s="11" t="s">
        <v>96</v>
      </c>
      <c r="K438" s="11" t="s">
        <v>123</v>
      </c>
      <c r="L438" s="11" t="s">
        <v>2578</v>
      </c>
      <c r="M438" s="11" t="s">
        <v>133</v>
      </c>
      <c r="N438" s="11" t="s">
        <v>174</v>
      </c>
      <c r="O438" s="11" t="s">
        <v>101</v>
      </c>
      <c r="P438" s="11" t="s">
        <v>102</v>
      </c>
      <c r="Q438" s="12">
        <v>113.12761500000001</v>
      </c>
      <c r="R438" s="13">
        <v>23.109188</v>
      </c>
      <c r="S438" s="11"/>
      <c r="T438" s="11"/>
      <c r="U438" s="11" t="s">
        <v>104</v>
      </c>
      <c r="V438" s="11" t="s">
        <v>105</v>
      </c>
      <c r="W438" s="11" t="s">
        <v>106</v>
      </c>
      <c r="X438" s="11"/>
      <c r="Y438" s="11"/>
      <c r="Z438" s="11"/>
      <c r="AA438" s="12">
        <v>437</v>
      </c>
      <c r="AB438" s="12"/>
      <c r="AC438" s="11" t="s">
        <v>2029</v>
      </c>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row>
    <row r="439" spans="1:56" ht="42" x14ac:dyDescent="0.25">
      <c r="A439" s="11" t="s">
        <v>2579</v>
      </c>
      <c r="B439" s="11" t="s">
        <v>2580</v>
      </c>
      <c r="C439" s="11"/>
      <c r="D439" s="11" t="s">
        <v>91</v>
      </c>
      <c r="E439" s="11" t="s">
        <v>92</v>
      </c>
      <c r="F439" s="11" t="s">
        <v>2580</v>
      </c>
      <c r="G439" s="11" t="s">
        <v>2581</v>
      </c>
      <c r="H439" s="11" t="s">
        <v>94</v>
      </c>
      <c r="I439" s="11" t="s">
        <v>95</v>
      </c>
      <c r="J439" s="11" t="s">
        <v>96</v>
      </c>
      <c r="K439" s="11" t="s">
        <v>123</v>
      </c>
      <c r="L439" s="11" t="s">
        <v>2582</v>
      </c>
      <c r="M439" s="11" t="s">
        <v>139</v>
      </c>
      <c r="N439" s="11" t="s">
        <v>174</v>
      </c>
      <c r="O439" s="11" t="s">
        <v>140</v>
      </c>
      <c r="P439" s="11" t="s">
        <v>102</v>
      </c>
      <c r="Q439" s="12">
        <v>0</v>
      </c>
      <c r="R439" s="13">
        <v>0</v>
      </c>
      <c r="S439" s="11"/>
      <c r="T439" s="11"/>
      <c r="U439" s="11" t="s">
        <v>104</v>
      </c>
      <c r="V439" s="11" t="s">
        <v>105</v>
      </c>
      <c r="W439" s="11" t="s">
        <v>106</v>
      </c>
      <c r="X439" s="11"/>
      <c r="Y439" s="11"/>
      <c r="Z439" s="11"/>
      <c r="AA439" s="12">
        <v>438</v>
      </c>
      <c r="AB439" s="12"/>
      <c r="AC439" s="11" t="s">
        <v>2580</v>
      </c>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row>
    <row r="440" spans="1:56" ht="42" x14ac:dyDescent="0.25">
      <c r="A440" s="11" t="s">
        <v>2583</v>
      </c>
      <c r="B440" s="11" t="s">
        <v>2584</v>
      </c>
      <c r="C440" s="11"/>
      <c r="D440" s="11" t="s">
        <v>91</v>
      </c>
      <c r="E440" s="11" t="s">
        <v>92</v>
      </c>
      <c r="F440" s="11" t="s">
        <v>2584</v>
      </c>
      <c r="G440" s="11" t="s">
        <v>2585</v>
      </c>
      <c r="H440" s="11" t="s">
        <v>94</v>
      </c>
      <c r="I440" s="11" t="s">
        <v>121</v>
      </c>
      <c r="J440" s="11" t="s">
        <v>971</v>
      </c>
      <c r="K440" s="11" t="s">
        <v>123</v>
      </c>
      <c r="L440" s="11" t="s">
        <v>2586</v>
      </c>
      <c r="M440" s="11" t="s">
        <v>139</v>
      </c>
      <c r="N440" s="11" t="s">
        <v>174</v>
      </c>
      <c r="O440" s="11" t="s">
        <v>140</v>
      </c>
      <c r="P440" s="11" t="s">
        <v>102</v>
      </c>
      <c r="Q440" s="12">
        <v>113.22185399999999</v>
      </c>
      <c r="R440" s="13">
        <v>23.25874</v>
      </c>
      <c r="S440" s="11"/>
      <c r="T440" s="11"/>
      <c r="U440" s="11" t="s">
        <v>104</v>
      </c>
      <c r="V440" s="11" t="s">
        <v>105</v>
      </c>
      <c r="W440" s="11" t="s">
        <v>106</v>
      </c>
      <c r="X440" s="11"/>
      <c r="Y440" s="11"/>
      <c r="Z440" s="11"/>
      <c r="AA440" s="12">
        <v>439</v>
      </c>
      <c r="AB440" s="12"/>
      <c r="AC440" s="11" t="s">
        <v>2584</v>
      </c>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row>
    <row r="441" spans="1:56" ht="42" x14ac:dyDescent="0.25">
      <c r="A441" s="11" t="s">
        <v>2587</v>
      </c>
      <c r="B441" s="11" t="s">
        <v>2588</v>
      </c>
      <c r="C441" s="11"/>
      <c r="D441" s="11" t="s">
        <v>91</v>
      </c>
      <c r="E441" s="11" t="s">
        <v>92</v>
      </c>
      <c r="F441" s="11" t="s">
        <v>2589</v>
      </c>
      <c r="G441" s="11" t="s">
        <v>2590</v>
      </c>
      <c r="H441" s="11" t="s">
        <v>94</v>
      </c>
      <c r="I441" s="11" t="s">
        <v>121</v>
      </c>
      <c r="J441" s="11" t="s">
        <v>2007</v>
      </c>
      <c r="K441" s="11" t="s">
        <v>123</v>
      </c>
      <c r="L441" s="11" t="s">
        <v>2591</v>
      </c>
      <c r="M441" s="11" t="s">
        <v>139</v>
      </c>
      <c r="N441" s="11" t="s">
        <v>174</v>
      </c>
      <c r="O441" s="11" t="s">
        <v>140</v>
      </c>
      <c r="P441" s="11" t="s">
        <v>102</v>
      </c>
      <c r="Q441" s="12">
        <v>0</v>
      </c>
      <c r="R441" s="13">
        <v>0</v>
      </c>
      <c r="S441" s="11"/>
      <c r="T441" s="11"/>
      <c r="U441" s="11" t="s">
        <v>104</v>
      </c>
      <c r="V441" s="11" t="s">
        <v>105</v>
      </c>
      <c r="W441" s="11" t="s">
        <v>106</v>
      </c>
      <c r="X441" s="11"/>
      <c r="Y441" s="11"/>
      <c r="Z441" s="11"/>
      <c r="AA441" s="12">
        <v>440</v>
      </c>
      <c r="AB441" s="12"/>
      <c r="AC441" s="11" t="s">
        <v>2588</v>
      </c>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row>
    <row r="442" spans="1:56" ht="42" x14ac:dyDescent="0.25">
      <c r="A442" s="11" t="s">
        <v>2592</v>
      </c>
      <c r="B442" s="11" t="s">
        <v>2593</v>
      </c>
      <c r="C442" s="11"/>
      <c r="D442" s="11" t="s">
        <v>91</v>
      </c>
      <c r="E442" s="11" t="s">
        <v>92</v>
      </c>
      <c r="F442" s="11" t="s">
        <v>2594</v>
      </c>
      <c r="G442" s="11" t="s">
        <v>2595</v>
      </c>
      <c r="H442" s="11" t="s">
        <v>94</v>
      </c>
      <c r="I442" s="11" t="s">
        <v>121</v>
      </c>
      <c r="J442" s="11" t="s">
        <v>2007</v>
      </c>
      <c r="K442" s="11" t="s">
        <v>123</v>
      </c>
      <c r="L442" s="11" t="s">
        <v>2596</v>
      </c>
      <c r="M442" s="11" t="s">
        <v>139</v>
      </c>
      <c r="N442" s="11" t="s">
        <v>174</v>
      </c>
      <c r="O442" s="11" t="s">
        <v>140</v>
      </c>
      <c r="P442" s="11" t="s">
        <v>102</v>
      </c>
      <c r="Q442" s="12">
        <v>0</v>
      </c>
      <c r="R442" s="13">
        <v>0</v>
      </c>
      <c r="S442" s="11"/>
      <c r="T442" s="11"/>
      <c r="U442" s="11" t="s">
        <v>104</v>
      </c>
      <c r="V442" s="11" t="s">
        <v>105</v>
      </c>
      <c r="W442" s="11" t="s">
        <v>106</v>
      </c>
      <c r="X442" s="11"/>
      <c r="Y442" s="11"/>
      <c r="Z442" s="11"/>
      <c r="AA442" s="12">
        <v>441</v>
      </c>
      <c r="AB442" s="12"/>
      <c r="AC442" s="11" t="s">
        <v>2593</v>
      </c>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row>
    <row r="443" spans="1:56" ht="42" x14ac:dyDescent="0.25">
      <c r="A443" s="11" t="s">
        <v>2597</v>
      </c>
      <c r="B443" s="11" t="s">
        <v>2598</v>
      </c>
      <c r="C443" s="11"/>
      <c r="D443" s="11" t="s">
        <v>91</v>
      </c>
      <c r="E443" s="11" t="s">
        <v>92</v>
      </c>
      <c r="F443" s="11" t="s">
        <v>349</v>
      </c>
      <c r="G443" s="11" t="s">
        <v>2599</v>
      </c>
      <c r="H443" s="11" t="s">
        <v>94</v>
      </c>
      <c r="I443" s="11" t="s">
        <v>121</v>
      </c>
      <c r="J443" s="11" t="s">
        <v>2264</v>
      </c>
      <c r="K443" s="11" t="s">
        <v>2600</v>
      </c>
      <c r="L443" s="11" t="s">
        <v>2601</v>
      </c>
      <c r="M443" s="11" t="s">
        <v>99</v>
      </c>
      <c r="N443" s="11" t="s">
        <v>174</v>
      </c>
      <c r="O443" s="11" t="s">
        <v>155</v>
      </c>
      <c r="P443" s="11" t="s">
        <v>102</v>
      </c>
      <c r="Q443" s="12">
        <v>113.298457</v>
      </c>
      <c r="R443" s="13">
        <v>23.140426000000001</v>
      </c>
      <c r="S443" s="11"/>
      <c r="T443" s="11"/>
      <c r="U443" s="11" t="s">
        <v>104</v>
      </c>
      <c r="V443" s="11" t="s">
        <v>105</v>
      </c>
      <c r="W443" s="11" t="s">
        <v>106</v>
      </c>
      <c r="X443" s="11"/>
      <c r="Y443" s="11"/>
      <c r="Z443" s="11"/>
      <c r="AA443" s="12">
        <v>442</v>
      </c>
      <c r="AB443" s="12"/>
      <c r="AC443" s="11" t="s">
        <v>107</v>
      </c>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row>
    <row r="444" spans="1:56" ht="56" x14ac:dyDescent="0.25">
      <c r="A444" s="11" t="s">
        <v>2602</v>
      </c>
      <c r="B444" s="11" t="s">
        <v>18</v>
      </c>
      <c r="C444" s="11"/>
      <c r="D444" s="11" t="s">
        <v>91</v>
      </c>
      <c r="E444" s="11" t="s">
        <v>92</v>
      </c>
      <c r="F444" s="11" t="s">
        <v>18</v>
      </c>
      <c r="G444" s="11" t="s">
        <v>32</v>
      </c>
      <c r="H444" s="11" t="s">
        <v>94</v>
      </c>
      <c r="I444" s="11" t="s">
        <v>343</v>
      </c>
      <c r="J444" s="11" t="s">
        <v>411</v>
      </c>
      <c r="K444" s="11" t="s">
        <v>2187</v>
      </c>
      <c r="L444" s="11" t="s">
        <v>25</v>
      </c>
      <c r="M444" s="11" t="s">
        <v>115</v>
      </c>
      <c r="N444" s="11" t="s">
        <v>174</v>
      </c>
      <c r="O444" s="11" t="s">
        <v>101</v>
      </c>
      <c r="P444" s="11" t="s">
        <v>102</v>
      </c>
      <c r="Q444" s="12">
        <v>113.281717</v>
      </c>
      <c r="R444" s="13">
        <v>22.163568999999999</v>
      </c>
      <c r="S444" s="11"/>
      <c r="T444" s="11"/>
      <c r="U444" s="11" t="s">
        <v>104</v>
      </c>
      <c r="V444" s="11" t="s">
        <v>105</v>
      </c>
      <c r="W444" s="11" t="s">
        <v>106</v>
      </c>
      <c r="X444" s="11"/>
      <c r="Y444" s="11"/>
      <c r="Z444" s="11"/>
      <c r="AA444" s="12">
        <v>443</v>
      </c>
      <c r="AB444" s="12"/>
      <c r="AC444" s="11" t="s">
        <v>116</v>
      </c>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row>
    <row r="445" spans="1:56" ht="70" x14ac:dyDescent="0.25">
      <c r="A445" s="11" t="s">
        <v>2603</v>
      </c>
      <c r="B445" s="11" t="s">
        <v>2604</v>
      </c>
      <c r="C445" s="11"/>
      <c r="D445" s="11" t="s">
        <v>91</v>
      </c>
      <c r="E445" s="11" t="s">
        <v>92</v>
      </c>
      <c r="F445" s="11" t="s">
        <v>2475</v>
      </c>
      <c r="G445" s="11" t="s">
        <v>2605</v>
      </c>
      <c r="H445" s="11" t="s">
        <v>94</v>
      </c>
      <c r="I445" s="11" t="s">
        <v>278</v>
      </c>
      <c r="J445" s="11" t="s">
        <v>390</v>
      </c>
      <c r="K445" s="11" t="s">
        <v>123</v>
      </c>
      <c r="L445" s="11" t="s">
        <v>2606</v>
      </c>
      <c r="M445" s="11" t="s">
        <v>99</v>
      </c>
      <c r="N445" s="11" t="s">
        <v>174</v>
      </c>
      <c r="O445" s="11" t="s">
        <v>101</v>
      </c>
      <c r="P445" s="11" t="s">
        <v>102</v>
      </c>
      <c r="Q445" s="12">
        <v>113.10218</v>
      </c>
      <c r="R445" s="13">
        <v>22.589490999999999</v>
      </c>
      <c r="S445" s="11"/>
      <c r="T445" s="11"/>
      <c r="U445" s="11" t="s">
        <v>104</v>
      </c>
      <c r="V445" s="11" t="s">
        <v>105</v>
      </c>
      <c r="W445" s="11" t="s">
        <v>106</v>
      </c>
      <c r="X445" s="11"/>
      <c r="Y445" s="11"/>
      <c r="Z445" s="11"/>
      <c r="AA445" s="12">
        <v>444</v>
      </c>
      <c r="AB445" s="12"/>
      <c r="AC445" s="11" t="s">
        <v>2029</v>
      </c>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row>
    <row r="446" spans="1:56" ht="42" x14ac:dyDescent="0.25">
      <c r="A446" s="11" t="s">
        <v>2607</v>
      </c>
      <c r="B446" s="11" t="s">
        <v>2608</v>
      </c>
      <c r="C446" s="11"/>
      <c r="D446" s="11" t="s">
        <v>91</v>
      </c>
      <c r="E446" s="11" t="s">
        <v>92</v>
      </c>
      <c r="F446" s="11" t="s">
        <v>2475</v>
      </c>
      <c r="G446" s="11" t="s">
        <v>2609</v>
      </c>
      <c r="H446" s="11" t="s">
        <v>94</v>
      </c>
      <c r="I446" s="11" t="s">
        <v>112</v>
      </c>
      <c r="J446" s="11" t="s">
        <v>112</v>
      </c>
      <c r="K446" s="11" t="s">
        <v>123</v>
      </c>
      <c r="L446" s="11" t="s">
        <v>2610</v>
      </c>
      <c r="M446" s="11" t="s">
        <v>99</v>
      </c>
      <c r="N446" s="11" t="s">
        <v>174</v>
      </c>
      <c r="O446" s="11" t="s">
        <v>101</v>
      </c>
      <c r="P446" s="11" t="s">
        <v>102</v>
      </c>
      <c r="Q446" s="12">
        <v>114.087236</v>
      </c>
      <c r="R446" s="13">
        <v>23.014343</v>
      </c>
      <c r="S446" s="11"/>
      <c r="T446" s="11"/>
      <c r="U446" s="11" t="s">
        <v>104</v>
      </c>
      <c r="V446" s="11" t="s">
        <v>105</v>
      </c>
      <c r="W446" s="11" t="s">
        <v>106</v>
      </c>
      <c r="X446" s="11"/>
      <c r="Y446" s="11"/>
      <c r="Z446" s="11"/>
      <c r="AA446" s="12">
        <v>445</v>
      </c>
      <c r="AB446" s="12"/>
      <c r="AC446" s="11" t="s">
        <v>2029</v>
      </c>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row>
    <row r="447" spans="1:56" ht="42" x14ac:dyDescent="0.25">
      <c r="A447" s="11" t="s">
        <v>2611</v>
      </c>
      <c r="B447" s="11" t="s">
        <v>2612</v>
      </c>
      <c r="C447" s="11"/>
      <c r="D447" s="11" t="s">
        <v>91</v>
      </c>
      <c r="E447" s="11" t="s">
        <v>92</v>
      </c>
      <c r="F447" s="11" t="s">
        <v>2475</v>
      </c>
      <c r="G447" s="11" t="s">
        <v>2613</v>
      </c>
      <c r="H447" s="11" t="s">
        <v>94</v>
      </c>
      <c r="I447" s="11" t="s">
        <v>112</v>
      </c>
      <c r="J447" s="11" t="s">
        <v>112</v>
      </c>
      <c r="K447" s="11" t="s">
        <v>1568</v>
      </c>
      <c r="L447" s="11" t="s">
        <v>2614</v>
      </c>
      <c r="M447" s="11" t="s">
        <v>99</v>
      </c>
      <c r="N447" s="11" t="s">
        <v>174</v>
      </c>
      <c r="O447" s="11" t="s">
        <v>101</v>
      </c>
      <c r="P447" s="11" t="s">
        <v>102</v>
      </c>
      <c r="Q447" s="12">
        <v>113.948882</v>
      </c>
      <c r="R447" s="13">
        <v>23.081579000000001</v>
      </c>
      <c r="S447" s="11"/>
      <c r="T447" s="11"/>
      <c r="U447" s="11" t="s">
        <v>104</v>
      </c>
      <c r="V447" s="11" t="s">
        <v>105</v>
      </c>
      <c r="W447" s="11" t="s">
        <v>106</v>
      </c>
      <c r="X447" s="11"/>
      <c r="Y447" s="11"/>
      <c r="Z447" s="11"/>
      <c r="AA447" s="12">
        <v>446</v>
      </c>
      <c r="AB447" s="12"/>
      <c r="AC447" s="11" t="s">
        <v>2029</v>
      </c>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row>
    <row r="448" spans="1:56" ht="70" x14ac:dyDescent="0.25">
      <c r="A448" s="11" t="s">
        <v>2615</v>
      </c>
      <c r="B448" s="11" t="s">
        <v>2616</v>
      </c>
      <c r="C448" s="11"/>
      <c r="D448" s="11" t="s">
        <v>91</v>
      </c>
      <c r="E448" s="11" t="s">
        <v>92</v>
      </c>
      <c r="F448" s="11" t="s">
        <v>618</v>
      </c>
      <c r="G448" s="11" t="s">
        <v>2617</v>
      </c>
      <c r="H448" s="11" t="s">
        <v>94</v>
      </c>
      <c r="I448" s="11" t="s">
        <v>95</v>
      </c>
      <c r="J448" s="11" t="s">
        <v>749</v>
      </c>
      <c r="K448" s="11" t="s">
        <v>2618</v>
      </c>
      <c r="L448" s="11" t="s">
        <v>2619</v>
      </c>
      <c r="M448" s="11" t="s">
        <v>99</v>
      </c>
      <c r="N448" s="11" t="s">
        <v>174</v>
      </c>
      <c r="O448" s="11" t="s">
        <v>101</v>
      </c>
      <c r="P448" s="11" t="s">
        <v>102</v>
      </c>
      <c r="Q448" s="12">
        <v>113.214325</v>
      </c>
      <c r="R448" s="13">
        <v>22.924285000000001</v>
      </c>
      <c r="S448" s="11"/>
      <c r="T448" s="11"/>
      <c r="U448" s="11" t="s">
        <v>104</v>
      </c>
      <c r="V448" s="11" t="s">
        <v>105</v>
      </c>
      <c r="W448" s="11" t="s">
        <v>106</v>
      </c>
      <c r="X448" s="11"/>
      <c r="Y448" s="11"/>
      <c r="Z448" s="11"/>
      <c r="AA448" s="12">
        <v>447</v>
      </c>
      <c r="AB448" s="12"/>
      <c r="AC448" s="11" t="s">
        <v>2620</v>
      </c>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row>
    <row r="449" spans="1:56" ht="56" x14ac:dyDescent="0.25">
      <c r="A449" s="11" t="s">
        <v>2621</v>
      </c>
      <c r="B449" s="11" t="s">
        <v>2622</v>
      </c>
      <c r="C449" s="11"/>
      <c r="D449" s="11" t="s">
        <v>91</v>
      </c>
      <c r="E449" s="11" t="s">
        <v>92</v>
      </c>
      <c r="F449" s="11" t="s">
        <v>2623</v>
      </c>
      <c r="G449" s="11" t="s">
        <v>2624</v>
      </c>
      <c r="H449" s="11" t="s">
        <v>94</v>
      </c>
      <c r="I449" s="11" t="s">
        <v>121</v>
      </c>
      <c r="J449" s="11" t="s">
        <v>737</v>
      </c>
      <c r="K449" s="11" t="s">
        <v>2625</v>
      </c>
      <c r="L449" s="11" t="s">
        <v>2626</v>
      </c>
      <c r="M449" s="11" t="s">
        <v>99</v>
      </c>
      <c r="N449" s="11" t="s">
        <v>174</v>
      </c>
      <c r="O449" s="11" t="s">
        <v>101</v>
      </c>
      <c r="P449" s="11" t="s">
        <v>102</v>
      </c>
      <c r="Q449" s="12">
        <v>113.356793</v>
      </c>
      <c r="R449" s="13">
        <v>22.929185</v>
      </c>
      <c r="S449" s="11"/>
      <c r="T449" s="11"/>
      <c r="U449" s="11" t="s">
        <v>104</v>
      </c>
      <c r="V449" s="11" t="s">
        <v>105</v>
      </c>
      <c r="W449" s="11" t="s">
        <v>106</v>
      </c>
      <c r="X449" s="11"/>
      <c r="Y449" s="11"/>
      <c r="Z449" s="11"/>
      <c r="AA449" s="12">
        <v>448</v>
      </c>
      <c r="AB449" s="12"/>
      <c r="AC449" s="11" t="s">
        <v>2627</v>
      </c>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row>
    <row r="450" spans="1:56" ht="42" x14ac:dyDescent="0.25">
      <c r="A450" s="11" t="s">
        <v>2628</v>
      </c>
      <c r="B450" s="11" t="s">
        <v>2629</v>
      </c>
      <c r="C450" s="11"/>
      <c r="D450" s="11" t="s">
        <v>91</v>
      </c>
      <c r="E450" s="11"/>
      <c r="F450" s="11" t="s">
        <v>2630</v>
      </c>
      <c r="G450" s="11" t="s">
        <v>2631</v>
      </c>
      <c r="H450" s="11" t="s">
        <v>94</v>
      </c>
      <c r="I450" s="11" t="s">
        <v>121</v>
      </c>
      <c r="J450" s="11" t="s">
        <v>792</v>
      </c>
      <c r="K450" s="11" t="s">
        <v>123</v>
      </c>
      <c r="L450" s="11" t="s">
        <v>2632</v>
      </c>
      <c r="M450" s="11" t="s">
        <v>2019</v>
      </c>
      <c r="N450" s="11" t="s">
        <v>174</v>
      </c>
      <c r="O450" s="11" t="s">
        <v>101</v>
      </c>
      <c r="P450" s="11" t="s">
        <v>102</v>
      </c>
      <c r="Q450" s="12">
        <v>0</v>
      </c>
      <c r="R450" s="13">
        <v>0</v>
      </c>
      <c r="S450" s="11"/>
      <c r="T450" s="11"/>
      <c r="U450" s="11" t="s">
        <v>104</v>
      </c>
      <c r="V450" s="11" t="s">
        <v>105</v>
      </c>
      <c r="W450" s="11" t="s">
        <v>106</v>
      </c>
      <c r="X450" s="11"/>
      <c r="Y450" s="11"/>
      <c r="Z450" s="11"/>
      <c r="AA450" s="12">
        <v>449</v>
      </c>
      <c r="AB450" s="12"/>
      <c r="AC450" s="11" t="s">
        <v>107</v>
      </c>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row>
    <row r="451" spans="1:56" ht="42" x14ac:dyDescent="0.25">
      <c r="A451" s="11" t="s">
        <v>2633</v>
      </c>
      <c r="B451" s="11" t="s">
        <v>2634</v>
      </c>
      <c r="C451" s="11"/>
      <c r="D451" s="11" t="s">
        <v>91</v>
      </c>
      <c r="E451" s="11" t="s">
        <v>92</v>
      </c>
      <c r="F451" s="11" t="s">
        <v>2635</v>
      </c>
      <c r="G451" s="11" t="s">
        <v>2636</v>
      </c>
      <c r="H451" s="11" t="s">
        <v>94</v>
      </c>
      <c r="I451" s="11" t="s">
        <v>121</v>
      </c>
      <c r="J451" s="11" t="s">
        <v>792</v>
      </c>
      <c r="K451" s="11" t="s">
        <v>123</v>
      </c>
      <c r="L451" s="11" t="s">
        <v>2632</v>
      </c>
      <c r="M451" s="11" t="s">
        <v>139</v>
      </c>
      <c r="N451" s="11" t="s">
        <v>174</v>
      </c>
      <c r="O451" s="11" t="s">
        <v>101</v>
      </c>
      <c r="P451" s="11" t="s">
        <v>102</v>
      </c>
      <c r="Q451" s="12">
        <v>0</v>
      </c>
      <c r="R451" s="13">
        <v>0</v>
      </c>
      <c r="S451" s="11"/>
      <c r="T451" s="11"/>
      <c r="U451" s="11" t="s">
        <v>104</v>
      </c>
      <c r="V451" s="11" t="s">
        <v>105</v>
      </c>
      <c r="W451" s="11" t="s">
        <v>106</v>
      </c>
      <c r="X451" s="11"/>
      <c r="Y451" s="11"/>
      <c r="Z451" s="11"/>
      <c r="AA451" s="12">
        <v>450</v>
      </c>
      <c r="AB451" s="12"/>
      <c r="AC451" s="11" t="s">
        <v>2634</v>
      </c>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row>
    <row r="452" spans="1:56" ht="98" x14ac:dyDescent="0.25">
      <c r="A452" s="11" t="s">
        <v>2637</v>
      </c>
      <c r="B452" s="11" t="s">
        <v>2638</v>
      </c>
      <c r="C452" s="11"/>
      <c r="D452" s="11" t="s">
        <v>91</v>
      </c>
      <c r="E452" s="11" t="s">
        <v>92</v>
      </c>
      <c r="F452" s="11" t="s">
        <v>2639</v>
      </c>
      <c r="G452" s="11" t="s">
        <v>2640</v>
      </c>
      <c r="H452" s="11" t="s">
        <v>94</v>
      </c>
      <c r="I452" s="11" t="s">
        <v>112</v>
      </c>
      <c r="J452" s="11" t="s">
        <v>112</v>
      </c>
      <c r="K452" s="11" t="s">
        <v>123</v>
      </c>
      <c r="L452" s="11" t="s">
        <v>2641</v>
      </c>
      <c r="M452" s="11" t="s">
        <v>115</v>
      </c>
      <c r="N452" s="11" t="s">
        <v>174</v>
      </c>
      <c r="O452" s="11" t="s">
        <v>101</v>
      </c>
      <c r="P452" s="11" t="s">
        <v>102</v>
      </c>
      <c r="Q452" s="12">
        <v>113.916025</v>
      </c>
      <c r="R452" s="13">
        <v>22.916793999999999</v>
      </c>
      <c r="S452" s="11"/>
      <c r="T452" s="11"/>
      <c r="U452" s="11" t="s">
        <v>104</v>
      </c>
      <c r="V452" s="11" t="s">
        <v>105</v>
      </c>
      <c r="W452" s="11" t="s">
        <v>106</v>
      </c>
      <c r="X452" s="11"/>
      <c r="Y452" s="11"/>
      <c r="Z452" s="11"/>
      <c r="AA452" s="12">
        <v>451</v>
      </c>
      <c r="AB452" s="12"/>
      <c r="AC452" s="11" t="s">
        <v>116</v>
      </c>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row>
    <row r="453" spans="1:56" ht="56" x14ac:dyDescent="0.25">
      <c r="A453" s="11" t="s">
        <v>2642</v>
      </c>
      <c r="B453" s="11" t="s">
        <v>2643</v>
      </c>
      <c r="C453" s="11"/>
      <c r="D453" s="11" t="s">
        <v>91</v>
      </c>
      <c r="E453" s="11" t="s">
        <v>92</v>
      </c>
      <c r="F453" s="11" t="s">
        <v>2644</v>
      </c>
      <c r="G453" s="11" t="s">
        <v>2645</v>
      </c>
      <c r="H453" s="11" t="s">
        <v>94</v>
      </c>
      <c r="I453" s="11" t="s">
        <v>121</v>
      </c>
      <c r="J453" s="11" t="s">
        <v>971</v>
      </c>
      <c r="K453" s="11" t="s">
        <v>123</v>
      </c>
      <c r="L453" s="11" t="s">
        <v>2646</v>
      </c>
      <c r="M453" s="11" t="s">
        <v>183</v>
      </c>
      <c r="N453" s="11" t="s">
        <v>174</v>
      </c>
      <c r="O453" s="11" t="s">
        <v>101</v>
      </c>
      <c r="P453" s="11" t="s">
        <v>102</v>
      </c>
      <c r="Q453" s="12">
        <v>113.301491</v>
      </c>
      <c r="R453" s="13">
        <v>23.285504</v>
      </c>
      <c r="S453" s="11"/>
      <c r="T453" s="11"/>
      <c r="U453" s="11" t="s">
        <v>104</v>
      </c>
      <c r="V453" s="11" t="s">
        <v>105</v>
      </c>
      <c r="W453" s="11" t="s">
        <v>106</v>
      </c>
      <c r="X453" s="11"/>
      <c r="Y453" s="11"/>
      <c r="Z453" s="11"/>
      <c r="AA453" s="12">
        <v>452</v>
      </c>
      <c r="AB453" s="12"/>
      <c r="AC453" s="11" t="s">
        <v>2189</v>
      </c>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row>
    <row r="454" spans="1:56" ht="56" x14ac:dyDescent="0.25">
      <c r="A454" s="11" t="s">
        <v>2647</v>
      </c>
      <c r="B454" s="11" t="s">
        <v>2648</v>
      </c>
      <c r="C454" s="11"/>
      <c r="D454" s="11" t="s">
        <v>91</v>
      </c>
      <c r="E454" s="11" t="s">
        <v>92</v>
      </c>
      <c r="F454" s="11" t="s">
        <v>2649</v>
      </c>
      <c r="G454" s="11" t="s">
        <v>2650</v>
      </c>
      <c r="H454" s="11" t="s">
        <v>94</v>
      </c>
      <c r="I454" s="11" t="s">
        <v>121</v>
      </c>
      <c r="J454" s="11" t="s">
        <v>737</v>
      </c>
      <c r="K454" s="11" t="s">
        <v>123</v>
      </c>
      <c r="L454" s="11" t="s">
        <v>2651</v>
      </c>
      <c r="M454" s="11" t="s">
        <v>99</v>
      </c>
      <c r="N454" s="11" t="s">
        <v>174</v>
      </c>
      <c r="O454" s="11" t="s">
        <v>101</v>
      </c>
      <c r="P454" s="11" t="s">
        <v>102</v>
      </c>
      <c r="Q454" s="12">
        <v>113.487764</v>
      </c>
      <c r="R454" s="13">
        <v>22.961079000000002</v>
      </c>
      <c r="S454" s="11"/>
      <c r="T454" s="11"/>
      <c r="U454" s="11" t="s">
        <v>104</v>
      </c>
      <c r="V454" s="11" t="s">
        <v>105</v>
      </c>
      <c r="W454" s="11" t="s">
        <v>106</v>
      </c>
      <c r="X454" s="11"/>
      <c r="Y454" s="11"/>
      <c r="Z454" s="11"/>
      <c r="AA454" s="12">
        <v>453</v>
      </c>
      <c r="AB454" s="12"/>
      <c r="AC454" s="11" t="s">
        <v>2652</v>
      </c>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row>
    <row r="455" spans="1:56" ht="56" x14ac:dyDescent="0.25">
      <c r="A455" s="11" t="s">
        <v>2653</v>
      </c>
      <c r="B455" s="11" t="s">
        <v>2654</v>
      </c>
      <c r="C455" s="11"/>
      <c r="D455" s="11" t="s">
        <v>91</v>
      </c>
      <c r="E455" s="11" t="s">
        <v>92</v>
      </c>
      <c r="F455" s="11" t="s">
        <v>498</v>
      </c>
      <c r="G455" s="11" t="s">
        <v>2655</v>
      </c>
      <c r="H455" s="11" t="s">
        <v>94</v>
      </c>
      <c r="I455" s="11" t="s">
        <v>95</v>
      </c>
      <c r="J455" s="11" t="s">
        <v>1056</v>
      </c>
      <c r="K455" s="11" t="s">
        <v>123</v>
      </c>
      <c r="L455" s="11" t="s">
        <v>2656</v>
      </c>
      <c r="M455" s="11" t="s">
        <v>133</v>
      </c>
      <c r="N455" s="11" t="s">
        <v>174</v>
      </c>
      <c r="O455" s="11" t="s">
        <v>101</v>
      </c>
      <c r="P455" s="11" t="s">
        <v>102</v>
      </c>
      <c r="Q455" s="12">
        <v>112.944604</v>
      </c>
      <c r="R455" s="13">
        <v>23.274688999999999</v>
      </c>
      <c r="S455" s="11"/>
      <c r="T455" s="11"/>
      <c r="U455" s="11" t="s">
        <v>104</v>
      </c>
      <c r="V455" s="11" t="s">
        <v>105</v>
      </c>
      <c r="W455" s="11" t="s">
        <v>106</v>
      </c>
      <c r="X455" s="11"/>
      <c r="Y455" s="11"/>
      <c r="Z455" s="11"/>
      <c r="AA455" s="12">
        <v>454</v>
      </c>
      <c r="AB455" s="12"/>
      <c r="AC455" s="11" t="s">
        <v>107</v>
      </c>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row>
    <row r="456" spans="1:56" ht="42" x14ac:dyDescent="0.25">
      <c r="A456" s="11" t="s">
        <v>2657</v>
      </c>
      <c r="B456" s="11" t="s">
        <v>2658</v>
      </c>
      <c r="C456" s="11"/>
      <c r="D456" s="11" t="s">
        <v>91</v>
      </c>
      <c r="E456" s="11" t="s">
        <v>2659</v>
      </c>
      <c r="F456" s="11" t="s">
        <v>2660</v>
      </c>
      <c r="G456" s="11" t="s">
        <v>2661</v>
      </c>
      <c r="H456" s="11" t="s">
        <v>94</v>
      </c>
      <c r="I456" s="11" t="s">
        <v>121</v>
      </c>
      <c r="J456" s="11" t="s">
        <v>792</v>
      </c>
      <c r="K456" s="11" t="s">
        <v>123</v>
      </c>
      <c r="L456" s="11" t="s">
        <v>2662</v>
      </c>
      <c r="M456" s="11" t="s">
        <v>139</v>
      </c>
      <c r="N456" s="11" t="s">
        <v>174</v>
      </c>
      <c r="O456" s="11" t="s">
        <v>101</v>
      </c>
      <c r="P456" s="11" t="s">
        <v>102</v>
      </c>
      <c r="Q456" s="12">
        <v>0</v>
      </c>
      <c r="R456" s="13">
        <v>0</v>
      </c>
      <c r="S456" s="11"/>
      <c r="T456" s="11"/>
      <c r="U456" s="11" t="s">
        <v>104</v>
      </c>
      <c r="V456" s="11" t="s">
        <v>105</v>
      </c>
      <c r="W456" s="11" t="s">
        <v>106</v>
      </c>
      <c r="X456" s="11"/>
      <c r="Y456" s="11"/>
      <c r="Z456" s="11"/>
      <c r="AA456" s="12">
        <v>455</v>
      </c>
      <c r="AB456" s="12"/>
      <c r="AC456" s="11" t="s">
        <v>107</v>
      </c>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row>
    <row r="457" spans="1:56" ht="98" x14ac:dyDescent="0.25">
      <c r="A457" s="11" t="s">
        <v>2663</v>
      </c>
      <c r="B457" s="11" t="s">
        <v>2664</v>
      </c>
      <c r="C457" s="11"/>
      <c r="D457" s="11" t="s">
        <v>91</v>
      </c>
      <c r="E457" s="11" t="s">
        <v>92</v>
      </c>
      <c r="F457" s="11" t="s">
        <v>2665</v>
      </c>
      <c r="G457" s="11" t="s">
        <v>2666</v>
      </c>
      <c r="H457" s="11" t="s">
        <v>94</v>
      </c>
      <c r="I457" s="11" t="s">
        <v>121</v>
      </c>
      <c r="J457" s="11" t="s">
        <v>792</v>
      </c>
      <c r="K457" s="11" t="s">
        <v>123</v>
      </c>
      <c r="L457" s="11" t="s">
        <v>2667</v>
      </c>
      <c r="M457" s="11" t="s">
        <v>183</v>
      </c>
      <c r="N457" s="11" t="s">
        <v>174</v>
      </c>
      <c r="O457" s="11" t="s">
        <v>101</v>
      </c>
      <c r="P457" s="11" t="s">
        <v>102</v>
      </c>
      <c r="Q457" s="12">
        <v>113.485794</v>
      </c>
      <c r="R457" s="13">
        <v>23.185573000000002</v>
      </c>
      <c r="S457" s="11"/>
      <c r="T457" s="11"/>
      <c r="U457" s="11" t="s">
        <v>104</v>
      </c>
      <c r="V457" s="11" t="s">
        <v>105</v>
      </c>
      <c r="W457" s="11" t="s">
        <v>106</v>
      </c>
      <c r="X457" s="11"/>
      <c r="Y457" s="11"/>
      <c r="Z457" s="11"/>
      <c r="AA457" s="12">
        <v>456</v>
      </c>
      <c r="AB457" s="12"/>
      <c r="AC457" s="11" t="s">
        <v>2189</v>
      </c>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row>
    <row r="458" spans="1:56" ht="56" x14ac:dyDescent="0.25">
      <c r="A458" s="11" t="s">
        <v>2668</v>
      </c>
      <c r="B458" s="11" t="s">
        <v>2669</v>
      </c>
      <c r="C458" s="11"/>
      <c r="D458" s="11" t="s">
        <v>91</v>
      </c>
      <c r="E458" s="11" t="s">
        <v>92</v>
      </c>
      <c r="F458" s="11" t="s">
        <v>2670</v>
      </c>
      <c r="G458" s="11" t="s">
        <v>2671</v>
      </c>
      <c r="H458" s="11" t="s">
        <v>94</v>
      </c>
      <c r="I458" s="11" t="s">
        <v>121</v>
      </c>
      <c r="J458" s="11" t="s">
        <v>737</v>
      </c>
      <c r="K458" s="11" t="s">
        <v>123</v>
      </c>
      <c r="L458" s="11" t="s">
        <v>2672</v>
      </c>
      <c r="M458" s="11" t="s">
        <v>183</v>
      </c>
      <c r="N458" s="11" t="s">
        <v>174</v>
      </c>
      <c r="O458" s="11" t="s">
        <v>101</v>
      </c>
      <c r="P458" s="11" t="s">
        <v>102</v>
      </c>
      <c r="Q458" s="12">
        <v>113.396368</v>
      </c>
      <c r="R458" s="13">
        <v>22.943584000000001</v>
      </c>
      <c r="S458" s="11"/>
      <c r="T458" s="11"/>
      <c r="U458" s="11" t="s">
        <v>104</v>
      </c>
      <c r="V458" s="11" t="s">
        <v>105</v>
      </c>
      <c r="W458" s="11" t="s">
        <v>106</v>
      </c>
      <c r="X458" s="11"/>
      <c r="Y458" s="11"/>
      <c r="Z458" s="11"/>
      <c r="AA458" s="12">
        <v>457</v>
      </c>
      <c r="AB458" s="12"/>
      <c r="AC458" s="11" t="s">
        <v>2189</v>
      </c>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row>
    <row r="459" spans="1:56" ht="56" x14ac:dyDescent="0.25">
      <c r="A459" s="11" t="s">
        <v>2673</v>
      </c>
      <c r="B459" s="11" t="s">
        <v>2674</v>
      </c>
      <c r="C459" s="11"/>
      <c r="D459" s="11" t="s">
        <v>91</v>
      </c>
      <c r="E459" s="11" t="s">
        <v>92</v>
      </c>
      <c r="F459" s="11" t="s">
        <v>2674</v>
      </c>
      <c r="G459" s="11" t="s">
        <v>2675</v>
      </c>
      <c r="H459" s="11" t="s">
        <v>94</v>
      </c>
      <c r="I459" s="11" t="s">
        <v>112</v>
      </c>
      <c r="J459" s="11" t="s">
        <v>112</v>
      </c>
      <c r="K459" s="11" t="s">
        <v>123</v>
      </c>
      <c r="L459" s="11" t="s">
        <v>2676</v>
      </c>
      <c r="M459" s="11" t="s">
        <v>115</v>
      </c>
      <c r="N459" s="11" t="s">
        <v>174</v>
      </c>
      <c r="O459" s="11" t="s">
        <v>101</v>
      </c>
      <c r="P459" s="11" t="s">
        <v>102</v>
      </c>
      <c r="Q459" s="12">
        <v>114.096735</v>
      </c>
      <c r="R459" s="13">
        <v>22.773627000000001</v>
      </c>
      <c r="S459" s="11"/>
      <c r="T459" s="11"/>
      <c r="U459" s="11" t="s">
        <v>104</v>
      </c>
      <c r="V459" s="11" t="s">
        <v>105</v>
      </c>
      <c r="W459" s="11" t="s">
        <v>106</v>
      </c>
      <c r="X459" s="11"/>
      <c r="Y459" s="11"/>
      <c r="Z459" s="11"/>
      <c r="AA459" s="12">
        <v>458</v>
      </c>
      <c r="AB459" s="12"/>
      <c r="AC459" s="11" t="s">
        <v>116</v>
      </c>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row>
    <row r="460" spans="1:56" ht="56" x14ac:dyDescent="0.25">
      <c r="A460" s="11" t="s">
        <v>2677</v>
      </c>
      <c r="B460" s="11" t="s">
        <v>2678</v>
      </c>
      <c r="C460" s="11"/>
      <c r="D460" s="11" t="s">
        <v>91</v>
      </c>
      <c r="E460" s="11" t="s">
        <v>92</v>
      </c>
      <c r="F460" s="11" t="s">
        <v>2678</v>
      </c>
      <c r="G460" s="11" t="s">
        <v>2679</v>
      </c>
      <c r="H460" s="11" t="s">
        <v>94</v>
      </c>
      <c r="I460" s="11" t="s">
        <v>121</v>
      </c>
      <c r="J460" s="11" t="s">
        <v>799</v>
      </c>
      <c r="K460" s="11" t="s">
        <v>2680</v>
      </c>
      <c r="L460" s="11" t="s">
        <v>2681</v>
      </c>
      <c r="M460" s="11" t="s">
        <v>115</v>
      </c>
      <c r="N460" s="11" t="s">
        <v>174</v>
      </c>
      <c r="O460" s="11" t="s">
        <v>101</v>
      </c>
      <c r="P460" s="11" t="s">
        <v>102</v>
      </c>
      <c r="Q460" s="12">
        <v>113.21255499999999</v>
      </c>
      <c r="R460" s="13">
        <v>23.383208</v>
      </c>
      <c r="S460" s="11"/>
      <c r="T460" s="11"/>
      <c r="U460" s="11" t="s">
        <v>104</v>
      </c>
      <c r="V460" s="11" t="s">
        <v>105</v>
      </c>
      <c r="W460" s="11" t="s">
        <v>106</v>
      </c>
      <c r="X460" s="11"/>
      <c r="Y460" s="11"/>
      <c r="Z460" s="11"/>
      <c r="AA460" s="12">
        <v>459</v>
      </c>
      <c r="AB460" s="12"/>
      <c r="AC460" s="11" t="s">
        <v>116</v>
      </c>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row>
    <row r="461" spans="1:56" ht="70" x14ac:dyDescent="0.25">
      <c r="A461" s="11" t="s">
        <v>2682</v>
      </c>
      <c r="B461" s="11" t="s">
        <v>2683</v>
      </c>
      <c r="C461" s="11"/>
      <c r="D461" s="11" t="s">
        <v>91</v>
      </c>
      <c r="E461" s="11" t="s">
        <v>92</v>
      </c>
      <c r="F461" s="11" t="s">
        <v>2684</v>
      </c>
      <c r="G461" s="11" t="s">
        <v>2685</v>
      </c>
      <c r="H461" s="11" t="s">
        <v>94</v>
      </c>
      <c r="I461" s="11" t="s">
        <v>121</v>
      </c>
      <c r="J461" s="11" t="s">
        <v>792</v>
      </c>
      <c r="K461" s="11" t="s">
        <v>123</v>
      </c>
      <c r="L461" s="11" t="s">
        <v>2686</v>
      </c>
      <c r="M461" s="11" t="s">
        <v>183</v>
      </c>
      <c r="N461" s="11" t="s">
        <v>174</v>
      </c>
      <c r="O461" s="11" t="s">
        <v>101</v>
      </c>
      <c r="P461" s="11" t="s">
        <v>102</v>
      </c>
      <c r="Q461" s="12">
        <v>113.464243</v>
      </c>
      <c r="R461" s="13">
        <v>23.161691000000001</v>
      </c>
      <c r="S461" s="11"/>
      <c r="T461" s="11"/>
      <c r="U461" s="11" t="s">
        <v>104</v>
      </c>
      <c r="V461" s="11" t="s">
        <v>105</v>
      </c>
      <c r="W461" s="11" t="s">
        <v>106</v>
      </c>
      <c r="X461" s="11"/>
      <c r="Y461" s="11"/>
      <c r="Z461" s="11"/>
      <c r="AA461" s="12">
        <v>460</v>
      </c>
      <c r="AB461" s="12"/>
      <c r="AC461" s="11" t="s">
        <v>2189</v>
      </c>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row>
    <row r="462" spans="1:56" ht="42" x14ac:dyDescent="0.25">
      <c r="A462" s="11" t="s">
        <v>2687</v>
      </c>
      <c r="B462" s="11" t="s">
        <v>2688</v>
      </c>
      <c r="C462" s="11"/>
      <c r="D462" s="11" t="s">
        <v>91</v>
      </c>
      <c r="E462" s="11" t="s">
        <v>92</v>
      </c>
      <c r="F462" s="11" t="s">
        <v>2689</v>
      </c>
      <c r="G462" s="11" t="s">
        <v>2690</v>
      </c>
      <c r="H462" s="11" t="s">
        <v>94</v>
      </c>
      <c r="I462" s="11" t="s">
        <v>121</v>
      </c>
      <c r="J462" s="11" t="s">
        <v>122</v>
      </c>
      <c r="K462" s="11" t="s">
        <v>123</v>
      </c>
      <c r="L462" s="11" t="s">
        <v>2691</v>
      </c>
      <c r="M462" s="11" t="s">
        <v>99</v>
      </c>
      <c r="N462" s="11" t="s">
        <v>174</v>
      </c>
      <c r="O462" s="11" t="s">
        <v>101</v>
      </c>
      <c r="P462" s="11" t="s">
        <v>102</v>
      </c>
      <c r="Q462" s="12">
        <v>113.400352</v>
      </c>
      <c r="R462" s="13">
        <v>23.116952999999999</v>
      </c>
      <c r="S462" s="11"/>
      <c r="T462" s="11"/>
      <c r="U462" s="11" t="s">
        <v>104</v>
      </c>
      <c r="V462" s="11" t="s">
        <v>105</v>
      </c>
      <c r="W462" s="11" t="s">
        <v>106</v>
      </c>
      <c r="X462" s="11"/>
      <c r="Y462" s="11"/>
      <c r="Z462" s="11"/>
      <c r="AA462" s="12">
        <v>461</v>
      </c>
      <c r="AB462" s="12"/>
      <c r="AC462" s="11" t="s">
        <v>107</v>
      </c>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row>
    <row r="463" spans="1:56" ht="70" x14ac:dyDescent="0.25">
      <c r="A463" s="11" t="s">
        <v>2692</v>
      </c>
      <c r="B463" s="11" t="s">
        <v>2693</v>
      </c>
      <c r="C463" s="11"/>
      <c r="D463" s="11" t="s">
        <v>91</v>
      </c>
      <c r="E463" s="11" t="s">
        <v>92</v>
      </c>
      <c r="F463" s="11" t="s">
        <v>363</v>
      </c>
      <c r="G463" s="11" t="s">
        <v>2694</v>
      </c>
      <c r="H463" s="11" t="s">
        <v>94</v>
      </c>
      <c r="I463" s="11" t="s">
        <v>121</v>
      </c>
      <c r="J463" s="11" t="s">
        <v>737</v>
      </c>
      <c r="K463" s="11" t="s">
        <v>123</v>
      </c>
      <c r="L463" s="11" t="s">
        <v>2695</v>
      </c>
      <c r="M463" s="11" t="s">
        <v>99</v>
      </c>
      <c r="N463" s="11" t="s">
        <v>174</v>
      </c>
      <c r="O463" s="11" t="s">
        <v>101</v>
      </c>
      <c r="P463" s="11" t="s">
        <v>102</v>
      </c>
      <c r="Q463" s="12">
        <v>113.368377</v>
      </c>
      <c r="R463" s="13">
        <v>22.935445999999999</v>
      </c>
      <c r="S463" s="11"/>
      <c r="T463" s="11"/>
      <c r="U463" s="11" t="s">
        <v>104</v>
      </c>
      <c r="V463" s="11" t="s">
        <v>105</v>
      </c>
      <c r="W463" s="11" t="s">
        <v>106</v>
      </c>
      <c r="X463" s="11"/>
      <c r="Y463" s="11"/>
      <c r="Z463" s="11"/>
      <c r="AA463" s="12">
        <v>462</v>
      </c>
      <c r="AB463" s="12"/>
      <c r="AC463" s="11" t="s">
        <v>107</v>
      </c>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row>
    <row r="464" spans="1:56" ht="56" x14ac:dyDescent="0.25">
      <c r="A464" s="11" t="s">
        <v>2696</v>
      </c>
      <c r="B464" s="11" t="s">
        <v>2697</v>
      </c>
      <c r="C464" s="11"/>
      <c r="D464" s="11" t="s">
        <v>91</v>
      </c>
      <c r="E464" s="11" t="s">
        <v>92</v>
      </c>
      <c r="F464" s="11" t="s">
        <v>2698</v>
      </c>
      <c r="G464" s="11" t="s">
        <v>2699</v>
      </c>
      <c r="H464" s="11" t="s">
        <v>94</v>
      </c>
      <c r="I464" s="11" t="s">
        <v>343</v>
      </c>
      <c r="J464" s="11" t="s">
        <v>344</v>
      </c>
      <c r="K464" s="11" t="s">
        <v>123</v>
      </c>
      <c r="L464" s="11" t="s">
        <v>2700</v>
      </c>
      <c r="M464" s="11" t="s">
        <v>183</v>
      </c>
      <c r="N464" s="11" t="s">
        <v>174</v>
      </c>
      <c r="O464" s="11" t="s">
        <v>101</v>
      </c>
      <c r="P464" s="11" t="s">
        <v>102</v>
      </c>
      <c r="Q464" s="12">
        <v>113.50882300000001</v>
      </c>
      <c r="R464" s="13">
        <v>22.167231999999998</v>
      </c>
      <c r="S464" s="11"/>
      <c r="T464" s="11"/>
      <c r="U464" s="11" t="s">
        <v>104</v>
      </c>
      <c r="V464" s="11" t="s">
        <v>105</v>
      </c>
      <c r="W464" s="11" t="s">
        <v>106</v>
      </c>
      <c r="X464" s="11"/>
      <c r="Y464" s="11"/>
      <c r="Z464" s="11"/>
      <c r="AA464" s="12">
        <v>463</v>
      </c>
      <c r="AB464" s="12"/>
      <c r="AC464" s="11" t="s">
        <v>2189</v>
      </c>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row>
    <row r="465" spans="1:56" ht="42" x14ac:dyDescent="0.25">
      <c r="A465" s="11" t="s">
        <v>2701</v>
      </c>
      <c r="B465" s="11" t="s">
        <v>2702</v>
      </c>
      <c r="C465" s="11"/>
      <c r="D465" s="11" t="s">
        <v>91</v>
      </c>
      <c r="E465" s="11" t="s">
        <v>92</v>
      </c>
      <c r="F465" s="11" t="s">
        <v>2703</v>
      </c>
      <c r="G465" s="11" t="s">
        <v>2430</v>
      </c>
      <c r="H465" s="11" t="s">
        <v>94</v>
      </c>
      <c r="I465" s="11" t="s">
        <v>121</v>
      </c>
      <c r="J465" s="11" t="s">
        <v>971</v>
      </c>
      <c r="K465" s="11" t="s">
        <v>123</v>
      </c>
      <c r="L465" s="11" t="s">
        <v>2704</v>
      </c>
      <c r="M465" s="11" t="s">
        <v>139</v>
      </c>
      <c r="N465" s="11" t="s">
        <v>174</v>
      </c>
      <c r="O465" s="11" t="s">
        <v>140</v>
      </c>
      <c r="P465" s="11" t="s">
        <v>102</v>
      </c>
      <c r="Q465" s="12">
        <v>0</v>
      </c>
      <c r="R465" s="13">
        <v>0</v>
      </c>
      <c r="S465" s="11"/>
      <c r="T465" s="11"/>
      <c r="U465" s="11" t="s">
        <v>104</v>
      </c>
      <c r="V465" s="11" t="s">
        <v>105</v>
      </c>
      <c r="W465" s="11" t="s">
        <v>106</v>
      </c>
      <c r="X465" s="11"/>
      <c r="Y465" s="11"/>
      <c r="Z465" s="11"/>
      <c r="AA465" s="12">
        <v>464</v>
      </c>
      <c r="AB465" s="12"/>
      <c r="AC465" s="11" t="s">
        <v>2705</v>
      </c>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row>
    <row r="466" spans="1:56" ht="42" x14ac:dyDescent="0.25">
      <c r="A466" s="11" t="s">
        <v>2706</v>
      </c>
      <c r="B466" s="11" t="s">
        <v>2707</v>
      </c>
      <c r="C466" s="11"/>
      <c r="D466" s="11" t="s">
        <v>91</v>
      </c>
      <c r="E466" s="11" t="s">
        <v>92</v>
      </c>
      <c r="F466" s="11" t="s">
        <v>2708</v>
      </c>
      <c r="G466" s="11" t="s">
        <v>2430</v>
      </c>
      <c r="H466" s="11" t="s">
        <v>94</v>
      </c>
      <c r="I466" s="11" t="s">
        <v>121</v>
      </c>
      <c r="J466" s="11" t="s">
        <v>2007</v>
      </c>
      <c r="K466" s="11" t="s">
        <v>123</v>
      </c>
      <c r="L466" s="11" t="s">
        <v>2709</v>
      </c>
      <c r="M466" s="11" t="s">
        <v>139</v>
      </c>
      <c r="N466" s="11" t="s">
        <v>174</v>
      </c>
      <c r="O466" s="11" t="s">
        <v>140</v>
      </c>
      <c r="P466" s="11" t="s">
        <v>102</v>
      </c>
      <c r="Q466" s="12">
        <v>0</v>
      </c>
      <c r="R466" s="13">
        <v>0</v>
      </c>
      <c r="S466" s="11"/>
      <c r="T466" s="11"/>
      <c r="U466" s="11" t="s">
        <v>104</v>
      </c>
      <c r="V466" s="11" t="s">
        <v>105</v>
      </c>
      <c r="W466" s="11" t="s">
        <v>106</v>
      </c>
      <c r="X466" s="11"/>
      <c r="Y466" s="11"/>
      <c r="Z466" s="11"/>
      <c r="AA466" s="12">
        <v>465</v>
      </c>
      <c r="AB466" s="12"/>
      <c r="AC466" s="11" t="s">
        <v>2705</v>
      </c>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row>
    <row r="467" spans="1:56" ht="84" x14ac:dyDescent="0.25">
      <c r="A467" s="11" t="s">
        <v>2710</v>
      </c>
      <c r="B467" s="11" t="s">
        <v>2711</v>
      </c>
      <c r="C467" s="11"/>
      <c r="D467" s="11" t="s">
        <v>91</v>
      </c>
      <c r="E467" s="11" t="s">
        <v>92</v>
      </c>
      <c r="F467" s="11" t="s">
        <v>2712</v>
      </c>
      <c r="G467" s="11" t="s">
        <v>2713</v>
      </c>
      <c r="H467" s="11" t="s">
        <v>94</v>
      </c>
      <c r="I467" s="11" t="s">
        <v>121</v>
      </c>
      <c r="J467" s="11" t="s">
        <v>145</v>
      </c>
      <c r="K467" s="11" t="s">
        <v>123</v>
      </c>
      <c r="L467" s="11" t="s">
        <v>2714</v>
      </c>
      <c r="M467" s="11" t="s">
        <v>99</v>
      </c>
      <c r="N467" s="11" t="s">
        <v>174</v>
      </c>
      <c r="O467" s="11" t="s">
        <v>101</v>
      </c>
      <c r="P467" s="11" t="s">
        <v>102</v>
      </c>
      <c r="Q467" s="12">
        <v>113.40709200000001</v>
      </c>
      <c r="R467" s="13">
        <v>22.804345000000001</v>
      </c>
      <c r="S467" s="11"/>
      <c r="T467" s="11"/>
      <c r="U467" s="11" t="s">
        <v>104</v>
      </c>
      <c r="V467" s="11" t="s">
        <v>105</v>
      </c>
      <c r="W467" s="11" t="s">
        <v>106</v>
      </c>
      <c r="X467" s="11"/>
      <c r="Y467" s="11"/>
      <c r="Z467" s="11"/>
      <c r="AA467" s="12">
        <v>466</v>
      </c>
      <c r="AB467" s="12"/>
      <c r="AC467" s="11" t="s">
        <v>143</v>
      </c>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row>
    <row r="468" spans="1:56" ht="42" x14ac:dyDescent="0.25">
      <c r="A468" s="11" t="s">
        <v>2715</v>
      </c>
      <c r="B468" s="11" t="s">
        <v>349</v>
      </c>
      <c r="C468" s="11"/>
      <c r="D468" s="11" t="s">
        <v>91</v>
      </c>
      <c r="E468" s="11" t="s">
        <v>92</v>
      </c>
      <c r="F468" s="11" t="s">
        <v>349</v>
      </c>
      <c r="G468" s="11" t="s">
        <v>2716</v>
      </c>
      <c r="H468" s="11" t="s">
        <v>94</v>
      </c>
      <c r="I468" s="11" t="s">
        <v>343</v>
      </c>
      <c r="J468" s="11" t="s">
        <v>344</v>
      </c>
      <c r="K468" s="11" t="s">
        <v>2717</v>
      </c>
      <c r="L468" s="11" t="s">
        <v>2718</v>
      </c>
      <c r="M468" s="11" t="s">
        <v>115</v>
      </c>
      <c r="N468" s="11" t="s">
        <v>174</v>
      </c>
      <c r="O468" s="11" t="s">
        <v>101</v>
      </c>
      <c r="P468" s="11" t="s">
        <v>102</v>
      </c>
      <c r="Q468" s="12">
        <v>0</v>
      </c>
      <c r="R468" s="13">
        <v>0</v>
      </c>
      <c r="S468" s="11"/>
      <c r="T468" s="11"/>
      <c r="U468" s="11" t="s">
        <v>104</v>
      </c>
      <c r="V468" s="11" t="s">
        <v>105</v>
      </c>
      <c r="W468" s="11" t="s">
        <v>106</v>
      </c>
      <c r="X468" s="11"/>
      <c r="Y468" s="11"/>
      <c r="Z468" s="11"/>
      <c r="AA468" s="12">
        <v>467</v>
      </c>
      <c r="AB468" s="12"/>
      <c r="AC468" s="11" t="s">
        <v>107</v>
      </c>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row>
    <row r="469" spans="1:56" ht="42" x14ac:dyDescent="0.25">
      <c r="A469" s="11" t="s">
        <v>2719</v>
      </c>
      <c r="B469" s="11" t="s">
        <v>2720</v>
      </c>
      <c r="C469" s="11"/>
      <c r="D469" s="11" t="s">
        <v>91</v>
      </c>
      <c r="E469" s="11" t="s">
        <v>92</v>
      </c>
      <c r="F469" s="11" t="s">
        <v>2720</v>
      </c>
      <c r="G469" s="11" t="s">
        <v>2721</v>
      </c>
      <c r="H469" s="11" t="s">
        <v>94</v>
      </c>
      <c r="I469" s="11" t="s">
        <v>343</v>
      </c>
      <c r="J469" s="11" t="s">
        <v>344</v>
      </c>
      <c r="K469" s="11" t="s">
        <v>123</v>
      </c>
      <c r="L469" s="11" t="s">
        <v>2722</v>
      </c>
      <c r="M469" s="11" t="s">
        <v>115</v>
      </c>
      <c r="N469" s="11" t="s">
        <v>174</v>
      </c>
      <c r="O469" s="11" t="s">
        <v>101</v>
      </c>
      <c r="P469" s="11" t="s">
        <v>102</v>
      </c>
      <c r="Q469" s="12">
        <v>113.509052</v>
      </c>
      <c r="R469" s="13">
        <v>22.170439999999999</v>
      </c>
      <c r="S469" s="11"/>
      <c r="T469" s="11"/>
      <c r="U469" s="11" t="s">
        <v>104</v>
      </c>
      <c r="V469" s="11" t="s">
        <v>105</v>
      </c>
      <c r="W469" s="11" t="s">
        <v>106</v>
      </c>
      <c r="X469" s="11"/>
      <c r="Y469" s="11"/>
      <c r="Z469" s="11"/>
      <c r="AA469" s="12">
        <v>468</v>
      </c>
      <c r="AB469" s="12"/>
      <c r="AC469" s="11" t="s">
        <v>2723</v>
      </c>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row>
    <row r="470" spans="1:56" ht="42" x14ac:dyDescent="0.25">
      <c r="A470" s="11" t="s">
        <v>2724</v>
      </c>
      <c r="B470" s="11" t="s">
        <v>2725</v>
      </c>
      <c r="C470" s="11"/>
      <c r="D470" s="11" t="s">
        <v>91</v>
      </c>
      <c r="E470" s="11" t="s">
        <v>92</v>
      </c>
      <c r="F470" s="11" t="s">
        <v>2725</v>
      </c>
      <c r="G470" s="11" t="s">
        <v>2726</v>
      </c>
      <c r="H470" s="11" t="s">
        <v>94</v>
      </c>
      <c r="I470" s="11" t="s">
        <v>121</v>
      </c>
      <c r="J470" s="11" t="s">
        <v>122</v>
      </c>
      <c r="K470" s="11" t="s">
        <v>123</v>
      </c>
      <c r="L470" s="11" t="s">
        <v>2727</v>
      </c>
      <c r="M470" s="11" t="s">
        <v>115</v>
      </c>
      <c r="N470" s="11" t="s">
        <v>174</v>
      </c>
      <c r="O470" s="11" t="s">
        <v>101</v>
      </c>
      <c r="P470" s="11" t="s">
        <v>102</v>
      </c>
      <c r="Q470" s="12">
        <v>0</v>
      </c>
      <c r="R470" s="13">
        <v>0</v>
      </c>
      <c r="S470" s="11"/>
      <c r="T470" s="11"/>
      <c r="U470" s="11" t="s">
        <v>104</v>
      </c>
      <c r="V470" s="11" t="s">
        <v>105</v>
      </c>
      <c r="W470" s="11" t="s">
        <v>106</v>
      </c>
      <c r="X470" s="11"/>
      <c r="Y470" s="11"/>
      <c r="Z470" s="11"/>
      <c r="AA470" s="12">
        <v>469</v>
      </c>
      <c r="AB470" s="12"/>
      <c r="AC470" s="11" t="s">
        <v>107</v>
      </c>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row>
    <row r="471" spans="1:56" ht="56" x14ac:dyDescent="0.25">
      <c r="A471" s="11" t="s">
        <v>2728</v>
      </c>
      <c r="B471" s="11" t="s">
        <v>2729</v>
      </c>
      <c r="C471" s="11"/>
      <c r="D471" s="11" t="s">
        <v>91</v>
      </c>
      <c r="E471" s="11" t="s">
        <v>92</v>
      </c>
      <c r="F471" s="11" t="s">
        <v>2729</v>
      </c>
      <c r="G471" s="11" t="s">
        <v>2730</v>
      </c>
      <c r="H471" s="11" t="s">
        <v>94</v>
      </c>
      <c r="I471" s="11" t="s">
        <v>121</v>
      </c>
      <c r="J471" s="11" t="s">
        <v>131</v>
      </c>
      <c r="K471" s="11" t="s">
        <v>2731</v>
      </c>
      <c r="L471" s="11" t="s">
        <v>2732</v>
      </c>
      <c r="M471" s="11" t="s">
        <v>115</v>
      </c>
      <c r="N471" s="11" t="s">
        <v>174</v>
      </c>
      <c r="O471" s="11" t="s">
        <v>101</v>
      </c>
      <c r="P471" s="11" t="s">
        <v>102</v>
      </c>
      <c r="Q471" s="12">
        <v>113.593709</v>
      </c>
      <c r="R471" s="13">
        <v>23.189965000000001</v>
      </c>
      <c r="S471" s="11"/>
      <c r="T471" s="11"/>
      <c r="U471" s="11" t="s">
        <v>104</v>
      </c>
      <c r="V471" s="11" t="s">
        <v>105</v>
      </c>
      <c r="W471" s="11" t="s">
        <v>106</v>
      </c>
      <c r="X471" s="11"/>
      <c r="Y471" s="11"/>
      <c r="Z471" s="11"/>
      <c r="AA471" s="12">
        <v>470</v>
      </c>
      <c r="AB471" s="12"/>
      <c r="AC471" s="11" t="s">
        <v>116</v>
      </c>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row>
    <row r="472" spans="1:56" ht="42" x14ac:dyDescent="0.25">
      <c r="A472" s="11" t="s">
        <v>2733</v>
      </c>
      <c r="B472" s="11" t="s">
        <v>2734</v>
      </c>
      <c r="C472" s="11"/>
      <c r="D472" s="11" t="s">
        <v>91</v>
      </c>
      <c r="E472" s="11" t="s">
        <v>92</v>
      </c>
      <c r="F472" s="11" t="s">
        <v>2735</v>
      </c>
      <c r="G472" s="11" t="s">
        <v>2736</v>
      </c>
      <c r="H472" s="11" t="s">
        <v>94</v>
      </c>
      <c r="I472" s="11" t="s">
        <v>121</v>
      </c>
      <c r="J472" s="11" t="s">
        <v>737</v>
      </c>
      <c r="K472" s="11" t="s">
        <v>123</v>
      </c>
      <c r="L472" s="11" t="s">
        <v>2737</v>
      </c>
      <c r="M472" s="11" t="s">
        <v>183</v>
      </c>
      <c r="N472" s="11" t="s">
        <v>174</v>
      </c>
      <c r="O472" s="11" t="s">
        <v>101</v>
      </c>
      <c r="P472" s="11" t="s">
        <v>102</v>
      </c>
      <c r="Q472" s="12">
        <v>113.27007793</v>
      </c>
      <c r="R472" s="13">
        <v>22.99634485</v>
      </c>
      <c r="S472" s="11"/>
      <c r="T472" s="11"/>
      <c r="U472" s="11" t="s">
        <v>104</v>
      </c>
      <c r="V472" s="11" t="s">
        <v>105</v>
      </c>
      <c r="W472" s="11" t="s">
        <v>106</v>
      </c>
      <c r="X472" s="11"/>
      <c r="Y472" s="11"/>
      <c r="Z472" s="11"/>
      <c r="AA472" s="12">
        <v>471</v>
      </c>
      <c r="AB472" s="12"/>
      <c r="AC472" s="11" t="s">
        <v>134</v>
      </c>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row>
    <row r="473" spans="1:56" ht="42" x14ac:dyDescent="0.25">
      <c r="A473" s="11" t="s">
        <v>2738</v>
      </c>
      <c r="B473" s="11" t="s">
        <v>2739</v>
      </c>
      <c r="C473" s="11"/>
      <c r="D473" s="11" t="s">
        <v>91</v>
      </c>
      <c r="E473" s="11" t="s">
        <v>92</v>
      </c>
      <c r="F473" s="11" t="s">
        <v>2739</v>
      </c>
      <c r="G473" s="11" t="s">
        <v>2017</v>
      </c>
      <c r="H473" s="11" t="s">
        <v>94</v>
      </c>
      <c r="I473" s="11" t="s">
        <v>121</v>
      </c>
      <c r="J473" s="11" t="s">
        <v>792</v>
      </c>
      <c r="K473" s="11" t="s">
        <v>123</v>
      </c>
      <c r="L473" s="11" t="s">
        <v>792</v>
      </c>
      <c r="M473" s="11" t="s">
        <v>139</v>
      </c>
      <c r="N473" s="11" t="s">
        <v>174</v>
      </c>
      <c r="O473" s="11" t="s">
        <v>140</v>
      </c>
      <c r="P473" s="11" t="s">
        <v>102</v>
      </c>
      <c r="Q473" s="12">
        <v>0</v>
      </c>
      <c r="R473" s="13">
        <v>0</v>
      </c>
      <c r="S473" s="11"/>
      <c r="T473" s="11"/>
      <c r="U473" s="11" t="s">
        <v>104</v>
      </c>
      <c r="V473" s="11" t="s">
        <v>105</v>
      </c>
      <c r="W473" s="11" t="s">
        <v>106</v>
      </c>
      <c r="X473" s="11"/>
      <c r="Y473" s="11"/>
      <c r="Z473" s="11"/>
      <c r="AA473" s="12">
        <v>472</v>
      </c>
      <c r="AB473" s="12"/>
      <c r="AC473" s="11" t="s">
        <v>2739</v>
      </c>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row>
    <row r="474" spans="1:56" ht="84" x14ac:dyDescent="0.25">
      <c r="A474" s="11" t="s">
        <v>2740</v>
      </c>
      <c r="B474" s="11" t="s">
        <v>2741</v>
      </c>
      <c r="C474" s="11"/>
      <c r="D474" s="11" t="s">
        <v>91</v>
      </c>
      <c r="E474" s="11" t="s">
        <v>92</v>
      </c>
      <c r="F474" s="11" t="s">
        <v>2742</v>
      </c>
      <c r="G474" s="11" t="s">
        <v>2743</v>
      </c>
      <c r="H474" s="11" t="s">
        <v>94</v>
      </c>
      <c r="I474" s="11" t="s">
        <v>112</v>
      </c>
      <c r="J474" s="11" t="s">
        <v>112</v>
      </c>
      <c r="K474" s="11" t="s">
        <v>1675</v>
      </c>
      <c r="L474" s="11" t="s">
        <v>2744</v>
      </c>
      <c r="M474" s="11" t="s">
        <v>115</v>
      </c>
      <c r="N474" s="11" t="s">
        <v>174</v>
      </c>
      <c r="O474" s="11" t="s">
        <v>101</v>
      </c>
      <c r="P474" s="11" t="s">
        <v>102</v>
      </c>
      <c r="Q474" s="12">
        <v>114.053067</v>
      </c>
      <c r="R474" s="13">
        <v>23.019051000000001</v>
      </c>
      <c r="S474" s="11"/>
      <c r="T474" s="11"/>
      <c r="U474" s="11" t="s">
        <v>104</v>
      </c>
      <c r="V474" s="11" t="s">
        <v>105</v>
      </c>
      <c r="W474" s="11" t="s">
        <v>106</v>
      </c>
      <c r="X474" s="11"/>
      <c r="Y474" s="11"/>
      <c r="Z474" s="11"/>
      <c r="AA474" s="12">
        <v>473</v>
      </c>
      <c r="AB474" s="12"/>
      <c r="AC474" s="11" t="s">
        <v>116</v>
      </c>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row>
    <row r="475" spans="1:56" ht="42" x14ac:dyDescent="0.25">
      <c r="A475" s="11" t="s">
        <v>2745</v>
      </c>
      <c r="B475" s="11" t="s">
        <v>2746</v>
      </c>
      <c r="C475" s="11"/>
      <c r="D475" s="11" t="s">
        <v>91</v>
      </c>
      <c r="E475" s="11" t="s">
        <v>92</v>
      </c>
      <c r="F475" s="11" t="s">
        <v>2747</v>
      </c>
      <c r="G475" s="11" t="s">
        <v>2748</v>
      </c>
      <c r="H475" s="11" t="s">
        <v>94</v>
      </c>
      <c r="I475" s="11" t="s">
        <v>343</v>
      </c>
      <c r="J475" s="11" t="s">
        <v>411</v>
      </c>
      <c r="K475" s="11" t="s">
        <v>123</v>
      </c>
      <c r="L475" s="11" t="s">
        <v>2749</v>
      </c>
      <c r="M475" s="11" t="s">
        <v>183</v>
      </c>
      <c r="N475" s="11" t="s">
        <v>174</v>
      </c>
      <c r="O475" s="11" t="s">
        <v>101</v>
      </c>
      <c r="P475" s="11" t="s">
        <v>102</v>
      </c>
      <c r="Q475" s="12">
        <v>113.294044</v>
      </c>
      <c r="R475" s="13">
        <v>22.213612999999999</v>
      </c>
      <c r="S475" s="11"/>
      <c r="T475" s="11"/>
      <c r="U475" s="11" t="s">
        <v>104</v>
      </c>
      <c r="V475" s="11" t="s">
        <v>105</v>
      </c>
      <c r="W475" s="11" t="s">
        <v>106</v>
      </c>
      <c r="X475" s="11"/>
      <c r="Y475" s="11"/>
      <c r="Z475" s="11"/>
      <c r="AA475" s="12">
        <v>474</v>
      </c>
      <c r="AB475" s="12"/>
      <c r="AC475" s="11" t="s">
        <v>2189</v>
      </c>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row>
    <row r="476" spans="1:56" ht="56" x14ac:dyDescent="0.25">
      <c r="A476" s="11" t="s">
        <v>2750</v>
      </c>
      <c r="B476" s="11" t="s">
        <v>2751</v>
      </c>
      <c r="C476" s="11"/>
      <c r="D476" s="11" t="s">
        <v>91</v>
      </c>
      <c r="E476" s="11" t="s">
        <v>92</v>
      </c>
      <c r="F476" s="11" t="s">
        <v>2752</v>
      </c>
      <c r="G476" s="11" t="s">
        <v>2753</v>
      </c>
      <c r="H476" s="11" t="s">
        <v>94</v>
      </c>
      <c r="I476" s="11" t="s">
        <v>343</v>
      </c>
      <c r="J476" s="11" t="s">
        <v>344</v>
      </c>
      <c r="K476" s="11" t="s">
        <v>123</v>
      </c>
      <c r="L476" s="11" t="s">
        <v>2754</v>
      </c>
      <c r="M476" s="11" t="s">
        <v>183</v>
      </c>
      <c r="N476" s="11" t="s">
        <v>174</v>
      </c>
      <c r="O476" s="11" t="s">
        <v>101</v>
      </c>
      <c r="P476" s="11" t="s">
        <v>102</v>
      </c>
      <c r="Q476" s="12">
        <v>113.593982</v>
      </c>
      <c r="R476" s="13">
        <v>22.354998999999999</v>
      </c>
      <c r="S476" s="11"/>
      <c r="T476" s="11"/>
      <c r="U476" s="11" t="s">
        <v>104</v>
      </c>
      <c r="V476" s="11" t="s">
        <v>105</v>
      </c>
      <c r="W476" s="11" t="s">
        <v>106</v>
      </c>
      <c r="X476" s="11"/>
      <c r="Y476" s="11"/>
      <c r="Z476" s="11"/>
      <c r="AA476" s="12">
        <v>475</v>
      </c>
      <c r="AB476" s="12"/>
      <c r="AC476" s="11" t="s">
        <v>2189</v>
      </c>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row>
    <row r="477" spans="1:56" ht="42" x14ac:dyDescent="0.25">
      <c r="A477" s="11" t="s">
        <v>2755</v>
      </c>
      <c r="B477" s="11" t="s">
        <v>2756</v>
      </c>
      <c r="C477" s="11"/>
      <c r="D477" s="11" t="s">
        <v>91</v>
      </c>
      <c r="E477" s="11" t="s">
        <v>92</v>
      </c>
      <c r="F477" s="11" t="s">
        <v>2757</v>
      </c>
      <c r="G477" s="11" t="s">
        <v>2758</v>
      </c>
      <c r="H477" s="11" t="s">
        <v>94</v>
      </c>
      <c r="I477" s="11" t="s">
        <v>343</v>
      </c>
      <c r="J477" s="11" t="s">
        <v>344</v>
      </c>
      <c r="K477" s="11" t="s">
        <v>123</v>
      </c>
      <c r="L477" s="11" t="s">
        <v>2759</v>
      </c>
      <c r="M477" s="11" t="s">
        <v>183</v>
      </c>
      <c r="N477" s="11" t="s">
        <v>174</v>
      </c>
      <c r="O477" s="11" t="s">
        <v>101</v>
      </c>
      <c r="P477" s="11" t="s">
        <v>102</v>
      </c>
      <c r="Q477" s="12">
        <v>113.52501700000001</v>
      </c>
      <c r="R477" s="13">
        <v>22.239267000000002</v>
      </c>
      <c r="S477" s="11"/>
      <c r="T477" s="11"/>
      <c r="U477" s="11" t="s">
        <v>104</v>
      </c>
      <c r="V477" s="11" t="s">
        <v>105</v>
      </c>
      <c r="W477" s="11" t="s">
        <v>106</v>
      </c>
      <c r="X477" s="11"/>
      <c r="Y477" s="11"/>
      <c r="Z477" s="11"/>
      <c r="AA477" s="12">
        <v>476</v>
      </c>
      <c r="AB477" s="12"/>
      <c r="AC477" s="11" t="s">
        <v>2189</v>
      </c>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row>
    <row r="478" spans="1:56" ht="42" x14ac:dyDescent="0.25">
      <c r="A478" s="11" t="s">
        <v>2760</v>
      </c>
      <c r="B478" s="11" t="s">
        <v>2761</v>
      </c>
      <c r="C478" s="11"/>
      <c r="D478" s="11" t="s">
        <v>91</v>
      </c>
      <c r="E478" s="11" t="s">
        <v>92</v>
      </c>
      <c r="F478" s="11" t="s">
        <v>2762</v>
      </c>
      <c r="G478" s="11" t="s">
        <v>2763</v>
      </c>
      <c r="H478" s="11" t="s">
        <v>94</v>
      </c>
      <c r="I478" s="11" t="s">
        <v>343</v>
      </c>
      <c r="J478" s="11" t="s">
        <v>344</v>
      </c>
      <c r="K478" s="11" t="s">
        <v>123</v>
      </c>
      <c r="L478" s="11" t="s">
        <v>2764</v>
      </c>
      <c r="M478" s="11" t="s">
        <v>183</v>
      </c>
      <c r="N478" s="11" t="s">
        <v>174</v>
      </c>
      <c r="O478" s="11" t="s">
        <v>101</v>
      </c>
      <c r="P478" s="11" t="s">
        <v>102</v>
      </c>
      <c r="Q478" s="12">
        <v>113.515175</v>
      </c>
      <c r="R478" s="13">
        <v>22.215824999999999</v>
      </c>
      <c r="S478" s="11"/>
      <c r="T478" s="11"/>
      <c r="U478" s="11" t="s">
        <v>104</v>
      </c>
      <c r="V478" s="11" t="s">
        <v>105</v>
      </c>
      <c r="W478" s="11" t="s">
        <v>106</v>
      </c>
      <c r="X478" s="11"/>
      <c r="Y478" s="11"/>
      <c r="Z478" s="11"/>
      <c r="AA478" s="12">
        <v>477</v>
      </c>
      <c r="AB478" s="12"/>
      <c r="AC478" s="11" t="s">
        <v>2189</v>
      </c>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row>
    <row r="479" spans="1:56" ht="42" x14ac:dyDescent="0.25">
      <c r="A479" s="11" t="s">
        <v>2765</v>
      </c>
      <c r="B479" s="11" t="s">
        <v>2766</v>
      </c>
      <c r="C479" s="11"/>
      <c r="D479" s="11" t="s">
        <v>91</v>
      </c>
      <c r="E479" s="11" t="s">
        <v>92</v>
      </c>
      <c r="F479" s="11" t="s">
        <v>2767</v>
      </c>
      <c r="G479" s="11" t="s">
        <v>2768</v>
      </c>
      <c r="H479" s="11" t="s">
        <v>94</v>
      </c>
      <c r="I479" s="11" t="s">
        <v>343</v>
      </c>
      <c r="J479" s="11" t="s">
        <v>411</v>
      </c>
      <c r="K479" s="11" t="s">
        <v>123</v>
      </c>
      <c r="L479" s="11" t="s">
        <v>2769</v>
      </c>
      <c r="M479" s="11" t="s">
        <v>183</v>
      </c>
      <c r="N479" s="11" t="s">
        <v>174</v>
      </c>
      <c r="O479" s="11" t="s">
        <v>101</v>
      </c>
      <c r="P479" s="11" t="s">
        <v>102</v>
      </c>
      <c r="Q479" s="12">
        <v>113.36438099999999</v>
      </c>
      <c r="R479" s="13">
        <v>22.152873</v>
      </c>
      <c r="S479" s="11"/>
      <c r="T479" s="11"/>
      <c r="U479" s="11" t="s">
        <v>104</v>
      </c>
      <c r="V479" s="11" t="s">
        <v>105</v>
      </c>
      <c r="W479" s="11" t="s">
        <v>106</v>
      </c>
      <c r="X479" s="11"/>
      <c r="Y479" s="11"/>
      <c r="Z479" s="11"/>
      <c r="AA479" s="12">
        <v>478</v>
      </c>
      <c r="AB479" s="12"/>
      <c r="AC479" s="11" t="s">
        <v>2189</v>
      </c>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row>
    <row r="480" spans="1:56" ht="42" x14ac:dyDescent="0.25">
      <c r="A480" s="11" t="s">
        <v>2770</v>
      </c>
      <c r="B480" s="11" t="s">
        <v>2771</v>
      </c>
      <c r="C480" s="11"/>
      <c r="D480" s="11" t="s">
        <v>91</v>
      </c>
      <c r="E480" s="11" t="s">
        <v>92</v>
      </c>
      <c r="F480" s="11" t="s">
        <v>2772</v>
      </c>
      <c r="G480" s="11" t="s">
        <v>2773</v>
      </c>
      <c r="H480" s="11" t="s">
        <v>94</v>
      </c>
      <c r="I480" s="11" t="s">
        <v>343</v>
      </c>
      <c r="J480" s="11" t="s">
        <v>344</v>
      </c>
      <c r="K480" s="11" t="s">
        <v>123</v>
      </c>
      <c r="L480" s="11" t="s">
        <v>2774</v>
      </c>
      <c r="M480" s="11" t="s">
        <v>183</v>
      </c>
      <c r="N480" s="11" t="s">
        <v>174</v>
      </c>
      <c r="O480" s="11" t="s">
        <v>101</v>
      </c>
      <c r="P480" s="11" t="s">
        <v>102</v>
      </c>
      <c r="Q480" s="12">
        <v>113.582064</v>
      </c>
      <c r="R480" s="13">
        <v>22.251298999999999</v>
      </c>
      <c r="S480" s="11"/>
      <c r="T480" s="11"/>
      <c r="U480" s="11" t="s">
        <v>104</v>
      </c>
      <c r="V480" s="11" t="s">
        <v>105</v>
      </c>
      <c r="W480" s="11" t="s">
        <v>106</v>
      </c>
      <c r="X480" s="11"/>
      <c r="Y480" s="11"/>
      <c r="Z480" s="11"/>
      <c r="AA480" s="12">
        <v>479</v>
      </c>
      <c r="AB480" s="12"/>
      <c r="AC480" s="11" t="s">
        <v>2189</v>
      </c>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row>
    <row r="481" spans="1:56" ht="42" x14ac:dyDescent="0.25">
      <c r="A481" s="11" t="s">
        <v>2775</v>
      </c>
      <c r="B481" s="11" t="s">
        <v>2776</v>
      </c>
      <c r="C481" s="11"/>
      <c r="D481" s="11" t="s">
        <v>91</v>
      </c>
      <c r="E481" s="11" t="s">
        <v>92</v>
      </c>
      <c r="F481" s="11" t="s">
        <v>2777</v>
      </c>
      <c r="G481" s="11" t="s">
        <v>2778</v>
      </c>
      <c r="H481" s="11" t="s">
        <v>94</v>
      </c>
      <c r="I481" s="11" t="s">
        <v>343</v>
      </c>
      <c r="J481" s="11" t="s">
        <v>344</v>
      </c>
      <c r="K481" s="11" t="s">
        <v>123</v>
      </c>
      <c r="L481" s="11" t="s">
        <v>2779</v>
      </c>
      <c r="M481" s="11" t="s">
        <v>183</v>
      </c>
      <c r="N481" s="11" t="s">
        <v>174</v>
      </c>
      <c r="O481" s="11" t="s">
        <v>101</v>
      </c>
      <c r="P481" s="11" t="s">
        <v>102</v>
      </c>
      <c r="Q481" s="12">
        <v>113.552262</v>
      </c>
      <c r="R481" s="13">
        <v>22.231949</v>
      </c>
      <c r="S481" s="11"/>
      <c r="T481" s="11"/>
      <c r="U481" s="11" t="s">
        <v>104</v>
      </c>
      <c r="V481" s="11" t="s">
        <v>105</v>
      </c>
      <c r="W481" s="11" t="s">
        <v>106</v>
      </c>
      <c r="X481" s="11"/>
      <c r="Y481" s="11"/>
      <c r="Z481" s="11"/>
      <c r="AA481" s="12">
        <v>480</v>
      </c>
      <c r="AB481" s="12"/>
      <c r="AC481" s="11" t="s">
        <v>2189</v>
      </c>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row>
    <row r="482" spans="1:56" ht="56" x14ac:dyDescent="0.25">
      <c r="A482" s="11" t="s">
        <v>2780</v>
      </c>
      <c r="B482" s="11" t="s">
        <v>2781</v>
      </c>
      <c r="C482" s="11"/>
      <c r="D482" s="11" t="s">
        <v>91</v>
      </c>
      <c r="E482" s="11" t="s">
        <v>92</v>
      </c>
      <c r="F482" s="11" t="s">
        <v>2782</v>
      </c>
      <c r="G482" s="11" t="s">
        <v>2783</v>
      </c>
      <c r="H482" s="11" t="s">
        <v>94</v>
      </c>
      <c r="I482" s="11" t="s">
        <v>121</v>
      </c>
      <c r="J482" s="11" t="s">
        <v>971</v>
      </c>
      <c r="K482" s="11" t="s">
        <v>123</v>
      </c>
      <c r="L482" s="11" t="s">
        <v>2784</v>
      </c>
      <c r="M482" s="11" t="s">
        <v>183</v>
      </c>
      <c r="N482" s="11" t="s">
        <v>174</v>
      </c>
      <c r="O482" s="11" t="s">
        <v>101</v>
      </c>
      <c r="P482" s="11" t="s">
        <v>102</v>
      </c>
      <c r="Q482" s="12">
        <v>113.228594</v>
      </c>
      <c r="R482" s="13">
        <v>23.210602000000002</v>
      </c>
      <c r="S482" s="11"/>
      <c r="T482" s="11"/>
      <c r="U482" s="11" t="s">
        <v>104</v>
      </c>
      <c r="V482" s="11" t="s">
        <v>105</v>
      </c>
      <c r="W482" s="11" t="s">
        <v>106</v>
      </c>
      <c r="X482" s="11"/>
      <c r="Y482" s="11"/>
      <c r="Z482" s="11"/>
      <c r="AA482" s="12">
        <v>481</v>
      </c>
      <c r="AB482" s="12"/>
      <c r="AC482" s="11" t="s">
        <v>2189</v>
      </c>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row>
    <row r="483" spans="1:56" ht="56" x14ac:dyDescent="0.25">
      <c r="A483" s="11" t="s">
        <v>2785</v>
      </c>
      <c r="B483" s="11" t="s">
        <v>2786</v>
      </c>
      <c r="C483" s="11"/>
      <c r="D483" s="11" t="s">
        <v>91</v>
      </c>
      <c r="E483" s="11" t="s">
        <v>92</v>
      </c>
      <c r="F483" s="11" t="s">
        <v>2787</v>
      </c>
      <c r="G483" s="11" t="s">
        <v>2017</v>
      </c>
      <c r="H483" s="11" t="s">
        <v>94</v>
      </c>
      <c r="I483" s="11" t="s">
        <v>121</v>
      </c>
      <c r="J483" s="11" t="s">
        <v>792</v>
      </c>
      <c r="K483" s="11" t="s">
        <v>2788</v>
      </c>
      <c r="L483" s="11" t="s">
        <v>2789</v>
      </c>
      <c r="M483" s="11" t="s">
        <v>139</v>
      </c>
      <c r="N483" s="11" t="s">
        <v>174</v>
      </c>
      <c r="O483" s="11" t="s">
        <v>2790</v>
      </c>
      <c r="P483" s="11" t="s">
        <v>102</v>
      </c>
      <c r="Q483" s="12">
        <v>0</v>
      </c>
      <c r="R483" s="13">
        <v>0</v>
      </c>
      <c r="S483" s="11"/>
      <c r="T483" s="11"/>
      <c r="U483" s="11" t="s">
        <v>104</v>
      </c>
      <c r="V483" s="11" t="s">
        <v>105</v>
      </c>
      <c r="W483" s="11" t="s">
        <v>106</v>
      </c>
      <c r="X483" s="11"/>
      <c r="Y483" s="11"/>
      <c r="Z483" s="11"/>
      <c r="AA483" s="12">
        <v>482</v>
      </c>
      <c r="AB483" s="12"/>
      <c r="AC483" s="11" t="s">
        <v>107</v>
      </c>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row>
    <row r="484" spans="1:56" ht="56" x14ac:dyDescent="0.25">
      <c r="A484" s="11" t="s">
        <v>2791</v>
      </c>
      <c r="B484" s="11" t="s">
        <v>2792</v>
      </c>
      <c r="C484" s="11"/>
      <c r="D484" s="11" t="s">
        <v>91</v>
      </c>
      <c r="E484" s="11" t="s">
        <v>92</v>
      </c>
      <c r="F484" s="11" t="s">
        <v>2793</v>
      </c>
      <c r="G484" s="11" t="s">
        <v>2794</v>
      </c>
      <c r="H484" s="11" t="s">
        <v>94</v>
      </c>
      <c r="I484" s="11" t="s">
        <v>121</v>
      </c>
      <c r="J484" s="11" t="s">
        <v>792</v>
      </c>
      <c r="K484" s="11" t="s">
        <v>123</v>
      </c>
      <c r="L484" s="11" t="s">
        <v>2632</v>
      </c>
      <c r="M484" s="11" t="s">
        <v>183</v>
      </c>
      <c r="N484" s="11" t="s">
        <v>174</v>
      </c>
      <c r="O484" s="11" t="s">
        <v>101</v>
      </c>
      <c r="P484" s="11" t="s">
        <v>102</v>
      </c>
      <c r="Q484" s="12">
        <v>0</v>
      </c>
      <c r="R484" s="13">
        <v>0</v>
      </c>
      <c r="S484" s="11"/>
      <c r="T484" s="11"/>
      <c r="U484" s="11" t="s">
        <v>104</v>
      </c>
      <c r="V484" s="11" t="s">
        <v>105</v>
      </c>
      <c r="W484" s="11" t="s">
        <v>106</v>
      </c>
      <c r="X484" s="11"/>
      <c r="Y484" s="11"/>
      <c r="Z484" s="11"/>
      <c r="AA484" s="12">
        <v>483</v>
      </c>
      <c r="AB484" s="12"/>
      <c r="AC484" s="11" t="s">
        <v>2792</v>
      </c>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row>
    <row r="485" spans="1:56" ht="42" x14ac:dyDescent="0.25">
      <c r="A485" s="11" t="s">
        <v>2795</v>
      </c>
      <c r="B485" s="11" t="s">
        <v>2796</v>
      </c>
      <c r="C485" s="11"/>
      <c r="D485" s="11" t="s">
        <v>91</v>
      </c>
      <c r="E485" s="11" t="s">
        <v>92</v>
      </c>
      <c r="F485" s="11" t="s">
        <v>2797</v>
      </c>
      <c r="G485" s="11" t="s">
        <v>2798</v>
      </c>
      <c r="H485" s="11" t="s">
        <v>94</v>
      </c>
      <c r="I485" s="11" t="s">
        <v>121</v>
      </c>
      <c r="J485" s="11" t="s">
        <v>122</v>
      </c>
      <c r="K485" s="11" t="s">
        <v>123</v>
      </c>
      <c r="L485" s="11" t="s">
        <v>2799</v>
      </c>
      <c r="M485" s="11" t="s">
        <v>183</v>
      </c>
      <c r="N485" s="11" t="s">
        <v>174</v>
      </c>
      <c r="O485" s="11" t="s">
        <v>101</v>
      </c>
      <c r="P485" s="11" t="s">
        <v>102</v>
      </c>
      <c r="Q485" s="12">
        <v>113.41946299999999</v>
      </c>
      <c r="R485" s="13">
        <v>23.117718</v>
      </c>
      <c r="S485" s="11"/>
      <c r="T485" s="11"/>
      <c r="U485" s="11" t="s">
        <v>104</v>
      </c>
      <c r="V485" s="11" t="s">
        <v>105</v>
      </c>
      <c r="W485" s="11" t="s">
        <v>106</v>
      </c>
      <c r="X485" s="11"/>
      <c r="Y485" s="11"/>
      <c r="Z485" s="11"/>
      <c r="AA485" s="12">
        <v>484</v>
      </c>
      <c r="AB485" s="12"/>
      <c r="AC485" s="11" t="s">
        <v>134</v>
      </c>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row>
    <row r="486" spans="1:56" ht="42" x14ac:dyDescent="0.25">
      <c r="A486" s="11" t="s">
        <v>2800</v>
      </c>
      <c r="B486" s="11" t="s">
        <v>2801</v>
      </c>
      <c r="C486" s="11"/>
      <c r="D486" s="11" t="s">
        <v>91</v>
      </c>
      <c r="E486" s="11" t="s">
        <v>92</v>
      </c>
      <c r="F486" s="11" t="s">
        <v>2802</v>
      </c>
      <c r="G486" s="11" t="s">
        <v>2803</v>
      </c>
      <c r="H486" s="11" t="s">
        <v>94</v>
      </c>
      <c r="I486" s="11" t="s">
        <v>121</v>
      </c>
      <c r="J486" s="11" t="s">
        <v>971</v>
      </c>
      <c r="K486" s="11" t="s">
        <v>123</v>
      </c>
      <c r="L486" s="11" t="s">
        <v>2804</v>
      </c>
      <c r="M486" s="11" t="s">
        <v>183</v>
      </c>
      <c r="N486" s="11" t="s">
        <v>174</v>
      </c>
      <c r="O486" s="11" t="s">
        <v>101</v>
      </c>
      <c r="P486" s="11" t="s">
        <v>102</v>
      </c>
      <c r="Q486" s="12">
        <v>113.36374600000001</v>
      </c>
      <c r="R486" s="13">
        <v>23.288056000000001</v>
      </c>
      <c r="S486" s="11"/>
      <c r="T486" s="11"/>
      <c r="U486" s="11" t="s">
        <v>104</v>
      </c>
      <c r="V486" s="11" t="s">
        <v>105</v>
      </c>
      <c r="W486" s="11" t="s">
        <v>106</v>
      </c>
      <c r="X486" s="11"/>
      <c r="Y486" s="11"/>
      <c r="Z486" s="11"/>
      <c r="AA486" s="12">
        <v>485</v>
      </c>
      <c r="AB486" s="12"/>
      <c r="AC486" s="11" t="s">
        <v>2189</v>
      </c>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row>
    <row r="487" spans="1:56" ht="42" x14ac:dyDescent="0.25">
      <c r="A487" s="11" t="s">
        <v>2805</v>
      </c>
      <c r="B487" s="11" t="s">
        <v>2806</v>
      </c>
      <c r="C487" s="11"/>
      <c r="D487" s="11" t="s">
        <v>91</v>
      </c>
      <c r="E487" s="11" t="s">
        <v>92</v>
      </c>
      <c r="F487" s="11" t="s">
        <v>2807</v>
      </c>
      <c r="G487" s="11" t="s">
        <v>2808</v>
      </c>
      <c r="H487" s="11" t="s">
        <v>94</v>
      </c>
      <c r="I487" s="11" t="s">
        <v>121</v>
      </c>
      <c r="J487" s="11" t="s">
        <v>131</v>
      </c>
      <c r="K487" s="11" t="s">
        <v>2809</v>
      </c>
      <c r="L487" s="11" t="s">
        <v>2810</v>
      </c>
      <c r="M487" s="11" t="s">
        <v>183</v>
      </c>
      <c r="N487" s="11" t="s">
        <v>174</v>
      </c>
      <c r="O487" s="11" t="s">
        <v>101</v>
      </c>
      <c r="P487" s="11" t="s">
        <v>102</v>
      </c>
      <c r="Q487" s="12">
        <v>113.61133599999999</v>
      </c>
      <c r="R487" s="13">
        <v>23.119405</v>
      </c>
      <c r="S487" s="11"/>
      <c r="T487" s="11"/>
      <c r="U487" s="11" t="s">
        <v>104</v>
      </c>
      <c r="V487" s="11" t="s">
        <v>105</v>
      </c>
      <c r="W487" s="11" t="s">
        <v>106</v>
      </c>
      <c r="X487" s="11"/>
      <c r="Y487" s="11"/>
      <c r="Z487" s="11"/>
      <c r="AA487" s="12">
        <v>486</v>
      </c>
      <c r="AB487" s="12"/>
      <c r="AC487" s="11" t="s">
        <v>134</v>
      </c>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row>
    <row r="488" spans="1:56" ht="70" x14ac:dyDescent="0.25">
      <c r="A488" s="11" t="s">
        <v>2811</v>
      </c>
      <c r="B488" s="11" t="s">
        <v>2812</v>
      </c>
      <c r="C488" s="11"/>
      <c r="D488" s="11" t="s">
        <v>91</v>
      </c>
      <c r="E488" s="11" t="s">
        <v>92</v>
      </c>
      <c r="F488" s="11" t="s">
        <v>2813</v>
      </c>
      <c r="G488" s="11" t="s">
        <v>2814</v>
      </c>
      <c r="H488" s="11" t="s">
        <v>94</v>
      </c>
      <c r="I488" s="11" t="s">
        <v>351</v>
      </c>
      <c r="J488" s="11" t="s">
        <v>351</v>
      </c>
      <c r="K488" s="11" t="s">
        <v>2815</v>
      </c>
      <c r="L488" s="11" t="s">
        <v>2816</v>
      </c>
      <c r="M488" s="11" t="s">
        <v>115</v>
      </c>
      <c r="N488" s="11" t="s">
        <v>174</v>
      </c>
      <c r="O488" s="11" t="s">
        <v>101</v>
      </c>
      <c r="P488" s="11" t="s">
        <v>102</v>
      </c>
      <c r="Q488" s="12">
        <v>113.295129</v>
      </c>
      <c r="R488" s="13">
        <v>22.716106</v>
      </c>
      <c r="S488" s="11"/>
      <c r="T488" s="11"/>
      <c r="U488" s="11" t="s">
        <v>2817</v>
      </c>
      <c r="V488" s="11" t="s">
        <v>105</v>
      </c>
      <c r="W488" s="11" t="s">
        <v>106</v>
      </c>
      <c r="X488" s="11"/>
      <c r="Y488" s="11"/>
      <c r="Z488" s="11"/>
      <c r="AA488" s="12">
        <v>487</v>
      </c>
      <c r="AB488" s="12"/>
      <c r="AC488" s="11" t="s">
        <v>116</v>
      </c>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row>
    <row r="489" spans="1:56" ht="42" x14ac:dyDescent="0.25">
      <c r="A489" s="11" t="s">
        <v>2818</v>
      </c>
      <c r="B489" s="11" t="s">
        <v>2819</v>
      </c>
      <c r="C489" s="11"/>
      <c r="D489" s="11" t="s">
        <v>91</v>
      </c>
      <c r="E489" s="11"/>
      <c r="F489" s="11" t="s">
        <v>2820</v>
      </c>
      <c r="G489" s="11" t="s">
        <v>2821</v>
      </c>
      <c r="H489" s="11" t="s">
        <v>94</v>
      </c>
      <c r="I489" s="11" t="s">
        <v>121</v>
      </c>
      <c r="J489" s="11" t="s">
        <v>122</v>
      </c>
      <c r="K489" s="11" t="s">
        <v>123</v>
      </c>
      <c r="L489" s="11" t="s">
        <v>2822</v>
      </c>
      <c r="M489" s="11" t="s">
        <v>99</v>
      </c>
      <c r="N489" s="11" t="s">
        <v>174</v>
      </c>
      <c r="O489" s="11" t="s">
        <v>101</v>
      </c>
      <c r="P489" s="11" t="s">
        <v>102</v>
      </c>
      <c r="Q489" s="12">
        <v>113.408423</v>
      </c>
      <c r="R489" s="13">
        <v>23.116682999999998</v>
      </c>
      <c r="S489" s="11"/>
      <c r="T489" s="11"/>
      <c r="U489" s="11" t="s">
        <v>104</v>
      </c>
      <c r="V489" s="11" t="s">
        <v>105</v>
      </c>
      <c r="W489" s="11" t="s">
        <v>106</v>
      </c>
      <c r="X489" s="11"/>
      <c r="Y489" s="11"/>
      <c r="Z489" s="11"/>
      <c r="AA489" s="12">
        <v>488</v>
      </c>
      <c r="AB489" s="12"/>
      <c r="AC489" s="11" t="s">
        <v>2823</v>
      </c>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row>
    <row r="490" spans="1:56" ht="42" x14ac:dyDescent="0.25">
      <c r="A490" s="11" t="s">
        <v>2824</v>
      </c>
      <c r="B490" s="11" t="s">
        <v>2825</v>
      </c>
      <c r="C490" s="11"/>
      <c r="D490" s="11" t="s">
        <v>91</v>
      </c>
      <c r="E490" s="11" t="s">
        <v>92</v>
      </c>
      <c r="F490" s="11" t="s">
        <v>2826</v>
      </c>
      <c r="G490" s="11" t="s">
        <v>2827</v>
      </c>
      <c r="H490" s="11" t="s">
        <v>94</v>
      </c>
      <c r="I490" s="11" t="s">
        <v>351</v>
      </c>
      <c r="J490" s="11" t="s">
        <v>351</v>
      </c>
      <c r="K490" s="11" t="s">
        <v>545</v>
      </c>
      <c r="L490" s="11" t="s">
        <v>2828</v>
      </c>
      <c r="M490" s="11" t="s">
        <v>99</v>
      </c>
      <c r="N490" s="11" t="s">
        <v>174</v>
      </c>
      <c r="O490" s="11" t="s">
        <v>101</v>
      </c>
      <c r="P490" s="11" t="s">
        <v>102</v>
      </c>
      <c r="Q490" s="12">
        <v>113.18982800000001</v>
      </c>
      <c r="R490" s="13">
        <v>22.660775000000001</v>
      </c>
      <c r="S490" s="11"/>
      <c r="T490" s="11"/>
      <c r="U490" s="11" t="s">
        <v>104</v>
      </c>
      <c r="V490" s="11" t="s">
        <v>105</v>
      </c>
      <c r="W490" s="11" t="s">
        <v>106</v>
      </c>
      <c r="X490" s="11"/>
      <c r="Y490" s="11"/>
      <c r="Z490" s="11"/>
      <c r="AA490" s="12">
        <v>489</v>
      </c>
      <c r="AB490" s="12"/>
      <c r="AC490" s="11" t="s">
        <v>2829</v>
      </c>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row>
    <row r="491" spans="1:56" ht="42" x14ac:dyDescent="0.25">
      <c r="A491" s="11" t="s">
        <v>2830</v>
      </c>
      <c r="B491" s="11" t="s">
        <v>2831</v>
      </c>
      <c r="C491" s="11"/>
      <c r="D491" s="11" t="s">
        <v>91</v>
      </c>
      <c r="E491" s="11" t="s">
        <v>92</v>
      </c>
      <c r="F491" s="11" t="s">
        <v>2831</v>
      </c>
      <c r="G491" s="11" t="s">
        <v>2832</v>
      </c>
      <c r="H491" s="11" t="s">
        <v>94</v>
      </c>
      <c r="I491" s="11" t="s">
        <v>121</v>
      </c>
      <c r="J491" s="11" t="s">
        <v>792</v>
      </c>
      <c r="K491" s="11" t="s">
        <v>123</v>
      </c>
      <c r="L491" s="11" t="s">
        <v>2833</v>
      </c>
      <c r="M491" s="11" t="s">
        <v>99</v>
      </c>
      <c r="N491" s="11" t="s">
        <v>174</v>
      </c>
      <c r="O491" s="11" t="s">
        <v>126</v>
      </c>
      <c r="P491" s="11" t="s">
        <v>102</v>
      </c>
      <c r="Q491" s="12">
        <v>0</v>
      </c>
      <c r="R491" s="13">
        <v>0</v>
      </c>
      <c r="S491" s="11"/>
      <c r="T491" s="11"/>
      <c r="U491" s="11" t="s">
        <v>104</v>
      </c>
      <c r="V491" s="11" t="s">
        <v>105</v>
      </c>
      <c r="W491" s="11" t="s">
        <v>106</v>
      </c>
      <c r="X491" s="11"/>
      <c r="Y491" s="11"/>
      <c r="Z491" s="11"/>
      <c r="AA491" s="12">
        <v>490</v>
      </c>
      <c r="AB491" s="12"/>
      <c r="AC491" s="11" t="s">
        <v>2831</v>
      </c>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row>
    <row r="492" spans="1:56" ht="42" x14ac:dyDescent="0.25">
      <c r="A492" s="11" t="s">
        <v>2834</v>
      </c>
      <c r="B492" s="11" t="s">
        <v>2835</v>
      </c>
      <c r="C492" s="11"/>
      <c r="D492" s="11" t="s">
        <v>91</v>
      </c>
      <c r="E492" s="11" t="s">
        <v>92</v>
      </c>
      <c r="F492" s="11" t="s">
        <v>2836</v>
      </c>
      <c r="G492" s="11" t="s">
        <v>2837</v>
      </c>
      <c r="H492" s="11" t="s">
        <v>94</v>
      </c>
      <c r="I492" s="11" t="s">
        <v>121</v>
      </c>
      <c r="J492" s="11" t="s">
        <v>737</v>
      </c>
      <c r="K492" s="11" t="s">
        <v>123</v>
      </c>
      <c r="L492" s="11" t="s">
        <v>2838</v>
      </c>
      <c r="M492" s="11" t="s">
        <v>139</v>
      </c>
      <c r="N492" s="11" t="s">
        <v>174</v>
      </c>
      <c r="O492" s="11" t="s">
        <v>2790</v>
      </c>
      <c r="P492" s="11" t="s">
        <v>102</v>
      </c>
      <c r="Q492" s="12">
        <v>0</v>
      </c>
      <c r="R492" s="13">
        <v>0</v>
      </c>
      <c r="S492" s="11"/>
      <c r="T492" s="11"/>
      <c r="U492" s="11" t="s">
        <v>104</v>
      </c>
      <c r="V492" s="11" t="s">
        <v>105</v>
      </c>
      <c r="W492" s="11" t="s">
        <v>106</v>
      </c>
      <c r="X492" s="11"/>
      <c r="Y492" s="11"/>
      <c r="Z492" s="11"/>
      <c r="AA492" s="12">
        <v>491</v>
      </c>
      <c r="AB492" s="12"/>
      <c r="AC492" s="11" t="s">
        <v>2835</v>
      </c>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row>
    <row r="493" spans="1:56" ht="42" x14ac:dyDescent="0.25">
      <c r="A493" s="11" t="s">
        <v>2839</v>
      </c>
      <c r="B493" s="11" t="s">
        <v>2840</v>
      </c>
      <c r="C493" s="11"/>
      <c r="D493" s="11" t="s">
        <v>91</v>
      </c>
      <c r="E493" s="11" t="s">
        <v>92</v>
      </c>
      <c r="F493" s="11" t="s">
        <v>2841</v>
      </c>
      <c r="G493" s="11" t="s">
        <v>2842</v>
      </c>
      <c r="H493" s="11" t="s">
        <v>94</v>
      </c>
      <c r="I493" s="11" t="s">
        <v>112</v>
      </c>
      <c r="J493" s="11" t="s">
        <v>112</v>
      </c>
      <c r="K493" s="11" t="s">
        <v>1380</v>
      </c>
      <c r="L493" s="11" t="s">
        <v>2843</v>
      </c>
      <c r="M493" s="11" t="s">
        <v>115</v>
      </c>
      <c r="N493" s="11" t="s">
        <v>174</v>
      </c>
      <c r="O493" s="11" t="s">
        <v>101</v>
      </c>
      <c r="P493" s="11" t="s">
        <v>102</v>
      </c>
      <c r="Q493" s="12">
        <v>113.71916899999999</v>
      </c>
      <c r="R493" s="13">
        <v>23.059096</v>
      </c>
      <c r="S493" s="11"/>
      <c r="T493" s="11"/>
      <c r="U493" s="11" t="s">
        <v>104</v>
      </c>
      <c r="V493" s="11" t="s">
        <v>105</v>
      </c>
      <c r="W493" s="11" t="s">
        <v>106</v>
      </c>
      <c r="X493" s="11"/>
      <c r="Y493" s="11"/>
      <c r="Z493" s="11"/>
      <c r="AA493" s="12">
        <v>492</v>
      </c>
      <c r="AB493" s="12"/>
      <c r="AC493" s="11" t="s">
        <v>107</v>
      </c>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row>
    <row r="494" spans="1:56" ht="56" x14ac:dyDescent="0.25">
      <c r="A494" s="11" t="s">
        <v>2844</v>
      </c>
      <c r="B494" s="11" t="s">
        <v>2845</v>
      </c>
      <c r="C494" s="11"/>
      <c r="D494" s="11" t="s">
        <v>91</v>
      </c>
      <c r="E494" s="11" t="s">
        <v>92</v>
      </c>
      <c r="F494" s="11" t="s">
        <v>2846</v>
      </c>
      <c r="G494" s="11" t="s">
        <v>2847</v>
      </c>
      <c r="H494" s="11" t="s">
        <v>94</v>
      </c>
      <c r="I494" s="11" t="s">
        <v>278</v>
      </c>
      <c r="J494" s="11" t="s">
        <v>390</v>
      </c>
      <c r="K494" s="11" t="s">
        <v>123</v>
      </c>
      <c r="L494" s="11" t="s">
        <v>2848</v>
      </c>
      <c r="M494" s="11" t="s">
        <v>115</v>
      </c>
      <c r="N494" s="11" t="s">
        <v>174</v>
      </c>
      <c r="O494" s="11" t="s">
        <v>101</v>
      </c>
      <c r="P494" s="11" t="s">
        <v>102</v>
      </c>
      <c r="Q494" s="12">
        <v>113.10133999999999</v>
      </c>
      <c r="R494" s="13">
        <v>22.604634000000001</v>
      </c>
      <c r="S494" s="11"/>
      <c r="T494" s="11"/>
      <c r="U494" s="11" t="s">
        <v>104</v>
      </c>
      <c r="V494" s="11" t="s">
        <v>105</v>
      </c>
      <c r="W494" s="11" t="s">
        <v>106</v>
      </c>
      <c r="X494" s="11"/>
      <c r="Y494" s="11"/>
      <c r="Z494" s="11"/>
      <c r="AA494" s="12">
        <v>493</v>
      </c>
      <c r="AB494" s="12"/>
      <c r="AC494" s="11" t="s">
        <v>116</v>
      </c>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row>
    <row r="495" spans="1:56" ht="42" x14ac:dyDescent="0.25">
      <c r="A495" s="11" t="s">
        <v>2849</v>
      </c>
      <c r="B495" s="11" t="s">
        <v>2850</v>
      </c>
      <c r="C495" s="11"/>
      <c r="D495" s="11" t="s">
        <v>91</v>
      </c>
      <c r="E495" s="11" t="s">
        <v>92</v>
      </c>
      <c r="F495" s="11" t="s">
        <v>2851</v>
      </c>
      <c r="G495" s="11" t="s">
        <v>2852</v>
      </c>
      <c r="H495" s="11" t="s">
        <v>94</v>
      </c>
      <c r="I495" s="11" t="s">
        <v>95</v>
      </c>
      <c r="J495" s="11" t="s">
        <v>749</v>
      </c>
      <c r="K495" s="11" t="s">
        <v>123</v>
      </c>
      <c r="L495" s="11" t="s">
        <v>2853</v>
      </c>
      <c r="M495" s="11" t="s">
        <v>139</v>
      </c>
      <c r="N495" s="11" t="s">
        <v>174</v>
      </c>
      <c r="O495" s="11" t="s">
        <v>2790</v>
      </c>
      <c r="P495" s="11" t="s">
        <v>102</v>
      </c>
      <c r="Q495" s="12">
        <v>0</v>
      </c>
      <c r="R495" s="13">
        <v>0</v>
      </c>
      <c r="S495" s="11"/>
      <c r="T495" s="11"/>
      <c r="U495" s="11" t="s">
        <v>104</v>
      </c>
      <c r="V495" s="11" t="s">
        <v>105</v>
      </c>
      <c r="W495" s="11" t="s">
        <v>106</v>
      </c>
      <c r="X495" s="11"/>
      <c r="Y495" s="11"/>
      <c r="Z495" s="11"/>
      <c r="AA495" s="12">
        <v>494</v>
      </c>
      <c r="AB495" s="12"/>
      <c r="AC495" s="11" t="s">
        <v>107</v>
      </c>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row>
    <row r="496" spans="1:56" ht="70" x14ac:dyDescent="0.25">
      <c r="A496" s="11" t="s">
        <v>2854</v>
      </c>
      <c r="B496" s="11" t="s">
        <v>2855</v>
      </c>
      <c r="C496" s="11"/>
      <c r="D496" s="11" t="s">
        <v>91</v>
      </c>
      <c r="E496" s="11" t="s">
        <v>2856</v>
      </c>
      <c r="F496" s="11" t="s">
        <v>2857</v>
      </c>
      <c r="G496" s="11" t="s">
        <v>2852</v>
      </c>
      <c r="H496" s="11" t="s">
        <v>94</v>
      </c>
      <c r="I496" s="11" t="s">
        <v>121</v>
      </c>
      <c r="J496" s="11" t="s">
        <v>792</v>
      </c>
      <c r="K496" s="11" t="s">
        <v>123</v>
      </c>
      <c r="L496" s="11" t="s">
        <v>2858</v>
      </c>
      <c r="M496" s="11" t="s">
        <v>139</v>
      </c>
      <c r="N496" s="11" t="s">
        <v>174</v>
      </c>
      <c r="O496" s="11" t="s">
        <v>2790</v>
      </c>
      <c r="P496" s="11" t="s">
        <v>102</v>
      </c>
      <c r="Q496" s="12">
        <v>0</v>
      </c>
      <c r="R496" s="13">
        <v>0</v>
      </c>
      <c r="S496" s="11"/>
      <c r="T496" s="11"/>
      <c r="U496" s="11" t="s">
        <v>104</v>
      </c>
      <c r="V496" s="11" t="s">
        <v>105</v>
      </c>
      <c r="W496" s="11" t="s">
        <v>106</v>
      </c>
      <c r="X496" s="11"/>
      <c r="Y496" s="11"/>
      <c r="Z496" s="11"/>
      <c r="AA496" s="12">
        <v>495</v>
      </c>
      <c r="AB496" s="12"/>
      <c r="AC496" s="11" t="s">
        <v>107</v>
      </c>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row>
    <row r="497" spans="1:56" ht="56" x14ac:dyDescent="0.25">
      <c r="A497" s="11" t="s">
        <v>2859</v>
      </c>
      <c r="B497" s="11" t="s">
        <v>2860</v>
      </c>
      <c r="C497" s="11"/>
      <c r="D497" s="11" t="s">
        <v>91</v>
      </c>
      <c r="E497" s="11" t="s">
        <v>2856</v>
      </c>
      <c r="F497" s="11" t="s">
        <v>2857</v>
      </c>
      <c r="G497" s="11" t="s">
        <v>2852</v>
      </c>
      <c r="H497" s="11" t="s">
        <v>94</v>
      </c>
      <c r="I497" s="11" t="s">
        <v>112</v>
      </c>
      <c r="J497" s="11" t="s">
        <v>112</v>
      </c>
      <c r="K497" s="11" t="s">
        <v>123</v>
      </c>
      <c r="L497" s="11" t="s">
        <v>2861</v>
      </c>
      <c r="M497" s="11" t="s">
        <v>139</v>
      </c>
      <c r="N497" s="11" t="s">
        <v>174</v>
      </c>
      <c r="O497" s="11" t="s">
        <v>2790</v>
      </c>
      <c r="P497" s="11" t="s">
        <v>102</v>
      </c>
      <c r="Q497" s="12">
        <v>114.12764300000001</v>
      </c>
      <c r="R497" s="13">
        <v>22.721572999999999</v>
      </c>
      <c r="S497" s="11"/>
      <c r="T497" s="11"/>
      <c r="U497" s="11" t="s">
        <v>104</v>
      </c>
      <c r="V497" s="11" t="s">
        <v>105</v>
      </c>
      <c r="W497" s="11" t="s">
        <v>106</v>
      </c>
      <c r="X497" s="11"/>
      <c r="Y497" s="11"/>
      <c r="Z497" s="11"/>
      <c r="AA497" s="12">
        <v>496</v>
      </c>
      <c r="AB497" s="12"/>
      <c r="AC497" s="11" t="s">
        <v>2862</v>
      </c>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row>
    <row r="498" spans="1:56" ht="42" x14ac:dyDescent="0.25">
      <c r="A498" s="11" t="s">
        <v>2863</v>
      </c>
      <c r="B498" s="11" t="s">
        <v>2864</v>
      </c>
      <c r="C498" s="11"/>
      <c r="D498" s="11" t="s">
        <v>91</v>
      </c>
      <c r="E498" s="11"/>
      <c r="F498" s="11" t="s">
        <v>2865</v>
      </c>
      <c r="G498" s="11" t="s">
        <v>2866</v>
      </c>
      <c r="H498" s="11" t="s">
        <v>94</v>
      </c>
      <c r="I498" s="11" t="s">
        <v>121</v>
      </c>
      <c r="J498" s="11" t="s">
        <v>122</v>
      </c>
      <c r="K498" s="11"/>
      <c r="L498" s="11" t="s">
        <v>2867</v>
      </c>
      <c r="M498" s="11"/>
      <c r="N498" s="11"/>
      <c r="O498" s="11"/>
      <c r="P498" s="11" t="s">
        <v>102</v>
      </c>
      <c r="Q498" s="12">
        <v>113.400352</v>
      </c>
      <c r="R498" s="13">
        <v>23.116952999999999</v>
      </c>
      <c r="S498" s="11" t="s">
        <v>2863</v>
      </c>
      <c r="T498" s="11"/>
      <c r="U498" s="11" t="s">
        <v>104</v>
      </c>
      <c r="V498" s="11" t="s">
        <v>105</v>
      </c>
      <c r="W498" s="11" t="s">
        <v>106</v>
      </c>
      <c r="X498" s="11"/>
      <c r="Y498" s="11"/>
      <c r="Z498" s="11"/>
      <c r="AA498" s="12">
        <v>497</v>
      </c>
      <c r="AB498" s="12"/>
      <c r="AC498" s="11" t="s">
        <v>107</v>
      </c>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row>
    <row r="499" spans="1:56" ht="42" x14ac:dyDescent="0.25">
      <c r="A499" s="11" t="s">
        <v>2868</v>
      </c>
      <c r="B499" s="11" t="s">
        <v>2869</v>
      </c>
      <c r="C499" s="11"/>
      <c r="D499" s="11" t="s">
        <v>91</v>
      </c>
      <c r="E499" s="11"/>
      <c r="F499" s="11" t="s">
        <v>2870</v>
      </c>
      <c r="G499" s="11" t="s">
        <v>2017</v>
      </c>
      <c r="H499" s="11" t="s">
        <v>94</v>
      </c>
      <c r="I499" s="11" t="s">
        <v>121</v>
      </c>
      <c r="J499" s="11" t="s">
        <v>792</v>
      </c>
      <c r="K499" s="11"/>
      <c r="L499" s="11" t="s">
        <v>2871</v>
      </c>
      <c r="M499" s="11"/>
      <c r="N499" s="11"/>
      <c r="O499" s="11" t="s">
        <v>101</v>
      </c>
      <c r="P499" s="11" t="s">
        <v>102</v>
      </c>
      <c r="Q499" s="12">
        <v>0</v>
      </c>
      <c r="R499" s="13">
        <v>0</v>
      </c>
      <c r="S499" s="11" t="s">
        <v>2868</v>
      </c>
      <c r="T499" s="11"/>
      <c r="U499" s="11" t="s">
        <v>104</v>
      </c>
      <c r="V499" s="11" t="s">
        <v>105</v>
      </c>
      <c r="W499" s="11" t="s">
        <v>106</v>
      </c>
      <c r="X499" s="11"/>
      <c r="Y499" s="11"/>
      <c r="Z499" s="11"/>
      <c r="AA499" s="12">
        <v>498</v>
      </c>
      <c r="AB499" s="12"/>
      <c r="AC499" s="11" t="s">
        <v>2869</v>
      </c>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row>
    <row r="500" spans="1:56" ht="42" x14ac:dyDescent="0.25">
      <c r="A500" s="11" t="s">
        <v>2872</v>
      </c>
      <c r="B500" s="11" t="s">
        <v>2873</v>
      </c>
      <c r="C500" s="11"/>
      <c r="D500" s="11" t="s">
        <v>91</v>
      </c>
      <c r="E500" s="11" t="s">
        <v>92</v>
      </c>
      <c r="F500" s="11" t="s">
        <v>2874</v>
      </c>
      <c r="G500" s="11" t="s">
        <v>2875</v>
      </c>
      <c r="H500" s="11" t="s">
        <v>94</v>
      </c>
      <c r="I500" s="11" t="s">
        <v>121</v>
      </c>
      <c r="J500" s="11" t="s">
        <v>971</v>
      </c>
      <c r="K500" s="11"/>
      <c r="L500" s="11" t="s">
        <v>2876</v>
      </c>
      <c r="M500" s="11" t="s">
        <v>139</v>
      </c>
      <c r="N500" s="11" t="s">
        <v>174</v>
      </c>
      <c r="O500" s="11" t="s">
        <v>2877</v>
      </c>
      <c r="P500" s="11" t="s">
        <v>102</v>
      </c>
      <c r="Q500" s="12">
        <v>0</v>
      </c>
      <c r="R500" s="13">
        <v>0</v>
      </c>
      <c r="S500" s="11" t="s">
        <v>2872</v>
      </c>
      <c r="T500" s="11"/>
      <c r="U500" s="11" t="s">
        <v>104</v>
      </c>
      <c r="V500" s="11" t="s">
        <v>105</v>
      </c>
      <c r="W500" s="11" t="s">
        <v>106</v>
      </c>
      <c r="X500" s="11"/>
      <c r="Y500" s="11"/>
      <c r="Z500" s="11"/>
      <c r="AA500" s="12">
        <v>499</v>
      </c>
      <c r="AB500" s="12"/>
      <c r="AC500" s="11" t="s">
        <v>2873</v>
      </c>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row>
    <row r="501" spans="1:56" ht="56" x14ac:dyDescent="0.25">
      <c r="A501" s="11" t="s">
        <v>2878</v>
      </c>
      <c r="B501" s="11" t="s">
        <v>2879</v>
      </c>
      <c r="C501" s="11"/>
      <c r="D501" s="11" t="s">
        <v>91</v>
      </c>
      <c r="E501" s="11"/>
      <c r="F501" s="11" t="s">
        <v>2880</v>
      </c>
      <c r="G501" s="11" t="s">
        <v>2881</v>
      </c>
      <c r="H501" s="11" t="s">
        <v>94</v>
      </c>
      <c r="I501" s="11" t="s">
        <v>112</v>
      </c>
      <c r="J501" s="11" t="s">
        <v>112</v>
      </c>
      <c r="K501" s="11"/>
      <c r="L501" s="11" t="s">
        <v>2882</v>
      </c>
      <c r="M501" s="11"/>
      <c r="N501" s="11"/>
      <c r="O501" s="11"/>
      <c r="P501" s="11" t="s">
        <v>102</v>
      </c>
      <c r="Q501" s="12">
        <v>113.695403</v>
      </c>
      <c r="R501" s="13">
        <v>22.976745999999999</v>
      </c>
      <c r="S501" s="11" t="s">
        <v>2878</v>
      </c>
      <c r="T501" s="11"/>
      <c r="U501" s="11" t="s">
        <v>104</v>
      </c>
      <c r="V501" s="11" t="s">
        <v>105</v>
      </c>
      <c r="W501" s="11" t="s">
        <v>106</v>
      </c>
      <c r="X501" s="11"/>
      <c r="Y501" s="11"/>
      <c r="Z501" s="11"/>
      <c r="AA501" s="12">
        <v>500</v>
      </c>
      <c r="AB501" s="12"/>
      <c r="AC501" s="11" t="s">
        <v>143</v>
      </c>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row>
    <row r="502" spans="1:56" ht="70" x14ac:dyDescent="0.25">
      <c r="A502" s="11" t="s">
        <v>2883</v>
      </c>
      <c r="B502" s="11" t="s">
        <v>2884</v>
      </c>
      <c r="C502" s="11"/>
      <c r="D502" s="11" t="s">
        <v>91</v>
      </c>
      <c r="E502" s="11"/>
      <c r="F502" s="11" t="s">
        <v>2885</v>
      </c>
      <c r="G502" s="11" t="s">
        <v>2886</v>
      </c>
      <c r="H502" s="11" t="s">
        <v>94</v>
      </c>
      <c r="I502" s="11" t="s">
        <v>121</v>
      </c>
      <c r="J502" s="11" t="s">
        <v>737</v>
      </c>
      <c r="K502" s="11"/>
      <c r="L502" s="11" t="s">
        <v>2887</v>
      </c>
      <c r="M502" s="11" t="s">
        <v>99</v>
      </c>
      <c r="N502" s="11"/>
      <c r="O502" s="11"/>
      <c r="P502" s="11" t="s">
        <v>102</v>
      </c>
      <c r="Q502" s="12">
        <v>113.272373</v>
      </c>
      <c r="R502" s="13">
        <v>22.997108000000001</v>
      </c>
      <c r="S502" s="11" t="s">
        <v>2883</v>
      </c>
      <c r="T502" s="11"/>
      <c r="U502" s="11" t="s">
        <v>104</v>
      </c>
      <c r="V502" s="11" t="s">
        <v>105</v>
      </c>
      <c r="W502" s="11" t="s">
        <v>106</v>
      </c>
      <c r="X502" s="11"/>
      <c r="Y502" s="11"/>
      <c r="Z502" s="11"/>
      <c r="AA502" s="12">
        <v>501</v>
      </c>
      <c r="AB502" s="12"/>
      <c r="AC502" s="11" t="s">
        <v>107</v>
      </c>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row>
    <row r="503" spans="1:56" ht="42" x14ac:dyDescent="0.25">
      <c r="A503" s="11" t="s">
        <v>2888</v>
      </c>
      <c r="B503" s="11" t="s">
        <v>2889</v>
      </c>
      <c r="C503" s="11"/>
      <c r="D503" s="11" t="s">
        <v>91</v>
      </c>
      <c r="E503" s="11"/>
      <c r="F503" s="11" t="s">
        <v>2890</v>
      </c>
      <c r="G503" s="11" t="s">
        <v>2891</v>
      </c>
      <c r="H503" s="11" t="s">
        <v>94</v>
      </c>
      <c r="I503" s="11" t="s">
        <v>121</v>
      </c>
      <c r="J503" s="11" t="s">
        <v>792</v>
      </c>
      <c r="K503" s="11"/>
      <c r="L503" s="11" t="s">
        <v>2892</v>
      </c>
      <c r="M503" s="11"/>
      <c r="N503" s="11"/>
      <c r="O503" s="11"/>
      <c r="P503" s="11" t="s">
        <v>102</v>
      </c>
      <c r="Q503" s="12">
        <v>113.43993</v>
      </c>
      <c r="R503" s="13">
        <v>23.107883999999999</v>
      </c>
      <c r="S503" s="11" t="s">
        <v>2888</v>
      </c>
      <c r="T503" s="11"/>
      <c r="U503" s="11" t="s">
        <v>104</v>
      </c>
      <c r="V503" s="11" t="s">
        <v>105</v>
      </c>
      <c r="W503" s="11" t="s">
        <v>106</v>
      </c>
      <c r="X503" s="11"/>
      <c r="Y503" s="11"/>
      <c r="Z503" s="11"/>
      <c r="AA503" s="12">
        <v>502</v>
      </c>
      <c r="AB503" s="12"/>
      <c r="AC503" s="11" t="s">
        <v>2505</v>
      </c>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row>
    <row r="504" spans="1:56" ht="56" x14ac:dyDescent="0.25">
      <c r="A504" s="11" t="s">
        <v>2893</v>
      </c>
      <c r="B504" s="11" t="s">
        <v>2894</v>
      </c>
      <c r="C504" s="11"/>
      <c r="D504" s="11" t="s">
        <v>91</v>
      </c>
      <c r="E504" s="11"/>
      <c r="F504" s="11" t="s">
        <v>2895</v>
      </c>
      <c r="G504" s="11" t="s">
        <v>2896</v>
      </c>
      <c r="H504" s="11" t="s">
        <v>94</v>
      </c>
      <c r="I504" s="11" t="s">
        <v>121</v>
      </c>
      <c r="J504" s="11" t="s">
        <v>792</v>
      </c>
      <c r="K504" s="11"/>
      <c r="L504" s="11" t="s">
        <v>2897</v>
      </c>
      <c r="M504" s="11"/>
      <c r="N504" s="11"/>
      <c r="O504" s="11"/>
      <c r="P504" s="11" t="s">
        <v>102</v>
      </c>
      <c r="Q504" s="12">
        <v>113.553949</v>
      </c>
      <c r="R504" s="13">
        <v>23.113855000000001</v>
      </c>
      <c r="S504" s="11" t="s">
        <v>2893</v>
      </c>
      <c r="T504" s="11"/>
      <c r="U504" s="11" t="s">
        <v>104</v>
      </c>
      <c r="V504" s="11" t="s">
        <v>105</v>
      </c>
      <c r="W504" s="11" t="s">
        <v>106</v>
      </c>
      <c r="X504" s="11"/>
      <c r="Y504" s="11"/>
      <c r="Z504" s="11"/>
      <c r="AA504" s="12">
        <v>503</v>
      </c>
      <c r="AB504" s="12"/>
      <c r="AC504" s="11" t="s">
        <v>2505</v>
      </c>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row>
    <row r="505" spans="1:56" ht="56" x14ac:dyDescent="0.25">
      <c r="A505" s="11" t="s">
        <v>2898</v>
      </c>
      <c r="B505" s="11" t="s">
        <v>2899</v>
      </c>
      <c r="C505" s="11"/>
      <c r="D505" s="11" t="s">
        <v>91</v>
      </c>
      <c r="E505" s="11"/>
      <c r="F505" s="11" t="s">
        <v>2900</v>
      </c>
      <c r="G505" s="11" t="s">
        <v>2901</v>
      </c>
      <c r="H505" s="11" t="s">
        <v>94</v>
      </c>
      <c r="I505" s="11" t="s">
        <v>121</v>
      </c>
      <c r="J505" s="11" t="s">
        <v>737</v>
      </c>
      <c r="K505" s="11"/>
      <c r="L505" s="11" t="s">
        <v>2902</v>
      </c>
      <c r="M505" s="11" t="s">
        <v>115</v>
      </c>
      <c r="N505" s="11"/>
      <c r="O505" s="11"/>
      <c r="P505" s="11" t="s">
        <v>102</v>
      </c>
      <c r="Q505" s="12">
        <v>113.32446400000001</v>
      </c>
      <c r="R505" s="13">
        <v>23.023298</v>
      </c>
      <c r="S505" s="11" t="s">
        <v>2898</v>
      </c>
      <c r="T505" s="11"/>
      <c r="U505" s="11" t="s">
        <v>104</v>
      </c>
      <c r="V505" s="11" t="s">
        <v>105</v>
      </c>
      <c r="W505" s="11" t="s">
        <v>106</v>
      </c>
      <c r="X505" s="11"/>
      <c r="Y505" s="11"/>
      <c r="Z505" s="11"/>
      <c r="AA505" s="12">
        <v>504</v>
      </c>
      <c r="AB505" s="12"/>
      <c r="AC505" s="11" t="s">
        <v>116</v>
      </c>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row>
    <row r="506" spans="1:56" ht="42" x14ac:dyDescent="0.25">
      <c r="A506" s="11" t="s">
        <v>2903</v>
      </c>
      <c r="B506" s="11" t="s">
        <v>13</v>
      </c>
      <c r="C506" s="11"/>
      <c r="D506" s="11" t="s">
        <v>91</v>
      </c>
      <c r="E506" s="11"/>
      <c r="F506" s="11" t="s">
        <v>2475</v>
      </c>
      <c r="G506" s="11" t="s">
        <v>27</v>
      </c>
      <c r="H506" s="11" t="s">
        <v>94</v>
      </c>
      <c r="I506" s="11" t="s">
        <v>351</v>
      </c>
      <c r="J506" s="11" t="s">
        <v>351</v>
      </c>
      <c r="K506" s="11"/>
      <c r="L506" s="11" t="s">
        <v>20</v>
      </c>
      <c r="M506" s="11"/>
      <c r="N506" s="11"/>
      <c r="O506" s="11" t="s">
        <v>101</v>
      </c>
      <c r="P506" s="11" t="s">
        <v>102</v>
      </c>
      <c r="Q506" s="12">
        <v>113.386786</v>
      </c>
      <c r="R506" s="13">
        <v>22.575247999999998</v>
      </c>
      <c r="S506" s="11" t="s">
        <v>2903</v>
      </c>
      <c r="T506" s="11"/>
      <c r="U506" s="11" t="s">
        <v>104</v>
      </c>
      <c r="V506" s="11" t="s">
        <v>105</v>
      </c>
      <c r="W506" s="11" t="s">
        <v>106</v>
      </c>
      <c r="X506" s="11"/>
      <c r="Y506" s="11"/>
      <c r="Z506" s="11"/>
      <c r="AA506" s="12">
        <v>505</v>
      </c>
      <c r="AB506" s="12"/>
      <c r="AC506" s="11" t="s">
        <v>13</v>
      </c>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row>
    <row r="507" spans="1:56" ht="42" x14ac:dyDescent="0.25">
      <c r="A507" s="11" t="s">
        <v>2904</v>
      </c>
      <c r="B507" s="11" t="s">
        <v>2905</v>
      </c>
      <c r="C507" s="11"/>
      <c r="D507" s="11" t="s">
        <v>91</v>
      </c>
      <c r="E507" s="11"/>
      <c r="F507" s="11" t="s">
        <v>2906</v>
      </c>
      <c r="G507" s="11" t="s">
        <v>2907</v>
      </c>
      <c r="H507" s="11" t="s">
        <v>94</v>
      </c>
      <c r="I507" s="11" t="s">
        <v>112</v>
      </c>
      <c r="J507" s="11" t="s">
        <v>112</v>
      </c>
      <c r="K507" s="11"/>
      <c r="L507" s="11" t="s">
        <v>2908</v>
      </c>
      <c r="M507" s="11"/>
      <c r="N507" s="11"/>
      <c r="O507" s="11" t="s">
        <v>101</v>
      </c>
      <c r="P507" s="11" t="s">
        <v>102</v>
      </c>
      <c r="Q507" s="12">
        <v>113.994203</v>
      </c>
      <c r="R507" s="13">
        <v>22.969411000000001</v>
      </c>
      <c r="S507" s="11" t="s">
        <v>2904</v>
      </c>
      <c r="T507" s="11"/>
      <c r="U507" s="11" t="s">
        <v>104</v>
      </c>
      <c r="V507" s="11" t="s">
        <v>105</v>
      </c>
      <c r="W507" s="11" t="s">
        <v>106</v>
      </c>
      <c r="X507" s="11"/>
      <c r="Y507" s="11"/>
      <c r="Z507" s="11"/>
      <c r="AA507" s="12">
        <v>506</v>
      </c>
      <c r="AB507" s="12"/>
      <c r="AC507" s="11" t="s">
        <v>2909</v>
      </c>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row>
    <row r="508" spans="1:56" ht="42" x14ac:dyDescent="0.25">
      <c r="A508" s="11" t="s">
        <v>2910</v>
      </c>
      <c r="B508" s="11" t="s">
        <v>2911</v>
      </c>
      <c r="C508" s="11"/>
      <c r="D508" s="11" t="s">
        <v>91</v>
      </c>
      <c r="E508" s="11"/>
      <c r="F508" s="11" t="s">
        <v>2912</v>
      </c>
      <c r="G508" s="11" t="s">
        <v>2913</v>
      </c>
      <c r="H508" s="11" t="s">
        <v>94</v>
      </c>
      <c r="I508" s="11" t="s">
        <v>112</v>
      </c>
      <c r="J508" s="11" t="s">
        <v>112</v>
      </c>
      <c r="K508" s="11"/>
      <c r="L508" s="11" t="s">
        <v>2914</v>
      </c>
      <c r="M508" s="11" t="s">
        <v>99</v>
      </c>
      <c r="N508" s="11"/>
      <c r="O508" s="11" t="s">
        <v>101</v>
      </c>
      <c r="P508" s="11" t="s">
        <v>102</v>
      </c>
      <c r="Q508" s="12">
        <v>114.140916</v>
      </c>
      <c r="R508" s="13">
        <v>22.751536000000002</v>
      </c>
      <c r="S508" s="11" t="s">
        <v>2910</v>
      </c>
      <c r="T508" s="11"/>
      <c r="U508" s="11" t="s">
        <v>104</v>
      </c>
      <c r="V508" s="11" t="s">
        <v>105</v>
      </c>
      <c r="W508" s="11" t="s">
        <v>106</v>
      </c>
      <c r="X508" s="11"/>
      <c r="Y508" s="11"/>
      <c r="Z508" s="11"/>
      <c r="AA508" s="12">
        <v>507</v>
      </c>
      <c r="AB508" s="12"/>
      <c r="AC508" s="11" t="s">
        <v>107</v>
      </c>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row>
    <row r="509" spans="1:56" ht="42" x14ac:dyDescent="0.25">
      <c r="A509" s="11" t="s">
        <v>2915</v>
      </c>
      <c r="B509" s="11" t="s">
        <v>2916</v>
      </c>
      <c r="C509" s="11"/>
      <c r="D509" s="11" t="s">
        <v>91</v>
      </c>
      <c r="E509" s="11"/>
      <c r="F509" s="11" t="s">
        <v>2917</v>
      </c>
      <c r="G509" s="11" t="s">
        <v>2918</v>
      </c>
      <c r="H509" s="11" t="s">
        <v>94</v>
      </c>
      <c r="I509" s="11" t="s">
        <v>112</v>
      </c>
      <c r="J509" s="11" t="s">
        <v>112</v>
      </c>
      <c r="K509" s="11"/>
      <c r="L509" s="11" t="s">
        <v>2919</v>
      </c>
      <c r="M509" s="11" t="s">
        <v>99</v>
      </c>
      <c r="N509" s="11"/>
      <c r="O509" s="11" t="s">
        <v>101</v>
      </c>
      <c r="P509" s="11" t="s">
        <v>102</v>
      </c>
      <c r="Q509" s="12">
        <v>114.095251</v>
      </c>
      <c r="R509" s="13">
        <v>22.771249999999998</v>
      </c>
      <c r="S509" s="11" t="s">
        <v>2915</v>
      </c>
      <c r="T509" s="11"/>
      <c r="U509" s="11" t="s">
        <v>104</v>
      </c>
      <c r="V509" s="11" t="s">
        <v>105</v>
      </c>
      <c r="W509" s="11" t="s">
        <v>106</v>
      </c>
      <c r="X509" s="11"/>
      <c r="Y509" s="11"/>
      <c r="Z509" s="11"/>
      <c r="AA509" s="12">
        <v>508</v>
      </c>
      <c r="AB509" s="12"/>
      <c r="AC509" s="11" t="s">
        <v>107</v>
      </c>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row>
    <row r="510" spans="1:56" ht="42" x14ac:dyDescent="0.25">
      <c r="A510" s="11" t="s">
        <v>2920</v>
      </c>
      <c r="B510" s="11" t="s">
        <v>2921</v>
      </c>
      <c r="C510" s="11"/>
      <c r="D510" s="11" t="s">
        <v>91</v>
      </c>
      <c r="E510" s="11"/>
      <c r="F510" s="11" t="s">
        <v>2922</v>
      </c>
      <c r="G510" s="11" t="s">
        <v>2923</v>
      </c>
      <c r="H510" s="11" t="s">
        <v>94</v>
      </c>
      <c r="I510" s="11" t="s">
        <v>112</v>
      </c>
      <c r="J510" s="11" t="s">
        <v>112</v>
      </c>
      <c r="K510" s="11"/>
      <c r="L510" s="11" t="s">
        <v>2924</v>
      </c>
      <c r="M510" s="11" t="s">
        <v>99</v>
      </c>
      <c r="N510" s="11"/>
      <c r="O510" s="11" t="s">
        <v>101</v>
      </c>
      <c r="P510" s="11" t="s">
        <v>102</v>
      </c>
      <c r="Q510" s="12">
        <v>114.168076</v>
      </c>
      <c r="R510" s="13">
        <v>22.839915000000001</v>
      </c>
      <c r="S510" s="11" t="s">
        <v>2920</v>
      </c>
      <c r="T510" s="11"/>
      <c r="U510" s="11" t="s">
        <v>104</v>
      </c>
      <c r="V510" s="11" t="s">
        <v>105</v>
      </c>
      <c r="W510" s="11" t="s">
        <v>106</v>
      </c>
      <c r="X510" s="11"/>
      <c r="Y510" s="11"/>
      <c r="Z510" s="11"/>
      <c r="AA510" s="12">
        <v>509</v>
      </c>
      <c r="AB510" s="12"/>
      <c r="AC510" s="11" t="s">
        <v>107</v>
      </c>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row>
    <row r="511" spans="1:56" ht="42" x14ac:dyDescent="0.25">
      <c r="A511" s="11" t="s">
        <v>2925</v>
      </c>
      <c r="B511" s="11" t="s">
        <v>2926</v>
      </c>
      <c r="C511" s="11"/>
      <c r="D511" s="11" t="s">
        <v>91</v>
      </c>
      <c r="E511" s="11"/>
      <c r="F511" s="11" t="s">
        <v>2927</v>
      </c>
      <c r="G511" s="11" t="s">
        <v>2928</v>
      </c>
      <c r="H511" s="11" t="s">
        <v>94</v>
      </c>
      <c r="I511" s="11" t="s">
        <v>112</v>
      </c>
      <c r="J511" s="11" t="s">
        <v>112</v>
      </c>
      <c r="K511" s="11"/>
      <c r="L511" s="11" t="s">
        <v>2929</v>
      </c>
      <c r="M511" s="11"/>
      <c r="N511" s="11"/>
      <c r="O511" s="11" t="s">
        <v>101</v>
      </c>
      <c r="P511" s="11" t="s">
        <v>102</v>
      </c>
      <c r="Q511" s="12">
        <v>113.891333</v>
      </c>
      <c r="R511" s="13">
        <v>22.871134000000001</v>
      </c>
      <c r="S511" s="11" t="s">
        <v>2925</v>
      </c>
      <c r="T511" s="11"/>
      <c r="U511" s="11" t="s">
        <v>104</v>
      </c>
      <c r="V511" s="11" t="s">
        <v>105</v>
      </c>
      <c r="W511" s="11" t="s">
        <v>106</v>
      </c>
      <c r="X511" s="11"/>
      <c r="Y511" s="11"/>
      <c r="Z511" s="11"/>
      <c r="AA511" s="12">
        <v>510</v>
      </c>
      <c r="AB511" s="12"/>
      <c r="AC511" s="11" t="s">
        <v>2909</v>
      </c>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row>
    <row r="512" spans="1:56" ht="42" x14ac:dyDescent="0.25">
      <c r="A512" s="11" t="s">
        <v>2930</v>
      </c>
      <c r="B512" s="11" t="s">
        <v>2931</v>
      </c>
      <c r="C512" s="11"/>
      <c r="D512" s="11" t="s">
        <v>91</v>
      </c>
      <c r="E512" s="11"/>
      <c r="F512" s="11" t="s">
        <v>2932</v>
      </c>
      <c r="G512" s="11" t="s">
        <v>2933</v>
      </c>
      <c r="H512" s="11" t="s">
        <v>94</v>
      </c>
      <c r="I512" s="11" t="s">
        <v>112</v>
      </c>
      <c r="J512" s="11" t="s">
        <v>112</v>
      </c>
      <c r="K512" s="11"/>
      <c r="L512" s="11" t="s">
        <v>2934</v>
      </c>
      <c r="M512" s="11" t="s">
        <v>99</v>
      </c>
      <c r="N512" s="11"/>
      <c r="O512" s="11" t="s">
        <v>101</v>
      </c>
      <c r="P512" s="11" t="s">
        <v>102</v>
      </c>
      <c r="Q512" s="12">
        <v>113.87362</v>
      </c>
      <c r="R512" s="13">
        <v>22.983715</v>
      </c>
      <c r="S512" s="11" t="s">
        <v>2930</v>
      </c>
      <c r="T512" s="11"/>
      <c r="U512" s="11" t="s">
        <v>104</v>
      </c>
      <c r="V512" s="11" t="s">
        <v>105</v>
      </c>
      <c r="W512" s="11" t="s">
        <v>106</v>
      </c>
      <c r="X512" s="11"/>
      <c r="Y512" s="11"/>
      <c r="Z512" s="11"/>
      <c r="AA512" s="12">
        <v>511</v>
      </c>
      <c r="AB512" s="12"/>
      <c r="AC512" s="11" t="s">
        <v>107</v>
      </c>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row>
    <row r="513" spans="1:56" ht="56" x14ac:dyDescent="0.25">
      <c r="A513" s="11" t="s">
        <v>2935</v>
      </c>
      <c r="B513" s="11" t="s">
        <v>2936</v>
      </c>
      <c r="C513" s="11"/>
      <c r="D513" s="11" t="s">
        <v>91</v>
      </c>
      <c r="E513" s="11"/>
      <c r="F513" s="11" t="s">
        <v>2937</v>
      </c>
      <c r="G513" s="11" t="s">
        <v>2938</v>
      </c>
      <c r="H513" s="11" t="s">
        <v>94</v>
      </c>
      <c r="I513" s="11" t="s">
        <v>121</v>
      </c>
      <c r="J513" s="11" t="s">
        <v>792</v>
      </c>
      <c r="K513" s="11"/>
      <c r="L513" s="11" t="s">
        <v>2939</v>
      </c>
      <c r="M513" s="11"/>
      <c r="N513" s="11"/>
      <c r="O513" s="11" t="s">
        <v>101</v>
      </c>
      <c r="P513" s="11" t="s">
        <v>102</v>
      </c>
      <c r="Q513" s="12">
        <v>0</v>
      </c>
      <c r="R513" s="13">
        <v>0</v>
      </c>
      <c r="S513" s="11" t="s">
        <v>2935</v>
      </c>
      <c r="T513" s="11"/>
      <c r="U513" s="11" t="s">
        <v>104</v>
      </c>
      <c r="V513" s="11" t="s">
        <v>105</v>
      </c>
      <c r="W513" s="11" t="s">
        <v>106</v>
      </c>
      <c r="X513" s="11"/>
      <c r="Y513" s="11"/>
      <c r="Z513" s="11"/>
      <c r="AA513" s="12">
        <v>512</v>
      </c>
      <c r="AB513" s="12"/>
      <c r="AC513" s="11" t="s">
        <v>107</v>
      </c>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row>
    <row r="514" spans="1:56" ht="56" x14ac:dyDescent="0.25">
      <c r="A514" s="11" t="s">
        <v>2940</v>
      </c>
      <c r="B514" s="11" t="s">
        <v>2941</v>
      </c>
      <c r="C514" s="11"/>
      <c r="D514" s="11" t="s">
        <v>91</v>
      </c>
      <c r="E514" s="11"/>
      <c r="F514" s="11" t="s">
        <v>2942</v>
      </c>
      <c r="G514" s="11" t="s">
        <v>2943</v>
      </c>
      <c r="H514" s="11" t="s">
        <v>94</v>
      </c>
      <c r="I514" s="11" t="s">
        <v>112</v>
      </c>
      <c r="J514" s="11" t="s">
        <v>112</v>
      </c>
      <c r="K514" s="11"/>
      <c r="L514" s="11" t="s">
        <v>2944</v>
      </c>
      <c r="M514" s="11"/>
      <c r="N514" s="11"/>
      <c r="O514" s="11"/>
      <c r="P514" s="11" t="s">
        <v>102</v>
      </c>
      <c r="Q514" s="12">
        <v>113.787814</v>
      </c>
      <c r="R514" s="13">
        <v>23.030225999999999</v>
      </c>
      <c r="S514" s="11" t="s">
        <v>2940</v>
      </c>
      <c r="T514" s="11"/>
      <c r="U514" s="11" t="s">
        <v>104</v>
      </c>
      <c r="V514" s="11" t="s">
        <v>105</v>
      </c>
      <c r="W514" s="11" t="s">
        <v>106</v>
      </c>
      <c r="X514" s="11"/>
      <c r="Y514" s="11"/>
      <c r="Z514" s="11"/>
      <c r="AA514" s="12">
        <v>513</v>
      </c>
      <c r="AB514" s="12"/>
      <c r="AC514" s="11" t="s">
        <v>107</v>
      </c>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row>
    <row r="515" spans="1:56" ht="56" x14ac:dyDescent="0.25">
      <c r="A515" s="11" t="s">
        <v>2945</v>
      </c>
      <c r="B515" s="11" t="s">
        <v>2946</v>
      </c>
      <c r="C515" s="11"/>
      <c r="D515" s="11" t="s">
        <v>91</v>
      </c>
      <c r="E515" s="11"/>
      <c r="F515" s="11" t="s">
        <v>2942</v>
      </c>
      <c r="G515" s="11" t="s">
        <v>2947</v>
      </c>
      <c r="H515" s="11" t="s">
        <v>94</v>
      </c>
      <c r="I515" s="11" t="s">
        <v>112</v>
      </c>
      <c r="J515" s="11" t="s">
        <v>112</v>
      </c>
      <c r="K515" s="11"/>
      <c r="L515" s="11" t="s">
        <v>2948</v>
      </c>
      <c r="M515" s="11"/>
      <c r="N515" s="11"/>
      <c r="O515" s="11"/>
      <c r="P515" s="11" t="s">
        <v>102</v>
      </c>
      <c r="Q515" s="12">
        <v>113.76522300000001</v>
      </c>
      <c r="R515" s="13">
        <v>23.033377000000002</v>
      </c>
      <c r="S515" s="11" t="s">
        <v>2945</v>
      </c>
      <c r="T515" s="11"/>
      <c r="U515" s="11" t="s">
        <v>104</v>
      </c>
      <c r="V515" s="11" t="s">
        <v>105</v>
      </c>
      <c r="W515" s="11" t="s">
        <v>106</v>
      </c>
      <c r="X515" s="11"/>
      <c r="Y515" s="11"/>
      <c r="Z515" s="11"/>
      <c r="AA515" s="12">
        <v>514</v>
      </c>
      <c r="AB515" s="12"/>
      <c r="AC515" s="11" t="s">
        <v>107</v>
      </c>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row>
    <row r="516" spans="1:56" ht="56" x14ac:dyDescent="0.25">
      <c r="A516" s="11" t="s">
        <v>2949</v>
      </c>
      <c r="B516" s="11" t="s">
        <v>2950</v>
      </c>
      <c r="C516" s="11"/>
      <c r="D516" s="11" t="s">
        <v>91</v>
      </c>
      <c r="E516" s="11"/>
      <c r="F516" s="11" t="s">
        <v>601</v>
      </c>
      <c r="G516" s="11" t="s">
        <v>2951</v>
      </c>
      <c r="H516" s="11" t="s">
        <v>94</v>
      </c>
      <c r="I516" s="11" t="s">
        <v>351</v>
      </c>
      <c r="J516" s="11" t="s">
        <v>351</v>
      </c>
      <c r="K516" s="11"/>
      <c r="L516" s="11" t="s">
        <v>2952</v>
      </c>
      <c r="M516" s="11"/>
      <c r="N516" s="11"/>
      <c r="O516" s="11"/>
      <c r="P516" s="11" t="s">
        <v>102</v>
      </c>
      <c r="Q516" s="12">
        <v>113.51282500000001</v>
      </c>
      <c r="R516" s="13">
        <v>22.259723999999999</v>
      </c>
      <c r="S516" s="11" t="s">
        <v>2949</v>
      </c>
      <c r="T516" s="11"/>
      <c r="U516" s="11" t="s">
        <v>104</v>
      </c>
      <c r="V516" s="11" t="s">
        <v>105</v>
      </c>
      <c r="W516" s="11" t="s">
        <v>106</v>
      </c>
      <c r="X516" s="11"/>
      <c r="Y516" s="11"/>
      <c r="Z516" s="11"/>
      <c r="AA516" s="12">
        <v>515</v>
      </c>
      <c r="AB516" s="12"/>
      <c r="AC516" s="11" t="s">
        <v>2292</v>
      </c>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row>
    <row r="517" spans="1:56" ht="84" x14ac:dyDescent="0.25">
      <c r="A517" s="11" t="s">
        <v>2953</v>
      </c>
      <c r="B517" s="11" t="s">
        <v>2954</v>
      </c>
      <c r="C517" s="11"/>
      <c r="D517" s="11" t="s">
        <v>91</v>
      </c>
      <c r="E517" s="11"/>
      <c r="F517" s="11" t="s">
        <v>2955</v>
      </c>
      <c r="G517" s="11" t="s">
        <v>2956</v>
      </c>
      <c r="H517" s="11" t="s">
        <v>94</v>
      </c>
      <c r="I517" s="11" t="s">
        <v>95</v>
      </c>
      <c r="J517" s="11" t="s">
        <v>749</v>
      </c>
      <c r="K517" s="11"/>
      <c r="L517" s="11" t="s">
        <v>2957</v>
      </c>
      <c r="M517" s="11"/>
      <c r="N517" s="11"/>
      <c r="O517" s="11"/>
      <c r="P517" s="11" t="s">
        <v>102</v>
      </c>
      <c r="Q517" s="12">
        <v>113.28163000000001</v>
      </c>
      <c r="R517" s="13">
        <v>22.756513999999999</v>
      </c>
      <c r="S517" s="11" t="s">
        <v>2953</v>
      </c>
      <c r="T517" s="11"/>
      <c r="U517" s="11" t="s">
        <v>104</v>
      </c>
      <c r="V517" s="11" t="s">
        <v>105</v>
      </c>
      <c r="W517" s="11" t="s">
        <v>106</v>
      </c>
      <c r="X517" s="11"/>
      <c r="Y517" s="11"/>
      <c r="Z517" s="11"/>
      <c r="AA517" s="12">
        <v>516</v>
      </c>
      <c r="AB517" s="12"/>
      <c r="AC517" s="11" t="s">
        <v>2292</v>
      </c>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row>
    <row r="518" spans="1:56" ht="42" x14ac:dyDescent="0.25">
      <c r="A518" s="11" t="s">
        <v>2958</v>
      </c>
      <c r="B518" s="11" t="s">
        <v>2959</v>
      </c>
      <c r="C518" s="11"/>
      <c r="D518" s="11" t="s">
        <v>91</v>
      </c>
      <c r="E518" s="11"/>
      <c r="F518" s="11" t="s">
        <v>2960</v>
      </c>
      <c r="G518" s="11" t="s">
        <v>2961</v>
      </c>
      <c r="H518" s="11" t="s">
        <v>94</v>
      </c>
      <c r="I518" s="11" t="s">
        <v>112</v>
      </c>
      <c r="J518" s="11" t="s">
        <v>112</v>
      </c>
      <c r="K518" s="11"/>
      <c r="L518" s="11" t="s">
        <v>2962</v>
      </c>
      <c r="M518" s="11"/>
      <c r="N518" s="11"/>
      <c r="O518" s="11"/>
      <c r="P518" s="11" t="s">
        <v>102</v>
      </c>
      <c r="Q518" s="12">
        <v>113.847764</v>
      </c>
      <c r="R518" s="13">
        <v>22.899685999999999</v>
      </c>
      <c r="S518" s="11" t="s">
        <v>2958</v>
      </c>
      <c r="T518" s="11"/>
      <c r="U518" s="11" t="s">
        <v>104</v>
      </c>
      <c r="V518" s="11" t="s">
        <v>105</v>
      </c>
      <c r="W518" s="11" t="s">
        <v>106</v>
      </c>
      <c r="X518" s="11"/>
      <c r="Y518" s="11"/>
      <c r="Z518" s="11"/>
      <c r="AA518" s="12">
        <v>517</v>
      </c>
      <c r="AB518" s="12"/>
      <c r="AC518" s="11" t="s">
        <v>2829</v>
      </c>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row>
    <row r="519" spans="1:56" ht="42" x14ac:dyDescent="0.25">
      <c r="A519" s="11" t="s">
        <v>2963</v>
      </c>
      <c r="B519" s="11" t="s">
        <v>2964</v>
      </c>
      <c r="C519" s="11"/>
      <c r="D519" s="11" t="s">
        <v>91</v>
      </c>
      <c r="E519" s="11" t="s">
        <v>92</v>
      </c>
      <c r="F519" s="11" t="s">
        <v>2965</v>
      </c>
      <c r="G519" s="11" t="s">
        <v>2966</v>
      </c>
      <c r="H519" s="11" t="s">
        <v>94</v>
      </c>
      <c r="I519" s="11" t="s">
        <v>112</v>
      </c>
      <c r="J519" s="11" t="s">
        <v>112</v>
      </c>
      <c r="K519" s="11"/>
      <c r="L519" s="11" t="s">
        <v>2967</v>
      </c>
      <c r="M519" s="11" t="s">
        <v>99</v>
      </c>
      <c r="N519" s="11" t="s">
        <v>174</v>
      </c>
      <c r="O519" s="11" t="s">
        <v>101</v>
      </c>
      <c r="P519" s="11" t="s">
        <v>102</v>
      </c>
      <c r="Q519" s="12">
        <v>114.013699</v>
      </c>
      <c r="R519" s="13">
        <v>22.907990000000002</v>
      </c>
      <c r="S519" s="11" t="s">
        <v>2963</v>
      </c>
      <c r="T519" s="11"/>
      <c r="U519" s="11" t="s">
        <v>104</v>
      </c>
      <c r="V519" s="11" t="s">
        <v>105</v>
      </c>
      <c r="W519" s="11" t="s">
        <v>106</v>
      </c>
      <c r="X519" s="11"/>
      <c r="Y519" s="11"/>
      <c r="Z519" s="11"/>
      <c r="AA519" s="12">
        <v>518</v>
      </c>
      <c r="AB519" s="12"/>
      <c r="AC519" s="11" t="s">
        <v>2829</v>
      </c>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row>
    <row r="520" spans="1:56" ht="42" x14ac:dyDescent="0.25">
      <c r="A520" s="11" t="s">
        <v>2968</v>
      </c>
      <c r="B520" s="11" t="s">
        <v>2969</v>
      </c>
      <c r="C520" s="11"/>
      <c r="D520" s="11" t="s">
        <v>91</v>
      </c>
      <c r="E520" s="11"/>
      <c r="F520" s="11" t="s">
        <v>2970</v>
      </c>
      <c r="G520" s="11" t="s">
        <v>2971</v>
      </c>
      <c r="H520" s="11" t="s">
        <v>94</v>
      </c>
      <c r="I520" s="11" t="s">
        <v>112</v>
      </c>
      <c r="J520" s="11" t="s">
        <v>112</v>
      </c>
      <c r="K520" s="11"/>
      <c r="L520" s="11" t="s">
        <v>2972</v>
      </c>
      <c r="M520" s="11"/>
      <c r="N520" s="11"/>
      <c r="O520" s="11"/>
      <c r="P520" s="11" t="s">
        <v>102</v>
      </c>
      <c r="Q520" s="12">
        <v>113.848108</v>
      </c>
      <c r="R520" s="13">
        <v>22.925395000000002</v>
      </c>
      <c r="S520" s="11" t="s">
        <v>2968</v>
      </c>
      <c r="T520" s="11"/>
      <c r="U520" s="11" t="s">
        <v>104</v>
      </c>
      <c r="V520" s="11" t="s">
        <v>105</v>
      </c>
      <c r="W520" s="11" t="s">
        <v>106</v>
      </c>
      <c r="X520" s="11"/>
      <c r="Y520" s="11"/>
      <c r="Z520" s="11"/>
      <c r="AA520" s="12">
        <v>519</v>
      </c>
      <c r="AB520" s="12"/>
      <c r="AC520" s="11" t="s">
        <v>2829</v>
      </c>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row>
    <row r="521" spans="1:56" ht="42" x14ac:dyDescent="0.25">
      <c r="A521" s="11" t="s">
        <v>2973</v>
      </c>
      <c r="B521" s="11" t="s">
        <v>2974</v>
      </c>
      <c r="C521" s="11"/>
      <c r="D521" s="11" t="s">
        <v>91</v>
      </c>
      <c r="E521" s="11"/>
      <c r="F521" s="11" t="s">
        <v>2975</v>
      </c>
      <c r="G521" s="11" t="s">
        <v>2976</v>
      </c>
      <c r="H521" s="11" t="s">
        <v>94</v>
      </c>
      <c r="I521" s="11" t="s">
        <v>112</v>
      </c>
      <c r="J521" s="11" t="s">
        <v>112</v>
      </c>
      <c r="K521" s="11"/>
      <c r="L521" s="11" t="s">
        <v>2977</v>
      </c>
      <c r="M521" s="11"/>
      <c r="N521" s="11"/>
      <c r="O521" s="11"/>
      <c r="P521" s="11" t="s">
        <v>102</v>
      </c>
      <c r="Q521" s="12">
        <v>113.78418000000001</v>
      </c>
      <c r="R521" s="13">
        <v>22.788015999999999</v>
      </c>
      <c r="S521" s="11" t="s">
        <v>2973</v>
      </c>
      <c r="T521" s="11"/>
      <c r="U521" s="11" t="s">
        <v>104</v>
      </c>
      <c r="V521" s="11" t="s">
        <v>105</v>
      </c>
      <c r="W521" s="11" t="s">
        <v>106</v>
      </c>
      <c r="X521" s="11"/>
      <c r="Y521" s="11"/>
      <c r="Z521" s="11"/>
      <c r="AA521" s="12">
        <v>520</v>
      </c>
      <c r="AB521" s="12"/>
      <c r="AC521" s="11" t="s">
        <v>2829</v>
      </c>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row>
    <row r="522" spans="1:56" ht="42" x14ac:dyDescent="0.25">
      <c r="A522" s="11" t="s">
        <v>2978</v>
      </c>
      <c r="B522" s="11" t="s">
        <v>2979</v>
      </c>
      <c r="C522" s="11"/>
      <c r="D522" s="11" t="s">
        <v>91</v>
      </c>
      <c r="E522" s="11"/>
      <c r="F522" s="11" t="s">
        <v>2980</v>
      </c>
      <c r="G522" s="11" t="s">
        <v>2981</v>
      </c>
      <c r="H522" s="11" t="s">
        <v>94</v>
      </c>
      <c r="I522" s="11" t="s">
        <v>112</v>
      </c>
      <c r="J522" s="11" t="s">
        <v>112</v>
      </c>
      <c r="K522" s="11"/>
      <c r="L522" s="11" t="s">
        <v>2982</v>
      </c>
      <c r="M522" s="11"/>
      <c r="N522" s="11"/>
      <c r="O522" s="11"/>
      <c r="P522" s="11" t="s">
        <v>102</v>
      </c>
      <c r="Q522" s="12">
        <v>113.65955700000001</v>
      </c>
      <c r="R522" s="13">
        <v>22.872496999999999</v>
      </c>
      <c r="S522" s="11" t="s">
        <v>2978</v>
      </c>
      <c r="T522" s="11"/>
      <c r="U522" s="11" t="s">
        <v>104</v>
      </c>
      <c r="V522" s="11" t="s">
        <v>105</v>
      </c>
      <c r="W522" s="11" t="s">
        <v>106</v>
      </c>
      <c r="X522" s="11"/>
      <c r="Y522" s="11"/>
      <c r="Z522" s="11"/>
      <c r="AA522" s="12">
        <v>521</v>
      </c>
      <c r="AB522" s="12"/>
      <c r="AC522" s="11" t="s">
        <v>2829</v>
      </c>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row>
    <row r="523" spans="1:56" ht="42" x14ac:dyDescent="0.25">
      <c r="A523" s="11" t="s">
        <v>2983</v>
      </c>
      <c r="B523" s="11" t="s">
        <v>2984</v>
      </c>
      <c r="C523" s="11"/>
      <c r="D523" s="11" t="s">
        <v>91</v>
      </c>
      <c r="E523" s="11" t="s">
        <v>92</v>
      </c>
      <c r="F523" s="11" t="s">
        <v>473</v>
      </c>
      <c r="G523" s="11" t="s">
        <v>2985</v>
      </c>
      <c r="H523" s="11" t="s">
        <v>94</v>
      </c>
      <c r="I523" s="11" t="s">
        <v>351</v>
      </c>
      <c r="J523" s="11" t="s">
        <v>351</v>
      </c>
      <c r="K523" s="11" t="s">
        <v>652</v>
      </c>
      <c r="L523" s="11" t="s">
        <v>2986</v>
      </c>
      <c r="M523" s="11" t="s">
        <v>133</v>
      </c>
      <c r="N523" s="11" t="s">
        <v>100</v>
      </c>
      <c r="O523" s="11" t="s">
        <v>101</v>
      </c>
      <c r="P523" s="11" t="s">
        <v>102</v>
      </c>
      <c r="Q523" s="12">
        <v>113.464979</v>
      </c>
      <c r="R523" s="13">
        <v>22.54382</v>
      </c>
      <c r="S523" s="11" t="s">
        <v>2983</v>
      </c>
      <c r="T523" s="11"/>
      <c r="U523" s="11" t="s">
        <v>104</v>
      </c>
      <c r="V523" s="11" t="s">
        <v>105</v>
      </c>
      <c r="W523" s="11" t="s">
        <v>106</v>
      </c>
      <c r="X523" s="11"/>
      <c r="Y523" s="11"/>
      <c r="Z523" s="11"/>
      <c r="AA523" s="12">
        <v>522</v>
      </c>
      <c r="AB523" s="12"/>
      <c r="AC523" s="11" t="s">
        <v>107</v>
      </c>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row>
    <row r="524" spans="1:56" ht="42" x14ac:dyDescent="0.25">
      <c r="A524" s="11" t="s">
        <v>2987</v>
      </c>
      <c r="B524" s="11" t="s">
        <v>2988</v>
      </c>
      <c r="C524" s="11"/>
      <c r="D524" s="11" t="s">
        <v>91</v>
      </c>
      <c r="E524" s="11" t="s">
        <v>92</v>
      </c>
      <c r="F524" s="11" t="s">
        <v>473</v>
      </c>
      <c r="G524" s="11" t="s">
        <v>2985</v>
      </c>
      <c r="H524" s="11" t="s">
        <v>94</v>
      </c>
      <c r="I524" s="11" t="s">
        <v>351</v>
      </c>
      <c r="J524" s="11" t="s">
        <v>351</v>
      </c>
      <c r="K524" s="11"/>
      <c r="L524" s="11" t="s">
        <v>2989</v>
      </c>
      <c r="M524" s="11" t="s">
        <v>99</v>
      </c>
      <c r="N524" s="11" t="s">
        <v>174</v>
      </c>
      <c r="O524" s="11" t="s">
        <v>101</v>
      </c>
      <c r="P524" s="11" t="s">
        <v>102</v>
      </c>
      <c r="Q524" s="12">
        <v>113.249685</v>
      </c>
      <c r="R524" s="13">
        <v>22.528510000000001</v>
      </c>
      <c r="S524" s="11" t="s">
        <v>2987</v>
      </c>
      <c r="T524" s="11"/>
      <c r="U524" s="11" t="s">
        <v>104</v>
      </c>
      <c r="V524" s="11" t="s">
        <v>105</v>
      </c>
      <c r="W524" s="11" t="s">
        <v>106</v>
      </c>
      <c r="X524" s="11"/>
      <c r="Y524" s="11"/>
      <c r="Z524" s="11"/>
      <c r="AA524" s="12">
        <v>523</v>
      </c>
      <c r="AB524" s="12"/>
      <c r="AC524" s="11" t="s">
        <v>107</v>
      </c>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row>
    <row r="525" spans="1:56" ht="56" x14ac:dyDescent="0.25">
      <c r="A525" s="11" t="s">
        <v>2990</v>
      </c>
      <c r="B525" s="11" t="s">
        <v>2991</v>
      </c>
      <c r="C525" s="11"/>
      <c r="D525" s="11" t="s">
        <v>91</v>
      </c>
      <c r="E525" s="11"/>
      <c r="F525" s="11" t="s">
        <v>2992</v>
      </c>
      <c r="G525" s="11" t="s">
        <v>2993</v>
      </c>
      <c r="H525" s="11" t="s">
        <v>94</v>
      </c>
      <c r="I525" s="11" t="s">
        <v>112</v>
      </c>
      <c r="J525" s="11" t="s">
        <v>112</v>
      </c>
      <c r="K525" s="11"/>
      <c r="L525" s="11" t="s">
        <v>2994</v>
      </c>
      <c r="M525" s="11"/>
      <c r="N525" s="11"/>
      <c r="O525" s="11"/>
      <c r="P525" s="11" t="s">
        <v>102</v>
      </c>
      <c r="Q525" s="12">
        <v>113.995103</v>
      </c>
      <c r="R525" s="13">
        <v>22.969816999999999</v>
      </c>
      <c r="S525" s="11" t="s">
        <v>2990</v>
      </c>
      <c r="T525" s="11"/>
      <c r="U525" s="11" t="s">
        <v>104</v>
      </c>
      <c r="V525" s="11" t="s">
        <v>105</v>
      </c>
      <c r="W525" s="11" t="s">
        <v>106</v>
      </c>
      <c r="X525" s="11"/>
      <c r="Y525" s="11"/>
      <c r="Z525" s="11"/>
      <c r="AA525" s="12">
        <v>524</v>
      </c>
      <c r="AB525" s="12"/>
      <c r="AC525" s="11" t="s">
        <v>107</v>
      </c>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row>
    <row r="526" spans="1:56" ht="56" x14ac:dyDescent="0.25">
      <c r="A526" s="11" t="s">
        <v>2995</v>
      </c>
      <c r="B526" s="11" t="s">
        <v>2996</v>
      </c>
      <c r="C526" s="11"/>
      <c r="D526" s="11" t="s">
        <v>91</v>
      </c>
      <c r="E526" s="11"/>
      <c r="F526" s="11" t="s">
        <v>2997</v>
      </c>
      <c r="G526" s="11" t="s">
        <v>2998</v>
      </c>
      <c r="H526" s="11" t="s">
        <v>94</v>
      </c>
      <c r="I526" s="11" t="s">
        <v>112</v>
      </c>
      <c r="J526" s="11" t="s">
        <v>112</v>
      </c>
      <c r="K526" s="11"/>
      <c r="L526" s="11" t="s">
        <v>2999</v>
      </c>
      <c r="M526" s="11"/>
      <c r="N526" s="11"/>
      <c r="O526" s="11"/>
      <c r="P526" s="11" t="s">
        <v>102</v>
      </c>
      <c r="Q526" s="12">
        <v>113.760503</v>
      </c>
      <c r="R526" s="13">
        <v>22.990012</v>
      </c>
      <c r="S526" s="11" t="s">
        <v>2995</v>
      </c>
      <c r="T526" s="11"/>
      <c r="U526" s="11" t="s">
        <v>104</v>
      </c>
      <c r="V526" s="11" t="s">
        <v>105</v>
      </c>
      <c r="W526" s="11" t="s">
        <v>106</v>
      </c>
      <c r="X526" s="11"/>
      <c r="Y526" s="11"/>
      <c r="Z526" s="11"/>
      <c r="AA526" s="12">
        <v>525</v>
      </c>
      <c r="AB526" s="12"/>
      <c r="AC526" s="11" t="s">
        <v>3000</v>
      </c>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row>
    <row r="527" spans="1:56" ht="56" x14ac:dyDescent="0.25">
      <c r="A527" s="11" t="s">
        <v>3001</v>
      </c>
      <c r="B527" s="11" t="s">
        <v>3002</v>
      </c>
      <c r="C527" s="11"/>
      <c r="D527" s="11" t="s">
        <v>91</v>
      </c>
      <c r="E527" s="11"/>
      <c r="F527" s="11" t="s">
        <v>3003</v>
      </c>
      <c r="G527" s="11" t="s">
        <v>3004</v>
      </c>
      <c r="H527" s="11" t="s">
        <v>94</v>
      </c>
      <c r="I527" s="11" t="s">
        <v>112</v>
      </c>
      <c r="J527" s="11" t="s">
        <v>112</v>
      </c>
      <c r="K527" s="11"/>
      <c r="L527" s="11" t="s">
        <v>3005</v>
      </c>
      <c r="M527" s="11"/>
      <c r="N527" s="11"/>
      <c r="O527" s="11"/>
      <c r="P527" s="11" t="s">
        <v>102</v>
      </c>
      <c r="Q527" s="12">
        <v>113.77006299999999</v>
      </c>
      <c r="R527" s="13">
        <v>23.040517000000001</v>
      </c>
      <c r="S527" s="11" t="s">
        <v>3001</v>
      </c>
      <c r="T527" s="11"/>
      <c r="U527" s="11" t="s">
        <v>104</v>
      </c>
      <c r="V527" s="11" t="s">
        <v>105</v>
      </c>
      <c r="W527" s="11" t="s">
        <v>106</v>
      </c>
      <c r="X527" s="11"/>
      <c r="Y527" s="11"/>
      <c r="Z527" s="11"/>
      <c r="AA527" s="12">
        <v>526</v>
      </c>
      <c r="AB527" s="12"/>
      <c r="AC527" s="11" t="s">
        <v>3000</v>
      </c>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row>
    <row r="528" spans="1:56" ht="56" x14ac:dyDescent="0.25">
      <c r="A528" s="11" t="s">
        <v>3006</v>
      </c>
      <c r="B528" s="11" t="s">
        <v>3007</v>
      </c>
      <c r="C528" s="11"/>
      <c r="D528" s="11" t="s">
        <v>91</v>
      </c>
      <c r="E528" s="11"/>
      <c r="F528" s="11" t="s">
        <v>3008</v>
      </c>
      <c r="G528" s="11" t="s">
        <v>3009</v>
      </c>
      <c r="H528" s="11" t="s">
        <v>94</v>
      </c>
      <c r="I528" s="11" t="s">
        <v>112</v>
      </c>
      <c r="J528" s="11" t="s">
        <v>112</v>
      </c>
      <c r="K528" s="11"/>
      <c r="L528" s="11" t="s">
        <v>3010</v>
      </c>
      <c r="M528" s="11"/>
      <c r="N528" s="11"/>
      <c r="O528" s="11"/>
      <c r="P528" s="11" t="s">
        <v>102</v>
      </c>
      <c r="Q528" s="12">
        <v>113.751884</v>
      </c>
      <c r="R528" s="13">
        <v>23.021015999999999</v>
      </c>
      <c r="S528" s="11" t="s">
        <v>3006</v>
      </c>
      <c r="T528" s="11"/>
      <c r="U528" s="11" t="s">
        <v>104</v>
      </c>
      <c r="V528" s="11" t="s">
        <v>105</v>
      </c>
      <c r="W528" s="11" t="s">
        <v>106</v>
      </c>
      <c r="X528" s="11"/>
      <c r="Y528" s="11"/>
      <c r="Z528" s="11"/>
      <c r="AA528" s="12">
        <v>527</v>
      </c>
      <c r="AB528" s="12"/>
      <c r="AC528" s="11" t="s">
        <v>3000</v>
      </c>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row>
    <row r="529" spans="1:56" ht="56" x14ac:dyDescent="0.25">
      <c r="A529" s="11" t="s">
        <v>3011</v>
      </c>
      <c r="B529" s="11" t="s">
        <v>3012</v>
      </c>
      <c r="C529" s="11"/>
      <c r="D529" s="11" t="s">
        <v>91</v>
      </c>
      <c r="E529" s="11"/>
      <c r="F529" s="11" t="s">
        <v>3013</v>
      </c>
      <c r="G529" s="11" t="s">
        <v>3014</v>
      </c>
      <c r="H529" s="11" t="s">
        <v>94</v>
      </c>
      <c r="I529" s="11" t="s">
        <v>112</v>
      </c>
      <c r="J529" s="11" t="s">
        <v>112</v>
      </c>
      <c r="K529" s="11"/>
      <c r="L529" s="11" t="s">
        <v>3015</v>
      </c>
      <c r="M529" s="11"/>
      <c r="N529" s="11"/>
      <c r="O529" s="11"/>
      <c r="P529" s="11" t="s">
        <v>102</v>
      </c>
      <c r="Q529" s="12">
        <v>113.681534</v>
      </c>
      <c r="R529" s="13">
        <v>22.818975999999999</v>
      </c>
      <c r="S529" s="11" t="s">
        <v>3011</v>
      </c>
      <c r="T529" s="11"/>
      <c r="U529" s="11" t="s">
        <v>104</v>
      </c>
      <c r="V529" s="11" t="s">
        <v>105</v>
      </c>
      <c r="W529" s="11" t="s">
        <v>106</v>
      </c>
      <c r="X529" s="11"/>
      <c r="Y529" s="11"/>
      <c r="Z529" s="11"/>
      <c r="AA529" s="12">
        <v>528</v>
      </c>
      <c r="AB529" s="12"/>
      <c r="AC529" s="11" t="s">
        <v>3000</v>
      </c>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row>
    <row r="530" spans="1:56" ht="56" x14ac:dyDescent="0.25">
      <c r="A530" s="11" t="s">
        <v>3016</v>
      </c>
      <c r="B530" s="11" t="s">
        <v>3017</v>
      </c>
      <c r="C530" s="11"/>
      <c r="D530" s="11" t="s">
        <v>91</v>
      </c>
      <c r="E530" s="11"/>
      <c r="F530" s="11" t="s">
        <v>3018</v>
      </c>
      <c r="G530" s="11" t="s">
        <v>3019</v>
      </c>
      <c r="H530" s="11" t="s">
        <v>94</v>
      </c>
      <c r="I530" s="11" t="s">
        <v>112</v>
      </c>
      <c r="J530" s="11" t="s">
        <v>112</v>
      </c>
      <c r="K530" s="11"/>
      <c r="L530" s="11" t="s">
        <v>3020</v>
      </c>
      <c r="M530" s="11"/>
      <c r="N530" s="11"/>
      <c r="O530" s="11"/>
      <c r="P530" s="11" t="s">
        <v>102</v>
      </c>
      <c r="Q530" s="12">
        <v>113.918126</v>
      </c>
      <c r="R530" s="13">
        <v>22.947341999999999</v>
      </c>
      <c r="S530" s="11" t="s">
        <v>3016</v>
      </c>
      <c r="T530" s="11"/>
      <c r="U530" s="11" t="s">
        <v>104</v>
      </c>
      <c r="V530" s="11" t="s">
        <v>105</v>
      </c>
      <c r="W530" s="11" t="s">
        <v>106</v>
      </c>
      <c r="X530" s="11"/>
      <c r="Y530" s="11"/>
      <c r="Z530" s="11"/>
      <c r="AA530" s="12">
        <v>529</v>
      </c>
      <c r="AB530" s="12"/>
      <c r="AC530" s="11" t="s">
        <v>3000</v>
      </c>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row>
    <row r="531" spans="1:56" ht="56" x14ac:dyDescent="0.25">
      <c r="A531" s="11" t="s">
        <v>3021</v>
      </c>
      <c r="B531" s="11" t="s">
        <v>3022</v>
      </c>
      <c r="C531" s="11"/>
      <c r="D531" s="11" t="s">
        <v>91</v>
      </c>
      <c r="E531" s="11"/>
      <c r="F531" s="11" t="s">
        <v>3023</v>
      </c>
      <c r="G531" s="11" t="s">
        <v>3024</v>
      </c>
      <c r="H531" s="11" t="s">
        <v>94</v>
      </c>
      <c r="I531" s="11" t="s">
        <v>112</v>
      </c>
      <c r="J531" s="11" t="s">
        <v>112</v>
      </c>
      <c r="K531" s="11"/>
      <c r="L531" s="11" t="s">
        <v>3025</v>
      </c>
      <c r="M531" s="11"/>
      <c r="N531" s="11"/>
      <c r="O531" s="11"/>
      <c r="P531" s="11" t="s">
        <v>102</v>
      </c>
      <c r="Q531" s="12">
        <v>113.804834</v>
      </c>
      <c r="R531" s="13">
        <v>22.802745999999999</v>
      </c>
      <c r="S531" s="11" t="s">
        <v>3021</v>
      </c>
      <c r="T531" s="11"/>
      <c r="U531" s="11" t="s">
        <v>104</v>
      </c>
      <c r="V531" s="11" t="s">
        <v>105</v>
      </c>
      <c r="W531" s="11" t="s">
        <v>106</v>
      </c>
      <c r="X531" s="11"/>
      <c r="Y531" s="11"/>
      <c r="Z531" s="11"/>
      <c r="AA531" s="12">
        <v>530</v>
      </c>
      <c r="AB531" s="12"/>
      <c r="AC531" s="11" t="s">
        <v>3000</v>
      </c>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row>
    <row r="532" spans="1:56" ht="56" x14ac:dyDescent="0.25">
      <c r="A532" s="11" t="s">
        <v>3026</v>
      </c>
      <c r="B532" s="11" t="s">
        <v>3027</v>
      </c>
      <c r="C532" s="11"/>
      <c r="D532" s="11" t="s">
        <v>91</v>
      </c>
      <c r="E532" s="11"/>
      <c r="F532" s="11" t="s">
        <v>3028</v>
      </c>
      <c r="G532" s="11" t="s">
        <v>3029</v>
      </c>
      <c r="H532" s="11" t="s">
        <v>94</v>
      </c>
      <c r="I532" s="11" t="s">
        <v>112</v>
      </c>
      <c r="J532" s="11" t="s">
        <v>112</v>
      </c>
      <c r="K532" s="11"/>
      <c r="L532" s="11" t="s">
        <v>3030</v>
      </c>
      <c r="M532" s="11"/>
      <c r="N532" s="11"/>
      <c r="O532" s="11"/>
      <c r="P532" s="11" t="s">
        <v>102</v>
      </c>
      <c r="Q532" s="12">
        <v>113.797724</v>
      </c>
      <c r="R532" s="13">
        <v>23.030906000000002</v>
      </c>
      <c r="S532" s="11" t="s">
        <v>3026</v>
      </c>
      <c r="T532" s="11"/>
      <c r="U532" s="11" t="s">
        <v>104</v>
      </c>
      <c r="V532" s="11" t="s">
        <v>105</v>
      </c>
      <c r="W532" s="11" t="s">
        <v>106</v>
      </c>
      <c r="X532" s="11"/>
      <c r="Y532" s="11"/>
      <c r="Z532" s="11"/>
      <c r="AA532" s="12">
        <v>531</v>
      </c>
      <c r="AB532" s="12"/>
      <c r="AC532" s="11" t="s">
        <v>3000</v>
      </c>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row>
    <row r="533" spans="1:56" ht="56" x14ac:dyDescent="0.25">
      <c r="A533" s="11" t="s">
        <v>3031</v>
      </c>
      <c r="B533" s="11" t="s">
        <v>3032</v>
      </c>
      <c r="C533" s="11"/>
      <c r="D533" s="11" t="s">
        <v>91</v>
      </c>
      <c r="E533" s="11"/>
      <c r="F533" s="11" t="s">
        <v>3033</v>
      </c>
      <c r="G533" s="11" t="s">
        <v>3034</v>
      </c>
      <c r="H533" s="11" t="s">
        <v>94</v>
      </c>
      <c r="I533" s="11" t="s">
        <v>112</v>
      </c>
      <c r="J533" s="11" t="s">
        <v>112</v>
      </c>
      <c r="K533" s="11"/>
      <c r="L533" s="11" t="s">
        <v>3035</v>
      </c>
      <c r="M533" s="11"/>
      <c r="N533" s="11"/>
      <c r="O533" s="11"/>
      <c r="P533" s="11" t="s">
        <v>102</v>
      </c>
      <c r="Q533" s="12">
        <v>113.75954</v>
      </c>
      <c r="R533" s="13">
        <v>22.775696</v>
      </c>
      <c r="S533" s="11" t="s">
        <v>3031</v>
      </c>
      <c r="T533" s="11"/>
      <c r="U533" s="11" t="s">
        <v>104</v>
      </c>
      <c r="V533" s="11" t="s">
        <v>105</v>
      </c>
      <c r="W533" s="11" t="s">
        <v>106</v>
      </c>
      <c r="X533" s="11"/>
      <c r="Y533" s="11"/>
      <c r="Z533" s="11"/>
      <c r="AA533" s="12">
        <v>532</v>
      </c>
      <c r="AB533" s="12"/>
      <c r="AC533" s="11" t="s">
        <v>3000</v>
      </c>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row>
    <row r="534" spans="1:56" ht="56" x14ac:dyDescent="0.25">
      <c r="A534" s="11" t="s">
        <v>3036</v>
      </c>
      <c r="B534" s="11" t="s">
        <v>3037</v>
      </c>
      <c r="C534" s="11"/>
      <c r="D534" s="11" t="s">
        <v>91</v>
      </c>
      <c r="E534" s="11"/>
      <c r="F534" s="11" t="s">
        <v>3038</v>
      </c>
      <c r="G534" s="11" t="s">
        <v>3039</v>
      </c>
      <c r="H534" s="11" t="s">
        <v>94</v>
      </c>
      <c r="I534" s="11" t="s">
        <v>112</v>
      </c>
      <c r="J534" s="11" t="s">
        <v>112</v>
      </c>
      <c r="K534" s="11"/>
      <c r="L534" s="11" t="s">
        <v>3040</v>
      </c>
      <c r="M534" s="11"/>
      <c r="N534" s="11"/>
      <c r="O534" s="11"/>
      <c r="P534" s="11" t="s">
        <v>102</v>
      </c>
      <c r="Q534" s="12">
        <v>114.00242</v>
      </c>
      <c r="R534" s="13">
        <v>22.972874999999998</v>
      </c>
      <c r="S534" s="11" t="s">
        <v>3036</v>
      </c>
      <c r="T534" s="11"/>
      <c r="U534" s="11" t="s">
        <v>104</v>
      </c>
      <c r="V534" s="11" t="s">
        <v>105</v>
      </c>
      <c r="W534" s="11" t="s">
        <v>106</v>
      </c>
      <c r="X534" s="11"/>
      <c r="Y534" s="11"/>
      <c r="Z534" s="11"/>
      <c r="AA534" s="12">
        <v>533</v>
      </c>
      <c r="AB534" s="12"/>
      <c r="AC534" s="11" t="s">
        <v>3000</v>
      </c>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row>
    <row r="535" spans="1:56" ht="56" x14ac:dyDescent="0.25">
      <c r="A535" s="11" t="s">
        <v>3041</v>
      </c>
      <c r="B535" s="11" t="s">
        <v>3042</v>
      </c>
      <c r="C535" s="11"/>
      <c r="D535" s="11" t="s">
        <v>91</v>
      </c>
      <c r="E535" s="11"/>
      <c r="F535" s="11" t="s">
        <v>3043</v>
      </c>
      <c r="G535" s="11" t="s">
        <v>3044</v>
      </c>
      <c r="H535" s="11" t="s">
        <v>94</v>
      </c>
      <c r="I535" s="11" t="s">
        <v>351</v>
      </c>
      <c r="J535" s="11" t="s">
        <v>351</v>
      </c>
      <c r="K535" s="11"/>
      <c r="L535" s="11" t="s">
        <v>3045</v>
      </c>
      <c r="M535" s="11"/>
      <c r="N535" s="11"/>
      <c r="O535" s="11"/>
      <c r="P535" s="11" t="s">
        <v>102</v>
      </c>
      <c r="Q535" s="12">
        <v>113.397475</v>
      </c>
      <c r="R535" s="13">
        <v>22.527877</v>
      </c>
      <c r="S535" s="11" t="s">
        <v>3041</v>
      </c>
      <c r="T535" s="11"/>
      <c r="U535" s="11" t="s">
        <v>104</v>
      </c>
      <c r="V535" s="11" t="s">
        <v>105</v>
      </c>
      <c r="W535" s="11" t="s">
        <v>106</v>
      </c>
      <c r="X535" s="11"/>
      <c r="Y535" s="11"/>
      <c r="Z535" s="11"/>
      <c r="AA535" s="12">
        <v>534</v>
      </c>
      <c r="AB535" s="12"/>
      <c r="AC535" s="11" t="s">
        <v>3000</v>
      </c>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row>
    <row r="536" spans="1:56" ht="56" x14ac:dyDescent="0.25">
      <c r="A536" s="11" t="s">
        <v>3046</v>
      </c>
      <c r="B536" s="11" t="s">
        <v>3047</v>
      </c>
      <c r="C536" s="11"/>
      <c r="D536" s="11" t="s">
        <v>91</v>
      </c>
      <c r="E536" s="11"/>
      <c r="F536" s="11" t="s">
        <v>601</v>
      </c>
      <c r="G536" s="11" t="s">
        <v>3048</v>
      </c>
      <c r="H536" s="11" t="s">
        <v>94</v>
      </c>
      <c r="I536" s="11" t="s">
        <v>3049</v>
      </c>
      <c r="J536" s="11" t="s">
        <v>3050</v>
      </c>
      <c r="K536" s="11"/>
      <c r="L536" s="11" t="s">
        <v>3051</v>
      </c>
      <c r="M536" s="11"/>
      <c r="N536" s="11"/>
      <c r="O536" s="11"/>
      <c r="P536" s="11" t="s">
        <v>102</v>
      </c>
      <c r="Q536" s="12">
        <v>116.623003</v>
      </c>
      <c r="R536" s="13">
        <v>23.67381</v>
      </c>
      <c r="S536" s="11" t="s">
        <v>3046</v>
      </c>
      <c r="T536" s="11"/>
      <c r="U536" s="11" t="s">
        <v>104</v>
      </c>
      <c r="V536" s="11" t="s">
        <v>105</v>
      </c>
      <c r="W536" s="11" t="s">
        <v>106</v>
      </c>
      <c r="X536" s="11"/>
      <c r="Y536" s="11"/>
      <c r="Z536" s="11"/>
      <c r="AA536" s="12">
        <v>535</v>
      </c>
      <c r="AB536" s="12"/>
      <c r="AC536" s="11" t="s">
        <v>107</v>
      </c>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row>
    <row r="537" spans="1:56" ht="56" x14ac:dyDescent="0.25">
      <c r="A537" s="11" t="s">
        <v>3052</v>
      </c>
      <c r="B537" s="11" t="s">
        <v>3053</v>
      </c>
      <c r="C537" s="11"/>
      <c r="D537" s="11" t="s">
        <v>91</v>
      </c>
      <c r="E537" s="11"/>
      <c r="F537" s="11" t="s">
        <v>3054</v>
      </c>
      <c r="G537" s="11" t="s">
        <v>3055</v>
      </c>
      <c r="H537" s="11" t="s">
        <v>94</v>
      </c>
      <c r="I537" s="11" t="s">
        <v>95</v>
      </c>
      <c r="J537" s="11" t="s">
        <v>96</v>
      </c>
      <c r="K537" s="11"/>
      <c r="L537" s="11" t="s">
        <v>3056</v>
      </c>
      <c r="M537" s="11"/>
      <c r="N537" s="11"/>
      <c r="O537" s="11"/>
      <c r="P537" s="11" t="s">
        <v>102</v>
      </c>
      <c r="Q537" s="12">
        <v>113.164002</v>
      </c>
      <c r="R537" s="13">
        <v>23.066115</v>
      </c>
      <c r="S537" s="11" t="s">
        <v>3052</v>
      </c>
      <c r="T537" s="11"/>
      <c r="U537" s="11" t="s">
        <v>104</v>
      </c>
      <c r="V537" s="11" t="s">
        <v>105</v>
      </c>
      <c r="W537" s="11" t="s">
        <v>106</v>
      </c>
      <c r="X537" s="11"/>
      <c r="Y537" s="11"/>
      <c r="Z537" s="11"/>
      <c r="AA537" s="12">
        <v>536</v>
      </c>
      <c r="AB537" s="12"/>
      <c r="AC537" s="11" t="s">
        <v>2505</v>
      </c>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row>
    <row r="538" spans="1:56" ht="56" x14ac:dyDescent="0.25">
      <c r="A538" s="11" t="s">
        <v>3057</v>
      </c>
      <c r="B538" s="11" t="s">
        <v>3058</v>
      </c>
      <c r="C538" s="11"/>
      <c r="D538" s="11" t="s">
        <v>91</v>
      </c>
      <c r="E538" s="11"/>
      <c r="F538" s="11" t="s">
        <v>3059</v>
      </c>
      <c r="G538" s="11" t="s">
        <v>3060</v>
      </c>
      <c r="H538" s="11" t="s">
        <v>94</v>
      </c>
      <c r="I538" s="11" t="s">
        <v>95</v>
      </c>
      <c r="J538" s="11" t="s">
        <v>1087</v>
      </c>
      <c r="K538" s="11"/>
      <c r="L538" s="11" t="s">
        <v>3061</v>
      </c>
      <c r="M538" s="11"/>
      <c r="N538" s="11"/>
      <c r="O538" s="11"/>
      <c r="P538" s="11" t="s">
        <v>102</v>
      </c>
      <c r="Q538" s="12">
        <v>113.10127300000001</v>
      </c>
      <c r="R538" s="13">
        <v>23.036294000000002</v>
      </c>
      <c r="S538" s="11" t="s">
        <v>3057</v>
      </c>
      <c r="T538" s="11"/>
      <c r="U538" s="11" t="s">
        <v>104</v>
      </c>
      <c r="V538" s="11" t="s">
        <v>105</v>
      </c>
      <c r="W538" s="11" t="s">
        <v>106</v>
      </c>
      <c r="X538" s="11"/>
      <c r="Y538" s="11"/>
      <c r="Z538" s="11"/>
      <c r="AA538" s="12">
        <v>537</v>
      </c>
      <c r="AB538" s="12"/>
      <c r="AC538" s="11" t="s">
        <v>2505</v>
      </c>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row>
    <row r="539" spans="1:56" ht="42" x14ac:dyDescent="0.25">
      <c r="A539" s="11" t="s">
        <v>3062</v>
      </c>
      <c r="B539" s="11" t="s">
        <v>3063</v>
      </c>
      <c r="C539" s="11"/>
      <c r="D539" s="11" t="s">
        <v>91</v>
      </c>
      <c r="E539" s="11"/>
      <c r="F539" s="11" t="s">
        <v>3064</v>
      </c>
      <c r="G539" s="11" t="s">
        <v>3065</v>
      </c>
      <c r="H539" s="11" t="s">
        <v>94</v>
      </c>
      <c r="I539" s="11" t="s">
        <v>112</v>
      </c>
      <c r="J539" s="11" t="s">
        <v>112</v>
      </c>
      <c r="K539" s="11"/>
      <c r="L539" s="11" t="s">
        <v>3066</v>
      </c>
      <c r="M539" s="11"/>
      <c r="N539" s="11"/>
      <c r="O539" s="11"/>
      <c r="P539" s="11" t="s">
        <v>102</v>
      </c>
      <c r="Q539" s="12">
        <v>113.662023</v>
      </c>
      <c r="R539" s="13">
        <v>22.930007</v>
      </c>
      <c r="S539" s="11" t="s">
        <v>3062</v>
      </c>
      <c r="T539" s="11"/>
      <c r="U539" s="11" t="s">
        <v>104</v>
      </c>
      <c r="V539" s="11" t="s">
        <v>105</v>
      </c>
      <c r="W539" s="11" t="s">
        <v>106</v>
      </c>
      <c r="X539" s="11"/>
      <c r="Y539" s="11"/>
      <c r="Z539" s="11"/>
      <c r="AA539" s="12">
        <v>538</v>
      </c>
      <c r="AB539" s="12"/>
      <c r="AC539" s="11" t="s">
        <v>2029</v>
      </c>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row>
    <row r="540" spans="1:56" ht="42" x14ac:dyDescent="0.25">
      <c r="A540" s="11" t="s">
        <v>3067</v>
      </c>
      <c r="B540" s="11" t="s">
        <v>3068</v>
      </c>
      <c r="C540" s="11"/>
      <c r="D540" s="11" t="s">
        <v>91</v>
      </c>
      <c r="E540" s="11"/>
      <c r="F540" s="11" t="s">
        <v>3069</v>
      </c>
      <c r="G540" s="11" t="s">
        <v>3070</v>
      </c>
      <c r="H540" s="11" t="s">
        <v>94</v>
      </c>
      <c r="I540" s="11" t="s">
        <v>112</v>
      </c>
      <c r="J540" s="11" t="s">
        <v>112</v>
      </c>
      <c r="K540" s="11"/>
      <c r="L540" s="11" t="s">
        <v>3071</v>
      </c>
      <c r="M540" s="11"/>
      <c r="N540" s="11"/>
      <c r="O540" s="11"/>
      <c r="P540" s="11" t="s">
        <v>102</v>
      </c>
      <c r="Q540" s="12">
        <v>113.778362</v>
      </c>
      <c r="R540" s="13">
        <v>22.782029000000001</v>
      </c>
      <c r="S540" s="11" t="s">
        <v>3067</v>
      </c>
      <c r="T540" s="11"/>
      <c r="U540" s="11" t="s">
        <v>104</v>
      </c>
      <c r="V540" s="11" t="s">
        <v>105</v>
      </c>
      <c r="W540" s="11" t="s">
        <v>106</v>
      </c>
      <c r="X540" s="11"/>
      <c r="Y540" s="11"/>
      <c r="Z540" s="11"/>
      <c r="AA540" s="12">
        <v>539</v>
      </c>
      <c r="AB540" s="12"/>
      <c r="AC540" s="11" t="s">
        <v>2029</v>
      </c>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row>
    <row r="541" spans="1:56" ht="42" x14ac:dyDescent="0.25">
      <c r="A541" s="11" t="s">
        <v>3072</v>
      </c>
      <c r="B541" s="11" t="s">
        <v>3073</v>
      </c>
      <c r="C541" s="11"/>
      <c r="D541" s="11" t="s">
        <v>91</v>
      </c>
      <c r="E541" s="11"/>
      <c r="F541" s="11" t="s">
        <v>3074</v>
      </c>
      <c r="G541" s="11" t="s">
        <v>3075</v>
      </c>
      <c r="H541" s="11" t="s">
        <v>94</v>
      </c>
      <c r="I541" s="11" t="s">
        <v>112</v>
      </c>
      <c r="J541" s="11" t="s">
        <v>112</v>
      </c>
      <c r="K541" s="11"/>
      <c r="L541" s="11" t="s">
        <v>3076</v>
      </c>
      <c r="M541" s="11"/>
      <c r="N541" s="11"/>
      <c r="O541" s="11"/>
      <c r="P541" s="11" t="s">
        <v>102</v>
      </c>
      <c r="Q541" s="12">
        <v>113.69978999999999</v>
      </c>
      <c r="R541" s="13">
        <v>22.836093999999999</v>
      </c>
      <c r="S541" s="11" t="s">
        <v>3072</v>
      </c>
      <c r="T541" s="11"/>
      <c r="U541" s="11" t="s">
        <v>104</v>
      </c>
      <c r="V541" s="11" t="s">
        <v>105</v>
      </c>
      <c r="W541" s="11" t="s">
        <v>106</v>
      </c>
      <c r="X541" s="11"/>
      <c r="Y541" s="11"/>
      <c r="Z541" s="11"/>
      <c r="AA541" s="12">
        <v>540</v>
      </c>
      <c r="AB541" s="12"/>
      <c r="AC541" s="11" t="s">
        <v>2029</v>
      </c>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row>
    <row r="542" spans="1:56" ht="56" x14ac:dyDescent="0.25">
      <c r="A542" s="11" t="s">
        <v>3077</v>
      </c>
      <c r="B542" s="11" t="s">
        <v>3078</v>
      </c>
      <c r="C542" s="11"/>
      <c r="D542" s="11" t="s">
        <v>91</v>
      </c>
      <c r="E542" s="11"/>
      <c r="F542" s="11" t="s">
        <v>3079</v>
      </c>
      <c r="G542" s="11" t="s">
        <v>3080</v>
      </c>
      <c r="H542" s="11" t="s">
        <v>94</v>
      </c>
      <c r="I542" s="11" t="s">
        <v>112</v>
      </c>
      <c r="J542" s="11" t="s">
        <v>112</v>
      </c>
      <c r="K542" s="11"/>
      <c r="L542" s="11" t="s">
        <v>3081</v>
      </c>
      <c r="M542" s="11"/>
      <c r="N542" s="11"/>
      <c r="O542" s="11"/>
      <c r="P542" s="11" t="s">
        <v>102</v>
      </c>
      <c r="Q542" s="12">
        <v>113.84020700000001</v>
      </c>
      <c r="R542" s="13">
        <v>22.90662</v>
      </c>
      <c r="S542" s="11" t="s">
        <v>3077</v>
      </c>
      <c r="T542" s="11"/>
      <c r="U542" s="11" t="s">
        <v>104</v>
      </c>
      <c r="V542" s="11" t="s">
        <v>105</v>
      </c>
      <c r="W542" s="11" t="s">
        <v>106</v>
      </c>
      <c r="X542" s="11"/>
      <c r="Y542" s="11"/>
      <c r="Z542" s="11"/>
      <c r="AA542" s="12">
        <v>541</v>
      </c>
      <c r="AB542" s="12"/>
      <c r="AC542" s="11" t="s">
        <v>2029</v>
      </c>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row>
    <row r="543" spans="1:56" ht="42" x14ac:dyDescent="0.25">
      <c r="A543" s="11" t="s">
        <v>3082</v>
      </c>
      <c r="B543" s="11" t="s">
        <v>3083</v>
      </c>
      <c r="C543" s="11"/>
      <c r="D543" s="11" t="s">
        <v>91</v>
      </c>
      <c r="E543" s="11"/>
      <c r="F543" s="11" t="s">
        <v>3084</v>
      </c>
      <c r="G543" s="11" t="s">
        <v>3085</v>
      </c>
      <c r="H543" s="11" t="s">
        <v>94</v>
      </c>
      <c r="I543" s="11" t="s">
        <v>112</v>
      </c>
      <c r="J543" s="11" t="s">
        <v>112</v>
      </c>
      <c r="K543" s="11"/>
      <c r="L543" s="11" t="s">
        <v>3086</v>
      </c>
      <c r="M543" s="11"/>
      <c r="N543" s="11"/>
      <c r="O543" s="11"/>
      <c r="P543" s="11" t="s">
        <v>102</v>
      </c>
      <c r="Q543" s="12">
        <v>113.79950100000001</v>
      </c>
      <c r="R543" s="13">
        <v>23.038671000000001</v>
      </c>
      <c r="S543" s="11" t="s">
        <v>3082</v>
      </c>
      <c r="T543" s="11"/>
      <c r="U543" s="11" t="s">
        <v>104</v>
      </c>
      <c r="V543" s="11" t="s">
        <v>105</v>
      </c>
      <c r="W543" s="11" t="s">
        <v>106</v>
      </c>
      <c r="X543" s="11"/>
      <c r="Y543" s="11"/>
      <c r="Z543" s="11"/>
      <c r="AA543" s="12">
        <v>542</v>
      </c>
      <c r="AB543" s="12"/>
      <c r="AC543" s="11" t="s">
        <v>2029</v>
      </c>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row>
    <row r="544" spans="1:56" ht="42" x14ac:dyDescent="0.25">
      <c r="A544" s="11" t="s">
        <v>3087</v>
      </c>
      <c r="B544" s="11" t="s">
        <v>3088</v>
      </c>
      <c r="C544" s="11"/>
      <c r="D544" s="11" t="s">
        <v>91</v>
      </c>
      <c r="E544" s="11"/>
      <c r="F544" s="11" t="s">
        <v>3089</v>
      </c>
      <c r="G544" s="11" t="s">
        <v>3090</v>
      </c>
      <c r="H544" s="11" t="s">
        <v>94</v>
      </c>
      <c r="I544" s="11" t="s">
        <v>112</v>
      </c>
      <c r="J544" s="11" t="s">
        <v>112</v>
      </c>
      <c r="K544" s="11"/>
      <c r="L544" s="11" t="s">
        <v>3091</v>
      </c>
      <c r="M544" s="11"/>
      <c r="N544" s="11"/>
      <c r="O544" s="11"/>
      <c r="P544" s="11" t="s">
        <v>102</v>
      </c>
      <c r="Q544" s="12">
        <v>113.993089</v>
      </c>
      <c r="R544" s="13">
        <v>22.980715</v>
      </c>
      <c r="S544" s="11" t="s">
        <v>3087</v>
      </c>
      <c r="T544" s="11"/>
      <c r="U544" s="11" t="s">
        <v>104</v>
      </c>
      <c r="V544" s="11" t="s">
        <v>105</v>
      </c>
      <c r="W544" s="11" t="s">
        <v>106</v>
      </c>
      <c r="X544" s="11"/>
      <c r="Y544" s="11"/>
      <c r="Z544" s="11"/>
      <c r="AA544" s="12">
        <v>543</v>
      </c>
      <c r="AB544" s="12"/>
      <c r="AC544" s="11" t="s">
        <v>2029</v>
      </c>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row>
    <row r="545" spans="1:56" ht="56" x14ac:dyDescent="0.25">
      <c r="A545" s="11" t="s">
        <v>3092</v>
      </c>
      <c r="B545" s="11" t="s">
        <v>3093</v>
      </c>
      <c r="C545" s="11"/>
      <c r="D545" s="11" t="s">
        <v>91</v>
      </c>
      <c r="E545" s="11"/>
      <c r="F545" s="11" t="s">
        <v>3094</v>
      </c>
      <c r="G545" s="11" t="s">
        <v>3095</v>
      </c>
      <c r="H545" s="11" t="s">
        <v>94</v>
      </c>
      <c r="I545" s="11" t="s">
        <v>112</v>
      </c>
      <c r="J545" s="11" t="s">
        <v>112</v>
      </c>
      <c r="K545" s="11"/>
      <c r="L545" s="11" t="s">
        <v>3096</v>
      </c>
      <c r="M545" s="11"/>
      <c r="N545" s="11"/>
      <c r="O545" s="11"/>
      <c r="P545" s="11" t="s">
        <v>102</v>
      </c>
      <c r="Q545" s="12">
        <v>114.095234</v>
      </c>
      <c r="R545" s="13">
        <v>22.818631</v>
      </c>
      <c r="S545" s="11" t="s">
        <v>3092</v>
      </c>
      <c r="T545" s="11"/>
      <c r="U545" s="11" t="s">
        <v>104</v>
      </c>
      <c r="V545" s="11" t="s">
        <v>105</v>
      </c>
      <c r="W545" s="11" t="s">
        <v>106</v>
      </c>
      <c r="X545" s="11"/>
      <c r="Y545" s="11"/>
      <c r="Z545" s="11"/>
      <c r="AA545" s="12">
        <v>544</v>
      </c>
      <c r="AB545" s="12"/>
      <c r="AC545" s="11" t="s">
        <v>2029</v>
      </c>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row>
    <row r="546" spans="1:56" ht="42" x14ac:dyDescent="0.25">
      <c r="A546" s="11" t="s">
        <v>3097</v>
      </c>
      <c r="B546" s="11" t="s">
        <v>3098</v>
      </c>
      <c r="C546" s="11"/>
      <c r="D546" s="11" t="s">
        <v>91</v>
      </c>
      <c r="E546" s="11"/>
      <c r="F546" s="11" t="s">
        <v>3099</v>
      </c>
      <c r="G546" s="11" t="s">
        <v>3100</v>
      </c>
      <c r="H546" s="11" t="s">
        <v>94</v>
      </c>
      <c r="I546" s="11" t="s">
        <v>112</v>
      </c>
      <c r="J546" s="11" t="s">
        <v>112</v>
      </c>
      <c r="K546" s="11"/>
      <c r="L546" s="11" t="s">
        <v>3101</v>
      </c>
      <c r="M546" s="11"/>
      <c r="N546" s="11"/>
      <c r="O546" s="11"/>
      <c r="P546" s="11" t="s">
        <v>102</v>
      </c>
      <c r="Q546" s="12">
        <v>113.963122</v>
      </c>
      <c r="R546" s="13">
        <v>23.019655</v>
      </c>
      <c r="S546" s="11" t="s">
        <v>3097</v>
      </c>
      <c r="T546" s="11"/>
      <c r="U546" s="11" t="s">
        <v>104</v>
      </c>
      <c r="V546" s="11" t="s">
        <v>105</v>
      </c>
      <c r="W546" s="11" t="s">
        <v>106</v>
      </c>
      <c r="X546" s="11"/>
      <c r="Y546" s="11"/>
      <c r="Z546" s="11"/>
      <c r="AA546" s="12">
        <v>545</v>
      </c>
      <c r="AB546" s="12"/>
      <c r="AC546" s="11" t="s">
        <v>2029</v>
      </c>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row>
    <row r="547" spans="1:56" ht="42" x14ac:dyDescent="0.25">
      <c r="A547" s="11" t="s">
        <v>3102</v>
      </c>
      <c r="B547" s="11" t="s">
        <v>3103</v>
      </c>
      <c r="C547" s="11"/>
      <c r="D547" s="11" t="s">
        <v>91</v>
      </c>
      <c r="E547" s="11"/>
      <c r="F547" s="11" t="s">
        <v>3104</v>
      </c>
      <c r="G547" s="11" t="s">
        <v>3105</v>
      </c>
      <c r="H547" s="11" t="s">
        <v>94</v>
      </c>
      <c r="I547" s="11" t="s">
        <v>351</v>
      </c>
      <c r="J547" s="11" t="s">
        <v>351</v>
      </c>
      <c r="K547" s="11"/>
      <c r="L547" s="11" t="s">
        <v>3106</v>
      </c>
      <c r="M547" s="11"/>
      <c r="N547" s="11"/>
      <c r="O547" s="11"/>
      <c r="P547" s="11" t="s">
        <v>102</v>
      </c>
      <c r="Q547" s="12">
        <v>113.47438099999999</v>
      </c>
      <c r="R547" s="13">
        <v>22.540752999999999</v>
      </c>
      <c r="S547" s="11" t="s">
        <v>3102</v>
      </c>
      <c r="T547" s="11"/>
      <c r="U547" s="11" t="s">
        <v>104</v>
      </c>
      <c r="V547" s="11" t="s">
        <v>105</v>
      </c>
      <c r="W547" s="11" t="s">
        <v>106</v>
      </c>
      <c r="X547" s="11"/>
      <c r="Y547" s="11"/>
      <c r="Z547" s="11"/>
      <c r="AA547" s="12">
        <v>546</v>
      </c>
      <c r="AB547" s="12"/>
      <c r="AC547" s="11" t="s">
        <v>2029</v>
      </c>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row>
    <row r="548" spans="1:56" ht="42" x14ac:dyDescent="0.25">
      <c r="A548" s="11" t="s">
        <v>3107</v>
      </c>
      <c r="B548" s="11" t="s">
        <v>3108</v>
      </c>
      <c r="C548" s="11"/>
      <c r="D548" s="11" t="s">
        <v>91</v>
      </c>
      <c r="E548" s="11"/>
      <c r="F548" s="11" t="s">
        <v>3109</v>
      </c>
      <c r="G548" s="11" t="s">
        <v>3110</v>
      </c>
      <c r="H548" s="11" t="s">
        <v>94</v>
      </c>
      <c r="I548" s="11" t="s">
        <v>351</v>
      </c>
      <c r="J548" s="11" t="s">
        <v>351</v>
      </c>
      <c r="K548" s="11"/>
      <c r="L548" s="11" t="s">
        <v>3111</v>
      </c>
      <c r="M548" s="11"/>
      <c r="N548" s="11"/>
      <c r="O548" s="11"/>
      <c r="P548" s="11" t="s">
        <v>102</v>
      </c>
      <c r="Q548" s="12">
        <v>113.33956499999999</v>
      </c>
      <c r="R548" s="13">
        <v>22.512944999999998</v>
      </c>
      <c r="S548" s="11" t="s">
        <v>3107</v>
      </c>
      <c r="T548" s="11"/>
      <c r="U548" s="11" t="s">
        <v>104</v>
      </c>
      <c r="V548" s="11" t="s">
        <v>105</v>
      </c>
      <c r="W548" s="11" t="s">
        <v>106</v>
      </c>
      <c r="X548" s="11"/>
      <c r="Y548" s="11"/>
      <c r="Z548" s="11"/>
      <c r="AA548" s="12">
        <v>547</v>
      </c>
      <c r="AB548" s="12"/>
      <c r="AC548" s="11" t="s">
        <v>2029</v>
      </c>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row>
    <row r="549" spans="1:56" ht="42" x14ac:dyDescent="0.25">
      <c r="A549" s="11" t="s">
        <v>3112</v>
      </c>
      <c r="B549" s="11" t="s">
        <v>3113</v>
      </c>
      <c r="C549" s="11"/>
      <c r="D549" s="11" t="s">
        <v>91</v>
      </c>
      <c r="E549" s="11"/>
      <c r="F549" s="11" t="s">
        <v>3114</v>
      </c>
      <c r="G549" s="11" t="s">
        <v>3115</v>
      </c>
      <c r="H549" s="11" t="s">
        <v>94</v>
      </c>
      <c r="I549" s="11" t="s">
        <v>351</v>
      </c>
      <c r="J549" s="11" t="s">
        <v>351</v>
      </c>
      <c r="K549" s="11"/>
      <c r="L549" s="11" t="s">
        <v>3116</v>
      </c>
      <c r="M549" s="11"/>
      <c r="N549" s="11"/>
      <c r="O549" s="11"/>
      <c r="P549" s="11" t="s">
        <v>102</v>
      </c>
      <c r="Q549" s="12">
        <v>113.246055</v>
      </c>
      <c r="R549" s="13">
        <v>22.665855000000001</v>
      </c>
      <c r="S549" s="11" t="s">
        <v>3112</v>
      </c>
      <c r="T549" s="11"/>
      <c r="U549" s="11" t="s">
        <v>104</v>
      </c>
      <c r="V549" s="11" t="s">
        <v>105</v>
      </c>
      <c r="W549" s="11" t="s">
        <v>106</v>
      </c>
      <c r="X549" s="11"/>
      <c r="Y549" s="11"/>
      <c r="Z549" s="11"/>
      <c r="AA549" s="12">
        <v>548</v>
      </c>
      <c r="AB549" s="12"/>
      <c r="AC549" s="11" t="s">
        <v>2029</v>
      </c>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row>
    <row r="550" spans="1:56" ht="42" x14ac:dyDescent="0.25">
      <c r="A550" s="11" t="s">
        <v>3117</v>
      </c>
      <c r="B550" s="11" t="s">
        <v>3118</v>
      </c>
      <c r="C550" s="11"/>
      <c r="D550" s="11" t="s">
        <v>91</v>
      </c>
      <c r="E550" s="11"/>
      <c r="F550" s="11" t="s">
        <v>3119</v>
      </c>
      <c r="G550" s="11" t="s">
        <v>3120</v>
      </c>
      <c r="H550" s="11" t="s">
        <v>94</v>
      </c>
      <c r="I550" s="11" t="s">
        <v>112</v>
      </c>
      <c r="J550" s="11" t="s">
        <v>112</v>
      </c>
      <c r="K550" s="11"/>
      <c r="L550" s="11" t="s">
        <v>3121</v>
      </c>
      <c r="M550" s="11"/>
      <c r="N550" s="11"/>
      <c r="O550" s="11"/>
      <c r="P550" s="11" t="s">
        <v>102</v>
      </c>
      <c r="Q550" s="12">
        <v>113.88238800000001</v>
      </c>
      <c r="R550" s="13">
        <v>22.979066</v>
      </c>
      <c r="S550" s="11" t="s">
        <v>3117</v>
      </c>
      <c r="T550" s="11"/>
      <c r="U550" s="11" t="s">
        <v>104</v>
      </c>
      <c r="V550" s="11" t="s">
        <v>105</v>
      </c>
      <c r="W550" s="11" t="s">
        <v>106</v>
      </c>
      <c r="X550" s="11"/>
      <c r="Y550" s="11"/>
      <c r="Z550" s="11"/>
      <c r="AA550" s="12">
        <v>549</v>
      </c>
      <c r="AB550" s="12"/>
      <c r="AC550" s="11" t="s">
        <v>2029</v>
      </c>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row>
    <row r="551" spans="1:56" ht="56" x14ac:dyDescent="0.25">
      <c r="A551" s="11" t="s">
        <v>3122</v>
      </c>
      <c r="B551" s="11" t="s">
        <v>3123</v>
      </c>
      <c r="C551" s="11"/>
      <c r="D551" s="11" t="s">
        <v>91</v>
      </c>
      <c r="E551" s="11"/>
      <c r="F551" s="11" t="s">
        <v>3124</v>
      </c>
      <c r="G551" s="11" t="s">
        <v>3125</v>
      </c>
      <c r="H551" s="11" t="s">
        <v>94</v>
      </c>
      <c r="I551" s="11" t="s">
        <v>112</v>
      </c>
      <c r="J551" s="11" t="s">
        <v>112</v>
      </c>
      <c r="K551" s="11"/>
      <c r="L551" s="11" t="s">
        <v>3126</v>
      </c>
      <c r="M551" s="11"/>
      <c r="N551" s="11"/>
      <c r="O551" s="11"/>
      <c r="P551" s="11" t="s">
        <v>102</v>
      </c>
      <c r="Q551" s="12">
        <v>113.68452000000001</v>
      </c>
      <c r="R551" s="13">
        <v>22.802619</v>
      </c>
      <c r="S551" s="11" t="s">
        <v>3122</v>
      </c>
      <c r="T551" s="11"/>
      <c r="U551" s="11" t="s">
        <v>104</v>
      </c>
      <c r="V551" s="11" t="s">
        <v>105</v>
      </c>
      <c r="W551" s="11" t="s">
        <v>106</v>
      </c>
      <c r="X551" s="11"/>
      <c r="Y551" s="11"/>
      <c r="Z551" s="11"/>
      <c r="AA551" s="12">
        <v>550</v>
      </c>
      <c r="AB551" s="12"/>
      <c r="AC551" s="11" t="s">
        <v>2029</v>
      </c>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row>
    <row r="552" spans="1:56" ht="56" x14ac:dyDescent="0.25">
      <c r="A552" s="11" t="s">
        <v>3127</v>
      </c>
      <c r="B552" s="11" t="s">
        <v>3128</v>
      </c>
      <c r="C552" s="11"/>
      <c r="D552" s="11" t="s">
        <v>91</v>
      </c>
      <c r="E552" s="11"/>
      <c r="F552" s="11" t="s">
        <v>3129</v>
      </c>
      <c r="G552" s="11" t="s">
        <v>3130</v>
      </c>
      <c r="H552" s="11" t="s">
        <v>94</v>
      </c>
      <c r="I552" s="11" t="s">
        <v>112</v>
      </c>
      <c r="J552" s="11" t="s">
        <v>112</v>
      </c>
      <c r="K552" s="11"/>
      <c r="L552" s="11" t="s">
        <v>3131</v>
      </c>
      <c r="M552" s="11"/>
      <c r="N552" s="11"/>
      <c r="O552" s="11"/>
      <c r="P552" s="11" t="s">
        <v>102</v>
      </c>
      <c r="Q552" s="12">
        <v>113.93360800000001</v>
      </c>
      <c r="R552" s="13">
        <v>22.936677</v>
      </c>
      <c r="S552" s="11" t="s">
        <v>3127</v>
      </c>
      <c r="T552" s="11"/>
      <c r="U552" s="11" t="s">
        <v>104</v>
      </c>
      <c r="V552" s="11" t="s">
        <v>105</v>
      </c>
      <c r="W552" s="11" t="s">
        <v>106</v>
      </c>
      <c r="X552" s="11"/>
      <c r="Y552" s="11"/>
      <c r="Z552" s="11"/>
      <c r="AA552" s="12">
        <v>551</v>
      </c>
      <c r="AB552" s="12"/>
      <c r="AC552" s="11" t="s">
        <v>2029</v>
      </c>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row>
    <row r="553" spans="1:56" ht="56" x14ac:dyDescent="0.25">
      <c r="A553" s="11" t="s">
        <v>3132</v>
      </c>
      <c r="B553" s="11" t="s">
        <v>3133</v>
      </c>
      <c r="C553" s="11"/>
      <c r="D553" s="11" t="s">
        <v>91</v>
      </c>
      <c r="E553" s="11"/>
      <c r="F553" s="11" t="s">
        <v>3134</v>
      </c>
      <c r="G553" s="11" t="s">
        <v>3135</v>
      </c>
      <c r="H553" s="11" t="s">
        <v>94</v>
      </c>
      <c r="I553" s="11" t="s">
        <v>112</v>
      </c>
      <c r="J553" s="11" t="s">
        <v>112</v>
      </c>
      <c r="K553" s="11"/>
      <c r="L553" s="11" t="s">
        <v>3136</v>
      </c>
      <c r="M553" s="11"/>
      <c r="N553" s="11"/>
      <c r="O553" s="11"/>
      <c r="P553" s="11" t="s">
        <v>102</v>
      </c>
      <c r="Q553" s="12">
        <v>113.840031</v>
      </c>
      <c r="R553" s="13">
        <v>22.984884000000001</v>
      </c>
      <c r="S553" s="11" t="s">
        <v>3132</v>
      </c>
      <c r="T553" s="11"/>
      <c r="U553" s="11" t="s">
        <v>104</v>
      </c>
      <c r="V553" s="11" t="s">
        <v>105</v>
      </c>
      <c r="W553" s="11" t="s">
        <v>106</v>
      </c>
      <c r="X553" s="11"/>
      <c r="Y553" s="11"/>
      <c r="Z553" s="11"/>
      <c r="AA553" s="12">
        <v>552</v>
      </c>
      <c r="AB553" s="12"/>
      <c r="AC553" s="11" t="s">
        <v>116</v>
      </c>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row>
    <row r="554" spans="1:56" ht="56" x14ac:dyDescent="0.25">
      <c r="A554" s="11" t="s">
        <v>3137</v>
      </c>
      <c r="B554" s="11" t="s">
        <v>3138</v>
      </c>
      <c r="C554" s="11"/>
      <c r="D554" s="11" t="s">
        <v>91</v>
      </c>
      <c r="E554" s="11"/>
      <c r="F554" s="11" t="s">
        <v>3139</v>
      </c>
      <c r="G554" s="11" t="s">
        <v>3140</v>
      </c>
      <c r="H554" s="11" t="s">
        <v>94</v>
      </c>
      <c r="I554" s="11" t="s">
        <v>112</v>
      </c>
      <c r="J554" s="11" t="s">
        <v>112</v>
      </c>
      <c r="K554" s="11"/>
      <c r="L554" s="11" t="s">
        <v>3141</v>
      </c>
      <c r="M554" s="11" t="s">
        <v>115</v>
      </c>
      <c r="N554" s="11" t="s">
        <v>174</v>
      </c>
      <c r="O554" s="11" t="s">
        <v>101</v>
      </c>
      <c r="P554" s="11" t="s">
        <v>102</v>
      </c>
      <c r="Q554" s="12">
        <v>114.15134</v>
      </c>
      <c r="R554" s="13">
        <v>22.791646</v>
      </c>
      <c r="S554" s="11" t="s">
        <v>3137</v>
      </c>
      <c r="T554" s="11"/>
      <c r="U554" s="11" t="s">
        <v>104</v>
      </c>
      <c r="V554" s="11" t="s">
        <v>105</v>
      </c>
      <c r="W554" s="11" t="s">
        <v>106</v>
      </c>
      <c r="X554" s="11"/>
      <c r="Y554" s="11"/>
      <c r="Z554" s="11"/>
      <c r="AA554" s="12">
        <v>553</v>
      </c>
      <c r="AB554" s="12"/>
      <c r="AC554" s="11" t="s">
        <v>116</v>
      </c>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row>
    <row r="555" spans="1:56" ht="56" x14ac:dyDescent="0.25">
      <c r="A555" s="11" t="s">
        <v>3142</v>
      </c>
      <c r="B555" s="11" t="s">
        <v>3143</v>
      </c>
      <c r="C555" s="11"/>
      <c r="D555" s="11" t="s">
        <v>91</v>
      </c>
      <c r="E555" s="11"/>
      <c r="F555" s="11" t="s">
        <v>3144</v>
      </c>
      <c r="G555" s="11" t="s">
        <v>3145</v>
      </c>
      <c r="H555" s="11" t="s">
        <v>94</v>
      </c>
      <c r="I555" s="11" t="s">
        <v>112</v>
      </c>
      <c r="J555" s="11" t="s">
        <v>112</v>
      </c>
      <c r="K555" s="11"/>
      <c r="L555" s="11" t="s">
        <v>3146</v>
      </c>
      <c r="M555" s="11"/>
      <c r="N555" s="11"/>
      <c r="O555" s="11"/>
      <c r="P555" s="11" t="s">
        <v>102</v>
      </c>
      <c r="Q555" s="12">
        <v>113.787595</v>
      </c>
      <c r="R555" s="13">
        <v>22.763878999999999</v>
      </c>
      <c r="S555" s="11" t="s">
        <v>3142</v>
      </c>
      <c r="T555" s="11"/>
      <c r="U555" s="11" t="s">
        <v>104</v>
      </c>
      <c r="V555" s="11" t="s">
        <v>105</v>
      </c>
      <c r="W555" s="11" t="s">
        <v>106</v>
      </c>
      <c r="X555" s="11"/>
      <c r="Y555" s="11"/>
      <c r="Z555" s="11"/>
      <c r="AA555" s="12">
        <v>554</v>
      </c>
      <c r="AB555" s="12"/>
      <c r="AC555" s="11" t="s">
        <v>116</v>
      </c>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row>
    <row r="556" spans="1:56" ht="56" x14ac:dyDescent="0.25">
      <c r="A556" s="11" t="s">
        <v>3147</v>
      </c>
      <c r="B556" s="11" t="s">
        <v>3148</v>
      </c>
      <c r="C556" s="11"/>
      <c r="D556" s="11" t="s">
        <v>91</v>
      </c>
      <c r="E556" s="11" t="s">
        <v>92</v>
      </c>
      <c r="F556" s="11" t="s">
        <v>3149</v>
      </c>
      <c r="G556" s="11" t="s">
        <v>3150</v>
      </c>
      <c r="H556" s="11" t="s">
        <v>94</v>
      </c>
      <c r="I556" s="11" t="s">
        <v>112</v>
      </c>
      <c r="J556" s="11" t="s">
        <v>112</v>
      </c>
      <c r="K556" s="11" t="s">
        <v>1285</v>
      </c>
      <c r="L556" s="11" t="s">
        <v>3151</v>
      </c>
      <c r="M556" s="11" t="s">
        <v>115</v>
      </c>
      <c r="N556" s="11" t="s">
        <v>174</v>
      </c>
      <c r="O556" s="11" t="s">
        <v>101</v>
      </c>
      <c r="P556" s="11" t="s">
        <v>102</v>
      </c>
      <c r="Q556" s="12">
        <v>114.05646</v>
      </c>
      <c r="R556" s="13">
        <v>22.795369999999998</v>
      </c>
      <c r="S556" s="11" t="s">
        <v>3147</v>
      </c>
      <c r="T556" s="11"/>
      <c r="U556" s="11" t="s">
        <v>104</v>
      </c>
      <c r="V556" s="11" t="s">
        <v>105</v>
      </c>
      <c r="W556" s="11" t="s">
        <v>106</v>
      </c>
      <c r="X556" s="11"/>
      <c r="Y556" s="11"/>
      <c r="Z556" s="11"/>
      <c r="AA556" s="12">
        <v>555</v>
      </c>
      <c r="AB556" s="12"/>
      <c r="AC556" s="11" t="s">
        <v>116</v>
      </c>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row>
    <row r="557" spans="1:56" ht="56" x14ac:dyDescent="0.25">
      <c r="A557" s="11" t="s">
        <v>3152</v>
      </c>
      <c r="B557" s="11" t="s">
        <v>3153</v>
      </c>
      <c r="C557" s="11"/>
      <c r="D557" s="11" t="s">
        <v>91</v>
      </c>
      <c r="E557" s="11"/>
      <c r="F557" s="11" t="s">
        <v>3154</v>
      </c>
      <c r="G557" s="11" t="s">
        <v>3155</v>
      </c>
      <c r="H557" s="11" t="s">
        <v>94</v>
      </c>
      <c r="I557" s="11" t="s">
        <v>112</v>
      </c>
      <c r="J557" s="11" t="s">
        <v>112</v>
      </c>
      <c r="K557" s="11"/>
      <c r="L557" s="11" t="s">
        <v>3156</v>
      </c>
      <c r="M557" s="11" t="s">
        <v>115</v>
      </c>
      <c r="N557" s="11"/>
      <c r="O557" s="11"/>
      <c r="P557" s="11" t="s">
        <v>102</v>
      </c>
      <c r="Q557" s="12">
        <v>113.973755</v>
      </c>
      <c r="R557" s="13">
        <v>23.019269000000001</v>
      </c>
      <c r="S557" s="11" t="s">
        <v>3152</v>
      </c>
      <c r="T557" s="11"/>
      <c r="U557" s="11" t="s">
        <v>104</v>
      </c>
      <c r="V557" s="11" t="s">
        <v>105</v>
      </c>
      <c r="W557" s="11" t="s">
        <v>106</v>
      </c>
      <c r="X557" s="11"/>
      <c r="Y557" s="11"/>
      <c r="Z557" s="11"/>
      <c r="AA557" s="12">
        <v>556</v>
      </c>
      <c r="AB557" s="12"/>
      <c r="AC557" s="11" t="s">
        <v>116</v>
      </c>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row>
    <row r="558" spans="1:56" ht="56" x14ac:dyDescent="0.25">
      <c r="A558" s="11" t="s">
        <v>3157</v>
      </c>
      <c r="B558" s="11" t="s">
        <v>3158</v>
      </c>
      <c r="C558" s="11"/>
      <c r="D558" s="11" t="s">
        <v>91</v>
      </c>
      <c r="E558" s="11"/>
      <c r="F558" s="11" t="s">
        <v>3159</v>
      </c>
      <c r="G558" s="11" t="s">
        <v>3160</v>
      </c>
      <c r="H558" s="11" t="s">
        <v>94</v>
      </c>
      <c r="I558" s="11" t="s">
        <v>112</v>
      </c>
      <c r="J558" s="11" t="s">
        <v>112</v>
      </c>
      <c r="K558" s="11"/>
      <c r="L558" s="11" t="s">
        <v>3161</v>
      </c>
      <c r="M558" s="11"/>
      <c r="N558" s="11"/>
      <c r="O558" s="11"/>
      <c r="P558" s="11" t="s">
        <v>102</v>
      </c>
      <c r="Q558" s="12">
        <v>114.011921</v>
      </c>
      <c r="R558" s="13">
        <v>22.967946999999999</v>
      </c>
      <c r="S558" s="11" t="s">
        <v>3157</v>
      </c>
      <c r="T558" s="11"/>
      <c r="U558" s="11" t="s">
        <v>104</v>
      </c>
      <c r="V558" s="11" t="s">
        <v>105</v>
      </c>
      <c r="W558" s="11" t="s">
        <v>106</v>
      </c>
      <c r="X558" s="11"/>
      <c r="Y558" s="11"/>
      <c r="Z558" s="11"/>
      <c r="AA558" s="12">
        <v>557</v>
      </c>
      <c r="AB558" s="12"/>
      <c r="AC558" s="11" t="s">
        <v>116</v>
      </c>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row>
    <row r="559" spans="1:56" ht="56" x14ac:dyDescent="0.25">
      <c r="A559" s="11" t="s">
        <v>3162</v>
      </c>
      <c r="B559" s="11" t="s">
        <v>3163</v>
      </c>
      <c r="C559" s="11"/>
      <c r="D559" s="11" t="s">
        <v>91</v>
      </c>
      <c r="E559" s="11"/>
      <c r="F559" s="11" t="s">
        <v>3164</v>
      </c>
      <c r="G559" s="11" t="s">
        <v>3165</v>
      </c>
      <c r="H559" s="11" t="s">
        <v>94</v>
      </c>
      <c r="I559" s="11" t="s">
        <v>112</v>
      </c>
      <c r="J559" s="11" t="s">
        <v>112</v>
      </c>
      <c r="K559" s="11"/>
      <c r="L559" s="11" t="s">
        <v>3166</v>
      </c>
      <c r="M559" s="11" t="s">
        <v>115</v>
      </c>
      <c r="N559" s="11"/>
      <c r="O559" s="11"/>
      <c r="P559" s="11" t="s">
        <v>102</v>
      </c>
      <c r="Q559" s="12">
        <v>113.749381</v>
      </c>
      <c r="R559" s="13">
        <v>22.786293000000001</v>
      </c>
      <c r="S559" s="11" t="s">
        <v>3162</v>
      </c>
      <c r="T559" s="11"/>
      <c r="U559" s="11" t="s">
        <v>104</v>
      </c>
      <c r="V559" s="11" t="s">
        <v>105</v>
      </c>
      <c r="W559" s="11" t="s">
        <v>106</v>
      </c>
      <c r="X559" s="11"/>
      <c r="Y559" s="11"/>
      <c r="Z559" s="11"/>
      <c r="AA559" s="12">
        <v>558</v>
      </c>
      <c r="AB559" s="12"/>
      <c r="AC559" s="11" t="s">
        <v>116</v>
      </c>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row>
    <row r="560" spans="1:56" ht="98" x14ac:dyDescent="0.25">
      <c r="A560" s="11" t="s">
        <v>3167</v>
      </c>
      <c r="B560" s="11" t="s">
        <v>3168</v>
      </c>
      <c r="C560" s="11"/>
      <c r="D560" s="11" t="s">
        <v>91</v>
      </c>
      <c r="E560" s="11"/>
      <c r="F560" s="11" t="s">
        <v>3169</v>
      </c>
      <c r="G560" s="11" t="s">
        <v>3170</v>
      </c>
      <c r="H560" s="11" t="s">
        <v>94</v>
      </c>
      <c r="I560" s="11" t="s">
        <v>112</v>
      </c>
      <c r="J560" s="11" t="s">
        <v>112</v>
      </c>
      <c r="K560" s="11"/>
      <c r="L560" s="11" t="s">
        <v>3171</v>
      </c>
      <c r="M560" s="11" t="s">
        <v>115</v>
      </c>
      <c r="N560" s="11" t="s">
        <v>174</v>
      </c>
      <c r="O560" s="11" t="s">
        <v>101</v>
      </c>
      <c r="P560" s="11" t="s">
        <v>102</v>
      </c>
      <c r="Q560" s="12">
        <v>114.08732000000001</v>
      </c>
      <c r="R560" s="13">
        <v>22.80415</v>
      </c>
      <c r="S560" s="11" t="s">
        <v>3167</v>
      </c>
      <c r="T560" s="11"/>
      <c r="U560" s="11" t="s">
        <v>104</v>
      </c>
      <c r="V560" s="11" t="s">
        <v>105</v>
      </c>
      <c r="W560" s="11" t="s">
        <v>106</v>
      </c>
      <c r="X560" s="11"/>
      <c r="Y560" s="11"/>
      <c r="Z560" s="11"/>
      <c r="AA560" s="12">
        <v>559</v>
      </c>
      <c r="AB560" s="12"/>
      <c r="AC560" s="11" t="s">
        <v>116</v>
      </c>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row>
    <row r="561" spans="1:56" ht="56" x14ac:dyDescent="0.25">
      <c r="A561" s="11" t="s">
        <v>3172</v>
      </c>
      <c r="B561" s="11" t="s">
        <v>3173</v>
      </c>
      <c r="C561" s="11"/>
      <c r="D561" s="11" t="s">
        <v>91</v>
      </c>
      <c r="E561" s="11"/>
      <c r="F561" s="11" t="s">
        <v>3174</v>
      </c>
      <c r="G561" s="11" t="s">
        <v>3175</v>
      </c>
      <c r="H561" s="11" t="s">
        <v>94</v>
      </c>
      <c r="I561" s="11" t="s">
        <v>112</v>
      </c>
      <c r="J561" s="11" t="s">
        <v>112</v>
      </c>
      <c r="K561" s="11"/>
      <c r="L561" s="11" t="s">
        <v>3176</v>
      </c>
      <c r="M561" s="11" t="s">
        <v>115</v>
      </c>
      <c r="N561" s="11"/>
      <c r="O561" s="11"/>
      <c r="P561" s="11" t="s">
        <v>102</v>
      </c>
      <c r="Q561" s="12">
        <v>113.998751</v>
      </c>
      <c r="R561" s="13">
        <v>22.901392000000001</v>
      </c>
      <c r="S561" s="11" t="s">
        <v>3172</v>
      </c>
      <c r="T561" s="11"/>
      <c r="U561" s="11" t="s">
        <v>104</v>
      </c>
      <c r="V561" s="11" t="s">
        <v>105</v>
      </c>
      <c r="W561" s="11" t="s">
        <v>106</v>
      </c>
      <c r="X561" s="11"/>
      <c r="Y561" s="11"/>
      <c r="Z561" s="11"/>
      <c r="AA561" s="12">
        <v>560</v>
      </c>
      <c r="AB561" s="12"/>
      <c r="AC561" s="11" t="s">
        <v>116</v>
      </c>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row>
    <row r="562" spans="1:56" ht="70" x14ac:dyDescent="0.25">
      <c r="A562" s="11" t="s">
        <v>3177</v>
      </c>
      <c r="B562" s="11" t="s">
        <v>3178</v>
      </c>
      <c r="C562" s="11"/>
      <c r="D562" s="11" t="s">
        <v>91</v>
      </c>
      <c r="E562" s="11"/>
      <c r="F562" s="11" t="s">
        <v>3179</v>
      </c>
      <c r="G562" s="11" t="s">
        <v>3180</v>
      </c>
      <c r="H562" s="11" t="s">
        <v>94</v>
      </c>
      <c r="I562" s="11" t="s">
        <v>112</v>
      </c>
      <c r="J562" s="11" t="s">
        <v>112</v>
      </c>
      <c r="K562" s="11"/>
      <c r="L562" s="11" t="s">
        <v>3181</v>
      </c>
      <c r="M562" s="11" t="s">
        <v>115</v>
      </c>
      <c r="N562" s="11"/>
      <c r="O562" s="11"/>
      <c r="P562" s="11" t="s">
        <v>102</v>
      </c>
      <c r="Q562" s="12">
        <v>113.854885</v>
      </c>
      <c r="R562" s="13">
        <v>23.096788</v>
      </c>
      <c r="S562" s="11" t="s">
        <v>3177</v>
      </c>
      <c r="T562" s="11"/>
      <c r="U562" s="11" t="s">
        <v>104</v>
      </c>
      <c r="V562" s="11" t="s">
        <v>105</v>
      </c>
      <c r="W562" s="11" t="s">
        <v>106</v>
      </c>
      <c r="X562" s="11"/>
      <c r="Y562" s="11"/>
      <c r="Z562" s="11"/>
      <c r="AA562" s="12">
        <v>561</v>
      </c>
      <c r="AB562" s="12"/>
      <c r="AC562" s="11" t="s">
        <v>116</v>
      </c>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row>
    <row r="563" spans="1:56" ht="56" x14ac:dyDescent="0.25">
      <c r="A563" s="11" t="s">
        <v>3182</v>
      </c>
      <c r="B563" s="11" t="s">
        <v>3183</v>
      </c>
      <c r="C563" s="11"/>
      <c r="D563" s="11" t="s">
        <v>91</v>
      </c>
      <c r="E563" s="11"/>
      <c r="F563" s="11" t="s">
        <v>3184</v>
      </c>
      <c r="G563" s="11" t="s">
        <v>3185</v>
      </c>
      <c r="H563" s="11" t="s">
        <v>94</v>
      </c>
      <c r="I563" s="11" t="s">
        <v>112</v>
      </c>
      <c r="J563" s="11" t="s">
        <v>112</v>
      </c>
      <c r="K563" s="11"/>
      <c r="L563" s="11" t="s">
        <v>3186</v>
      </c>
      <c r="M563" s="11" t="s">
        <v>115</v>
      </c>
      <c r="N563" s="11"/>
      <c r="O563" s="11"/>
      <c r="P563" s="11" t="s">
        <v>102</v>
      </c>
      <c r="Q563" s="12">
        <v>113.66082299999999</v>
      </c>
      <c r="R563" s="13">
        <v>22.894010999999999</v>
      </c>
      <c r="S563" s="11" t="s">
        <v>3182</v>
      </c>
      <c r="T563" s="11"/>
      <c r="U563" s="11" t="s">
        <v>104</v>
      </c>
      <c r="V563" s="11" t="s">
        <v>105</v>
      </c>
      <c r="W563" s="11" t="s">
        <v>106</v>
      </c>
      <c r="X563" s="11"/>
      <c r="Y563" s="11"/>
      <c r="Z563" s="11"/>
      <c r="AA563" s="12">
        <v>562</v>
      </c>
      <c r="AB563" s="12"/>
      <c r="AC563" s="11" t="s">
        <v>116</v>
      </c>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row>
    <row r="564" spans="1:56" ht="56" x14ac:dyDescent="0.25">
      <c r="A564" s="11" t="s">
        <v>3187</v>
      </c>
      <c r="B564" s="11" t="s">
        <v>3188</v>
      </c>
      <c r="C564" s="11"/>
      <c r="D564" s="11" t="s">
        <v>91</v>
      </c>
      <c r="E564" s="11"/>
      <c r="F564" s="11" t="s">
        <v>601</v>
      </c>
      <c r="G564" s="11" t="s">
        <v>3189</v>
      </c>
      <c r="H564" s="11" t="s">
        <v>94</v>
      </c>
      <c r="I564" s="11" t="s">
        <v>112</v>
      </c>
      <c r="J564" s="11" t="s">
        <v>112</v>
      </c>
      <c r="K564" s="11"/>
      <c r="L564" s="11" t="s">
        <v>3190</v>
      </c>
      <c r="M564" s="11"/>
      <c r="N564" s="11"/>
      <c r="O564" s="11"/>
      <c r="P564" s="11" t="s">
        <v>102</v>
      </c>
      <c r="Q564" s="12">
        <v>113.85678</v>
      </c>
      <c r="R564" s="13">
        <v>23.012376</v>
      </c>
      <c r="S564" s="11" t="s">
        <v>3187</v>
      </c>
      <c r="T564" s="11"/>
      <c r="U564" s="11" t="s">
        <v>104</v>
      </c>
      <c r="V564" s="11" t="s">
        <v>105</v>
      </c>
      <c r="W564" s="11" t="s">
        <v>106</v>
      </c>
      <c r="X564" s="11"/>
      <c r="Y564" s="11"/>
      <c r="Z564" s="11"/>
      <c r="AA564" s="12">
        <v>563</v>
      </c>
      <c r="AB564" s="12"/>
      <c r="AC564" s="11" t="s">
        <v>116</v>
      </c>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row>
    <row r="565" spans="1:56" ht="56" x14ac:dyDescent="0.25">
      <c r="A565" s="11" t="s">
        <v>3191</v>
      </c>
      <c r="B565" s="11" t="s">
        <v>3192</v>
      </c>
      <c r="C565" s="11"/>
      <c r="D565" s="11" t="s">
        <v>91</v>
      </c>
      <c r="E565" s="11"/>
      <c r="F565" s="11" t="s">
        <v>601</v>
      </c>
      <c r="G565" s="11" t="s">
        <v>3193</v>
      </c>
      <c r="H565" s="11" t="s">
        <v>94</v>
      </c>
      <c r="I565" s="11" t="s">
        <v>112</v>
      </c>
      <c r="J565" s="11" t="s">
        <v>112</v>
      </c>
      <c r="K565" s="11"/>
      <c r="L565" s="11" t="s">
        <v>3194</v>
      </c>
      <c r="M565" s="11"/>
      <c r="N565" s="11"/>
      <c r="O565" s="11"/>
      <c r="P565" s="11" t="s">
        <v>102</v>
      </c>
      <c r="Q565" s="12">
        <v>113.91071599999999</v>
      </c>
      <c r="R565" s="13">
        <v>22.950116999999999</v>
      </c>
      <c r="S565" s="11" t="s">
        <v>3191</v>
      </c>
      <c r="T565" s="11"/>
      <c r="U565" s="11" t="s">
        <v>104</v>
      </c>
      <c r="V565" s="11" t="s">
        <v>105</v>
      </c>
      <c r="W565" s="11" t="s">
        <v>106</v>
      </c>
      <c r="X565" s="11"/>
      <c r="Y565" s="11"/>
      <c r="Z565" s="11"/>
      <c r="AA565" s="12">
        <v>564</v>
      </c>
      <c r="AB565" s="12"/>
      <c r="AC565" s="11" t="s">
        <v>116</v>
      </c>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row>
    <row r="566" spans="1:56" ht="56" x14ac:dyDescent="0.25">
      <c r="A566" s="11" t="s">
        <v>3195</v>
      </c>
      <c r="B566" s="11" t="s">
        <v>3196</v>
      </c>
      <c r="C566" s="11"/>
      <c r="D566" s="11" t="s">
        <v>91</v>
      </c>
      <c r="E566" s="11"/>
      <c r="F566" s="11" t="s">
        <v>3197</v>
      </c>
      <c r="G566" s="11" t="s">
        <v>3198</v>
      </c>
      <c r="H566" s="11" t="s">
        <v>94</v>
      </c>
      <c r="I566" s="11" t="s">
        <v>112</v>
      </c>
      <c r="J566" s="11" t="s">
        <v>112</v>
      </c>
      <c r="K566" s="11"/>
      <c r="L566" s="11" t="s">
        <v>3199</v>
      </c>
      <c r="M566" s="11"/>
      <c r="N566" s="11"/>
      <c r="O566" s="11"/>
      <c r="P566" s="11" t="s">
        <v>102</v>
      </c>
      <c r="Q566" s="12">
        <v>113.917451</v>
      </c>
      <c r="R566" s="13">
        <v>22.879342999999999</v>
      </c>
      <c r="S566" s="11" t="s">
        <v>3195</v>
      </c>
      <c r="T566" s="11"/>
      <c r="U566" s="11" t="s">
        <v>104</v>
      </c>
      <c r="V566" s="11" t="s">
        <v>105</v>
      </c>
      <c r="W566" s="11" t="s">
        <v>106</v>
      </c>
      <c r="X566" s="11"/>
      <c r="Y566" s="11"/>
      <c r="Z566" s="11"/>
      <c r="AA566" s="12">
        <v>565</v>
      </c>
      <c r="AB566" s="12"/>
      <c r="AC566" s="11" t="s">
        <v>116</v>
      </c>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row>
    <row r="567" spans="1:56" ht="56" x14ac:dyDescent="0.25">
      <c r="A567" s="11" t="s">
        <v>3200</v>
      </c>
      <c r="B567" s="11" t="s">
        <v>3201</v>
      </c>
      <c r="C567" s="11"/>
      <c r="D567" s="11" t="s">
        <v>91</v>
      </c>
      <c r="E567" s="11" t="s">
        <v>92</v>
      </c>
      <c r="F567" s="11" t="s">
        <v>3202</v>
      </c>
      <c r="G567" s="11" t="s">
        <v>3203</v>
      </c>
      <c r="H567" s="11" t="s">
        <v>94</v>
      </c>
      <c r="I567" s="11" t="s">
        <v>95</v>
      </c>
      <c r="J567" s="11" t="s">
        <v>1056</v>
      </c>
      <c r="K567" s="11"/>
      <c r="L567" s="11" t="s">
        <v>3204</v>
      </c>
      <c r="M567" s="11" t="s">
        <v>115</v>
      </c>
      <c r="N567" s="11" t="s">
        <v>174</v>
      </c>
      <c r="O567" s="11" t="s">
        <v>101</v>
      </c>
      <c r="P567" s="11" t="s">
        <v>102</v>
      </c>
      <c r="Q567" s="12">
        <v>112.900927</v>
      </c>
      <c r="R567" s="13">
        <v>23.162925000000001</v>
      </c>
      <c r="S567" s="11" t="s">
        <v>3200</v>
      </c>
      <c r="T567" s="11"/>
      <c r="U567" s="11" t="s">
        <v>104</v>
      </c>
      <c r="V567" s="11" t="s">
        <v>105</v>
      </c>
      <c r="W567" s="11" t="s">
        <v>106</v>
      </c>
      <c r="X567" s="11"/>
      <c r="Y567" s="11"/>
      <c r="Z567" s="11"/>
      <c r="AA567" s="12">
        <v>566</v>
      </c>
      <c r="AB567" s="12"/>
      <c r="AC567" s="11" t="s">
        <v>116</v>
      </c>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row>
    <row r="568" spans="1:56" ht="70" x14ac:dyDescent="0.25">
      <c r="A568" s="11" t="s">
        <v>3205</v>
      </c>
      <c r="B568" s="11" t="s">
        <v>3206</v>
      </c>
      <c r="C568" s="11"/>
      <c r="D568" s="11" t="s">
        <v>91</v>
      </c>
      <c r="E568" s="11"/>
      <c r="F568" s="11" t="s">
        <v>601</v>
      </c>
      <c r="G568" s="11" t="s">
        <v>3207</v>
      </c>
      <c r="H568" s="11" t="s">
        <v>94</v>
      </c>
      <c r="I568" s="11" t="s">
        <v>112</v>
      </c>
      <c r="J568" s="11" t="s">
        <v>112</v>
      </c>
      <c r="K568" s="11"/>
      <c r="L568" s="11" t="s">
        <v>3208</v>
      </c>
      <c r="M568" s="11" t="s">
        <v>183</v>
      </c>
      <c r="N568" s="11"/>
      <c r="O568" s="11"/>
      <c r="P568" s="11" t="s">
        <v>102</v>
      </c>
      <c r="Q568" s="12">
        <v>113.715855</v>
      </c>
      <c r="R568" s="13">
        <v>22.976597000000002</v>
      </c>
      <c r="S568" s="11" t="s">
        <v>3205</v>
      </c>
      <c r="T568" s="11"/>
      <c r="U568" s="11" t="s">
        <v>104</v>
      </c>
      <c r="V568" s="11" t="s">
        <v>105</v>
      </c>
      <c r="W568" s="11" t="s">
        <v>106</v>
      </c>
      <c r="X568" s="11"/>
      <c r="Y568" s="11"/>
      <c r="Z568" s="11"/>
      <c r="AA568" s="12">
        <v>567</v>
      </c>
      <c r="AB568" s="12"/>
      <c r="AC568" s="11" t="s">
        <v>116</v>
      </c>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row>
    <row r="569" spans="1:56" ht="56" x14ac:dyDescent="0.25">
      <c r="A569" s="11" t="s">
        <v>3209</v>
      </c>
      <c r="B569" s="11" t="s">
        <v>3210</v>
      </c>
      <c r="C569" s="11"/>
      <c r="D569" s="11" t="s">
        <v>91</v>
      </c>
      <c r="E569" s="11"/>
      <c r="F569" s="11" t="s">
        <v>3211</v>
      </c>
      <c r="G569" s="11" t="s">
        <v>3212</v>
      </c>
      <c r="H569" s="11" t="s">
        <v>94</v>
      </c>
      <c r="I569" s="11" t="s">
        <v>112</v>
      </c>
      <c r="J569" s="11" t="s">
        <v>112</v>
      </c>
      <c r="K569" s="11"/>
      <c r="L569" s="11" t="s">
        <v>3213</v>
      </c>
      <c r="M569" s="11" t="s">
        <v>115</v>
      </c>
      <c r="N569" s="11"/>
      <c r="O569" s="11"/>
      <c r="P569" s="11" t="s">
        <v>102</v>
      </c>
      <c r="Q569" s="12">
        <v>113.896856</v>
      </c>
      <c r="R569" s="13">
        <v>22.985066</v>
      </c>
      <c r="S569" s="11" t="s">
        <v>3209</v>
      </c>
      <c r="T569" s="11"/>
      <c r="U569" s="11" t="s">
        <v>104</v>
      </c>
      <c r="V569" s="11" t="s">
        <v>105</v>
      </c>
      <c r="W569" s="11" t="s">
        <v>106</v>
      </c>
      <c r="X569" s="11"/>
      <c r="Y569" s="11"/>
      <c r="Z569" s="11"/>
      <c r="AA569" s="12">
        <v>568</v>
      </c>
      <c r="AB569" s="12"/>
      <c r="AC569" s="11" t="s">
        <v>116</v>
      </c>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row>
    <row r="570" spans="1:56" ht="56" x14ac:dyDescent="0.25">
      <c r="A570" s="11" t="s">
        <v>3214</v>
      </c>
      <c r="B570" s="11" t="s">
        <v>3215</v>
      </c>
      <c r="C570" s="11"/>
      <c r="D570" s="11" t="s">
        <v>91</v>
      </c>
      <c r="E570" s="11"/>
      <c r="F570" s="11" t="s">
        <v>601</v>
      </c>
      <c r="G570" s="11" t="s">
        <v>3216</v>
      </c>
      <c r="H570" s="11" t="s">
        <v>94</v>
      </c>
      <c r="I570" s="11" t="s">
        <v>95</v>
      </c>
      <c r="J570" s="11" t="s">
        <v>749</v>
      </c>
      <c r="K570" s="11"/>
      <c r="L570" s="11" t="s">
        <v>3217</v>
      </c>
      <c r="M570" s="11" t="s">
        <v>115</v>
      </c>
      <c r="N570" s="11"/>
      <c r="O570" s="11"/>
      <c r="P570" s="11" t="s">
        <v>102</v>
      </c>
      <c r="Q570" s="12">
        <v>113.15745800000001</v>
      </c>
      <c r="R570" s="13">
        <v>22.704049999999999</v>
      </c>
      <c r="S570" s="11" t="s">
        <v>3214</v>
      </c>
      <c r="T570" s="11"/>
      <c r="U570" s="11" t="s">
        <v>104</v>
      </c>
      <c r="V570" s="11" t="s">
        <v>105</v>
      </c>
      <c r="W570" s="11" t="s">
        <v>106</v>
      </c>
      <c r="X570" s="11"/>
      <c r="Y570" s="11"/>
      <c r="Z570" s="11"/>
      <c r="AA570" s="12">
        <v>569</v>
      </c>
      <c r="AB570" s="12"/>
      <c r="AC570" s="11" t="s">
        <v>116</v>
      </c>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row>
    <row r="571" spans="1:56" ht="56" x14ac:dyDescent="0.25">
      <c r="A571" s="11" t="s">
        <v>3218</v>
      </c>
      <c r="B571" s="11" t="s">
        <v>3219</v>
      </c>
      <c r="C571" s="11"/>
      <c r="D571" s="11" t="s">
        <v>91</v>
      </c>
      <c r="E571" s="11" t="s">
        <v>92</v>
      </c>
      <c r="F571" s="11" t="s">
        <v>601</v>
      </c>
      <c r="G571" s="11" t="s">
        <v>3220</v>
      </c>
      <c r="H571" s="11" t="s">
        <v>94</v>
      </c>
      <c r="I571" s="11" t="s">
        <v>112</v>
      </c>
      <c r="J571" s="11" t="s">
        <v>112</v>
      </c>
      <c r="K571" s="11" t="s">
        <v>3221</v>
      </c>
      <c r="L571" s="11" t="s">
        <v>3222</v>
      </c>
      <c r="M571" s="11" t="s">
        <v>115</v>
      </c>
      <c r="N571" s="11" t="s">
        <v>174</v>
      </c>
      <c r="O571" s="11" t="s">
        <v>101</v>
      </c>
      <c r="P571" s="11" t="s">
        <v>102</v>
      </c>
      <c r="Q571" s="12">
        <v>113.61854700000001</v>
      </c>
      <c r="R571" s="13">
        <v>22.906075999999999</v>
      </c>
      <c r="S571" s="11" t="s">
        <v>3218</v>
      </c>
      <c r="T571" s="11"/>
      <c r="U571" s="11" t="s">
        <v>104</v>
      </c>
      <c r="V571" s="11" t="s">
        <v>105</v>
      </c>
      <c r="W571" s="11" t="s">
        <v>106</v>
      </c>
      <c r="X571" s="11"/>
      <c r="Y571" s="11"/>
      <c r="Z571" s="11"/>
      <c r="AA571" s="12">
        <v>570</v>
      </c>
      <c r="AB571" s="12"/>
      <c r="AC571" s="11" t="s">
        <v>116</v>
      </c>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row>
    <row r="572" spans="1:56" ht="56" x14ac:dyDescent="0.25">
      <c r="A572" s="11" t="s">
        <v>3223</v>
      </c>
      <c r="B572" s="11" t="s">
        <v>3224</v>
      </c>
      <c r="C572" s="11"/>
      <c r="D572" s="11" t="s">
        <v>91</v>
      </c>
      <c r="E572" s="11"/>
      <c r="F572" s="11" t="s">
        <v>3225</v>
      </c>
      <c r="G572" s="11" t="s">
        <v>3226</v>
      </c>
      <c r="H572" s="11" t="s">
        <v>94</v>
      </c>
      <c r="I572" s="11" t="s">
        <v>112</v>
      </c>
      <c r="J572" s="11" t="s">
        <v>112</v>
      </c>
      <c r="K572" s="11"/>
      <c r="L572" s="11" t="s">
        <v>3227</v>
      </c>
      <c r="M572" s="11"/>
      <c r="N572" s="11"/>
      <c r="O572" s="11"/>
      <c r="P572" s="11" t="s">
        <v>102</v>
      </c>
      <c r="Q572" s="12">
        <v>113.666676</v>
      </c>
      <c r="R572" s="13">
        <v>22.933575999999999</v>
      </c>
      <c r="S572" s="11" t="s">
        <v>3223</v>
      </c>
      <c r="T572" s="11"/>
      <c r="U572" s="11" t="s">
        <v>104</v>
      </c>
      <c r="V572" s="11" t="s">
        <v>105</v>
      </c>
      <c r="W572" s="11" t="s">
        <v>106</v>
      </c>
      <c r="X572" s="11"/>
      <c r="Y572" s="11"/>
      <c r="Z572" s="11"/>
      <c r="AA572" s="12">
        <v>571</v>
      </c>
      <c r="AB572" s="12"/>
      <c r="AC572" s="11" t="s">
        <v>116</v>
      </c>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row>
    <row r="573" spans="1:56" ht="84" x14ac:dyDescent="0.25">
      <c r="A573" s="11" t="s">
        <v>3228</v>
      </c>
      <c r="B573" s="11" t="s">
        <v>3229</v>
      </c>
      <c r="C573" s="11"/>
      <c r="D573" s="11" t="s">
        <v>91</v>
      </c>
      <c r="E573" s="11"/>
      <c r="F573" s="11" t="s">
        <v>601</v>
      </c>
      <c r="G573" s="11" t="s">
        <v>3230</v>
      </c>
      <c r="H573" s="11" t="s">
        <v>94</v>
      </c>
      <c r="I573" s="11" t="s">
        <v>112</v>
      </c>
      <c r="J573" s="11" t="s">
        <v>112</v>
      </c>
      <c r="K573" s="11"/>
      <c r="L573" s="11" t="s">
        <v>3231</v>
      </c>
      <c r="M573" s="11" t="s">
        <v>115</v>
      </c>
      <c r="N573" s="11"/>
      <c r="O573" s="11"/>
      <c r="P573" s="11" t="s">
        <v>102</v>
      </c>
      <c r="Q573" s="12">
        <v>114.163757</v>
      </c>
      <c r="R573" s="13">
        <v>22.737857000000002</v>
      </c>
      <c r="S573" s="11" t="s">
        <v>3228</v>
      </c>
      <c r="T573" s="11"/>
      <c r="U573" s="11" t="s">
        <v>104</v>
      </c>
      <c r="V573" s="11" t="s">
        <v>105</v>
      </c>
      <c r="W573" s="11" t="s">
        <v>106</v>
      </c>
      <c r="X573" s="11"/>
      <c r="Y573" s="11"/>
      <c r="Z573" s="11"/>
      <c r="AA573" s="12">
        <v>572</v>
      </c>
      <c r="AB573" s="12"/>
      <c r="AC573" s="11" t="s">
        <v>116</v>
      </c>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row>
    <row r="574" spans="1:56" ht="56" x14ac:dyDescent="0.25">
      <c r="A574" s="11" t="s">
        <v>3232</v>
      </c>
      <c r="B574" s="11" t="s">
        <v>3233</v>
      </c>
      <c r="C574" s="11"/>
      <c r="D574" s="11" t="s">
        <v>91</v>
      </c>
      <c r="E574" s="11"/>
      <c r="F574" s="11" t="s">
        <v>601</v>
      </c>
      <c r="G574" s="11" t="s">
        <v>3234</v>
      </c>
      <c r="H574" s="11" t="s">
        <v>94</v>
      </c>
      <c r="I574" s="11" t="s">
        <v>112</v>
      </c>
      <c r="J574" s="11" t="s">
        <v>112</v>
      </c>
      <c r="K574" s="11"/>
      <c r="L574" s="11" t="s">
        <v>3235</v>
      </c>
      <c r="M574" s="11" t="s">
        <v>115</v>
      </c>
      <c r="N574" s="11"/>
      <c r="O574" s="11"/>
      <c r="P574" s="11" t="s">
        <v>102</v>
      </c>
      <c r="Q574" s="12">
        <v>114.142988</v>
      </c>
      <c r="R574" s="13">
        <v>22.747754</v>
      </c>
      <c r="S574" s="11" t="s">
        <v>3232</v>
      </c>
      <c r="T574" s="11"/>
      <c r="U574" s="11" t="s">
        <v>104</v>
      </c>
      <c r="V574" s="11" t="s">
        <v>105</v>
      </c>
      <c r="W574" s="11" t="s">
        <v>106</v>
      </c>
      <c r="X574" s="11"/>
      <c r="Y574" s="11"/>
      <c r="Z574" s="11"/>
      <c r="AA574" s="12">
        <v>573</v>
      </c>
      <c r="AB574" s="12"/>
      <c r="AC574" s="11" t="s">
        <v>116</v>
      </c>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row>
    <row r="575" spans="1:56" ht="56" x14ac:dyDescent="0.25">
      <c r="A575" s="11" t="s">
        <v>3236</v>
      </c>
      <c r="B575" s="11" t="s">
        <v>3237</v>
      </c>
      <c r="C575" s="11"/>
      <c r="D575" s="11" t="s">
        <v>91</v>
      </c>
      <c r="E575" s="11"/>
      <c r="F575" s="11" t="s">
        <v>601</v>
      </c>
      <c r="G575" s="11" t="s">
        <v>3238</v>
      </c>
      <c r="H575" s="11" t="s">
        <v>94</v>
      </c>
      <c r="I575" s="11" t="s">
        <v>112</v>
      </c>
      <c r="J575" s="11" t="s">
        <v>112</v>
      </c>
      <c r="K575" s="11"/>
      <c r="L575" s="11" t="s">
        <v>3239</v>
      </c>
      <c r="M575" s="11"/>
      <c r="N575" s="11"/>
      <c r="O575" s="11"/>
      <c r="P575" s="11" t="s">
        <v>102</v>
      </c>
      <c r="Q575" s="12">
        <v>113.84225600000001</v>
      </c>
      <c r="R575" s="13">
        <v>22.895201</v>
      </c>
      <c r="S575" s="11" t="s">
        <v>3236</v>
      </c>
      <c r="T575" s="11"/>
      <c r="U575" s="11" t="s">
        <v>104</v>
      </c>
      <c r="V575" s="11" t="s">
        <v>105</v>
      </c>
      <c r="W575" s="11" t="s">
        <v>106</v>
      </c>
      <c r="X575" s="11"/>
      <c r="Y575" s="11"/>
      <c r="Z575" s="11"/>
      <c r="AA575" s="12">
        <v>574</v>
      </c>
      <c r="AB575" s="12"/>
      <c r="AC575" s="11" t="s">
        <v>116</v>
      </c>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row>
    <row r="576" spans="1:56" ht="56" x14ac:dyDescent="0.25">
      <c r="A576" s="11" t="s">
        <v>3240</v>
      </c>
      <c r="B576" s="11" t="s">
        <v>3241</v>
      </c>
      <c r="C576" s="11"/>
      <c r="D576" s="11" t="s">
        <v>91</v>
      </c>
      <c r="E576" s="11"/>
      <c r="F576" s="11" t="s">
        <v>601</v>
      </c>
      <c r="G576" s="11" t="s">
        <v>3242</v>
      </c>
      <c r="H576" s="11" t="s">
        <v>94</v>
      </c>
      <c r="I576" s="11" t="s">
        <v>112</v>
      </c>
      <c r="J576" s="11" t="s">
        <v>112</v>
      </c>
      <c r="K576" s="11"/>
      <c r="L576" s="11" t="s">
        <v>3243</v>
      </c>
      <c r="M576" s="11"/>
      <c r="N576" s="11"/>
      <c r="O576" s="11"/>
      <c r="P576" s="11" t="s">
        <v>102</v>
      </c>
      <c r="Q576" s="12">
        <v>113.94634600000001</v>
      </c>
      <c r="R576" s="13">
        <v>22.937583</v>
      </c>
      <c r="S576" s="11" t="s">
        <v>3240</v>
      </c>
      <c r="T576" s="11"/>
      <c r="U576" s="11" t="s">
        <v>104</v>
      </c>
      <c r="V576" s="11" t="s">
        <v>105</v>
      </c>
      <c r="W576" s="11" t="s">
        <v>106</v>
      </c>
      <c r="X576" s="11"/>
      <c r="Y576" s="11"/>
      <c r="Z576" s="11"/>
      <c r="AA576" s="12">
        <v>575</v>
      </c>
      <c r="AB576" s="12"/>
      <c r="AC576" s="11" t="s">
        <v>116</v>
      </c>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row>
    <row r="577" spans="1:56" ht="70" x14ac:dyDescent="0.25">
      <c r="A577" s="11" t="s">
        <v>3244</v>
      </c>
      <c r="B577" s="11" t="s">
        <v>3245</v>
      </c>
      <c r="C577" s="11"/>
      <c r="D577" s="11" t="s">
        <v>91</v>
      </c>
      <c r="E577" s="11"/>
      <c r="F577" s="11" t="s">
        <v>601</v>
      </c>
      <c r="G577" s="11" t="s">
        <v>3246</v>
      </c>
      <c r="H577" s="11" t="s">
        <v>94</v>
      </c>
      <c r="I577" s="11" t="s">
        <v>112</v>
      </c>
      <c r="J577" s="11" t="s">
        <v>112</v>
      </c>
      <c r="K577" s="11"/>
      <c r="L577" s="11" t="s">
        <v>3247</v>
      </c>
      <c r="M577" s="11"/>
      <c r="N577" s="11"/>
      <c r="O577" s="11"/>
      <c r="P577" s="11" t="s">
        <v>102</v>
      </c>
      <c r="Q577" s="12">
        <v>113.80717799999999</v>
      </c>
      <c r="R577" s="13">
        <v>22.915237999999999</v>
      </c>
      <c r="S577" s="11" t="s">
        <v>3244</v>
      </c>
      <c r="T577" s="11"/>
      <c r="U577" s="11" t="s">
        <v>104</v>
      </c>
      <c r="V577" s="11" t="s">
        <v>105</v>
      </c>
      <c r="W577" s="11" t="s">
        <v>106</v>
      </c>
      <c r="X577" s="11"/>
      <c r="Y577" s="11"/>
      <c r="Z577" s="11"/>
      <c r="AA577" s="12">
        <v>576</v>
      </c>
      <c r="AB577" s="12"/>
      <c r="AC577" s="11" t="s">
        <v>116</v>
      </c>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row>
    <row r="578" spans="1:56" ht="56" x14ac:dyDescent="0.25">
      <c r="A578" s="11" t="s">
        <v>3248</v>
      </c>
      <c r="B578" s="11" t="s">
        <v>3249</v>
      </c>
      <c r="C578" s="11"/>
      <c r="D578" s="11" t="s">
        <v>91</v>
      </c>
      <c r="E578" s="11"/>
      <c r="F578" s="11" t="s">
        <v>3250</v>
      </c>
      <c r="G578" s="11" t="s">
        <v>3251</v>
      </c>
      <c r="H578" s="11" t="s">
        <v>94</v>
      </c>
      <c r="I578" s="11" t="s">
        <v>112</v>
      </c>
      <c r="J578" s="11" t="s">
        <v>112</v>
      </c>
      <c r="K578" s="11"/>
      <c r="L578" s="11" t="s">
        <v>3252</v>
      </c>
      <c r="M578" s="11"/>
      <c r="N578" s="11"/>
      <c r="O578" s="11"/>
      <c r="P578" s="11" t="s">
        <v>102</v>
      </c>
      <c r="Q578" s="12">
        <v>113.809455</v>
      </c>
      <c r="R578" s="13">
        <v>22.813003999999999</v>
      </c>
      <c r="S578" s="11" t="s">
        <v>3248</v>
      </c>
      <c r="T578" s="11"/>
      <c r="U578" s="11" t="s">
        <v>104</v>
      </c>
      <c r="V578" s="11" t="s">
        <v>105</v>
      </c>
      <c r="W578" s="11" t="s">
        <v>106</v>
      </c>
      <c r="X578" s="11"/>
      <c r="Y578" s="11"/>
      <c r="Z578" s="11"/>
      <c r="AA578" s="12">
        <v>577</v>
      </c>
      <c r="AB578" s="12"/>
      <c r="AC578" s="11" t="s">
        <v>116</v>
      </c>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row>
    <row r="579" spans="1:56" ht="56" x14ac:dyDescent="0.25">
      <c r="A579" s="11" t="s">
        <v>3253</v>
      </c>
      <c r="B579" s="11" t="s">
        <v>3254</v>
      </c>
      <c r="C579" s="11"/>
      <c r="D579" s="11" t="s">
        <v>91</v>
      </c>
      <c r="E579" s="11"/>
      <c r="F579" s="11" t="s">
        <v>601</v>
      </c>
      <c r="G579" s="11" t="s">
        <v>3255</v>
      </c>
      <c r="H579" s="11" t="s">
        <v>94</v>
      </c>
      <c r="I579" s="11" t="s">
        <v>112</v>
      </c>
      <c r="J579" s="11" t="s">
        <v>112</v>
      </c>
      <c r="K579" s="11"/>
      <c r="L579" s="11" t="s">
        <v>3256</v>
      </c>
      <c r="M579" s="11"/>
      <c r="N579" s="11"/>
      <c r="O579" s="11"/>
      <c r="P579" s="11" t="s">
        <v>102</v>
      </c>
      <c r="Q579" s="12">
        <v>113.659209</v>
      </c>
      <c r="R579" s="13">
        <v>23.098552999999999</v>
      </c>
      <c r="S579" s="11" t="s">
        <v>3253</v>
      </c>
      <c r="T579" s="11"/>
      <c r="U579" s="11" t="s">
        <v>104</v>
      </c>
      <c r="V579" s="11" t="s">
        <v>105</v>
      </c>
      <c r="W579" s="11" t="s">
        <v>106</v>
      </c>
      <c r="X579" s="11"/>
      <c r="Y579" s="11"/>
      <c r="Z579" s="11"/>
      <c r="AA579" s="12">
        <v>578</v>
      </c>
      <c r="AB579" s="12"/>
      <c r="AC579" s="11" t="s">
        <v>116</v>
      </c>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row>
    <row r="580" spans="1:56" ht="56" x14ac:dyDescent="0.25">
      <c r="A580" s="11" t="s">
        <v>3257</v>
      </c>
      <c r="B580" s="11" t="s">
        <v>3258</v>
      </c>
      <c r="C580" s="11"/>
      <c r="D580" s="11" t="s">
        <v>91</v>
      </c>
      <c r="E580" s="11"/>
      <c r="F580" s="11" t="s">
        <v>601</v>
      </c>
      <c r="G580" s="11" t="s">
        <v>3259</v>
      </c>
      <c r="H580" s="11" t="s">
        <v>94</v>
      </c>
      <c r="I580" s="11" t="s">
        <v>112</v>
      </c>
      <c r="J580" s="11" t="s">
        <v>112</v>
      </c>
      <c r="K580" s="11"/>
      <c r="L580" s="11" t="s">
        <v>3260</v>
      </c>
      <c r="M580" s="11" t="s">
        <v>115</v>
      </c>
      <c r="N580" s="11" t="s">
        <v>174</v>
      </c>
      <c r="O580" s="11" t="s">
        <v>101</v>
      </c>
      <c r="P580" s="11" t="s">
        <v>102</v>
      </c>
      <c r="Q580" s="12">
        <v>113.74387</v>
      </c>
      <c r="R580" s="13">
        <v>23.026643</v>
      </c>
      <c r="S580" s="11" t="s">
        <v>3257</v>
      </c>
      <c r="T580" s="11"/>
      <c r="U580" s="11" t="s">
        <v>104</v>
      </c>
      <c r="V580" s="11" t="s">
        <v>105</v>
      </c>
      <c r="W580" s="11" t="s">
        <v>106</v>
      </c>
      <c r="X580" s="11"/>
      <c r="Y580" s="11"/>
      <c r="Z580" s="11"/>
      <c r="AA580" s="12">
        <v>579</v>
      </c>
      <c r="AB580" s="12"/>
      <c r="AC580" s="11" t="s">
        <v>116</v>
      </c>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row>
    <row r="581" spans="1:56" ht="56" x14ac:dyDescent="0.25">
      <c r="A581" s="11" t="s">
        <v>3261</v>
      </c>
      <c r="B581" s="11" t="s">
        <v>3262</v>
      </c>
      <c r="C581" s="11"/>
      <c r="D581" s="11" t="s">
        <v>91</v>
      </c>
      <c r="E581" s="11"/>
      <c r="F581" s="11" t="s">
        <v>601</v>
      </c>
      <c r="G581" s="11" t="s">
        <v>3263</v>
      </c>
      <c r="H581" s="11" t="s">
        <v>94</v>
      </c>
      <c r="I581" s="11" t="s">
        <v>112</v>
      </c>
      <c r="J581" s="11" t="s">
        <v>112</v>
      </c>
      <c r="K581" s="11"/>
      <c r="L581" s="11" t="s">
        <v>3264</v>
      </c>
      <c r="M581" s="11" t="s">
        <v>115</v>
      </c>
      <c r="N581" s="11"/>
      <c r="O581" s="11"/>
      <c r="P581" s="11" t="s">
        <v>102</v>
      </c>
      <c r="Q581" s="12">
        <v>113.75251900000001</v>
      </c>
      <c r="R581" s="13">
        <v>23.091474000000002</v>
      </c>
      <c r="S581" s="11" t="s">
        <v>3261</v>
      </c>
      <c r="T581" s="11"/>
      <c r="U581" s="11" t="s">
        <v>104</v>
      </c>
      <c r="V581" s="11" t="s">
        <v>105</v>
      </c>
      <c r="W581" s="11" t="s">
        <v>106</v>
      </c>
      <c r="X581" s="11"/>
      <c r="Y581" s="11"/>
      <c r="Z581" s="11"/>
      <c r="AA581" s="12">
        <v>580</v>
      </c>
      <c r="AB581" s="12"/>
      <c r="AC581" s="11" t="s">
        <v>116</v>
      </c>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row>
    <row r="582" spans="1:56" ht="56" x14ac:dyDescent="0.25">
      <c r="A582" s="11" t="s">
        <v>3265</v>
      </c>
      <c r="B582" s="11" t="s">
        <v>3266</v>
      </c>
      <c r="C582" s="11"/>
      <c r="D582" s="11" t="s">
        <v>91</v>
      </c>
      <c r="E582" s="11"/>
      <c r="F582" s="11" t="s">
        <v>601</v>
      </c>
      <c r="G582" s="11" t="s">
        <v>3246</v>
      </c>
      <c r="H582" s="11" t="s">
        <v>94</v>
      </c>
      <c r="I582" s="11" t="s">
        <v>112</v>
      </c>
      <c r="J582" s="11" t="s">
        <v>112</v>
      </c>
      <c r="K582" s="11"/>
      <c r="L582" s="11" t="s">
        <v>3267</v>
      </c>
      <c r="M582" s="11"/>
      <c r="N582" s="11"/>
      <c r="O582" s="11"/>
      <c r="P582" s="11" t="s">
        <v>102</v>
      </c>
      <c r="Q582" s="12">
        <v>113.78909</v>
      </c>
      <c r="R582" s="13">
        <v>22.808465000000002</v>
      </c>
      <c r="S582" s="11" t="s">
        <v>3265</v>
      </c>
      <c r="T582" s="11"/>
      <c r="U582" s="11" t="s">
        <v>104</v>
      </c>
      <c r="V582" s="11" t="s">
        <v>105</v>
      </c>
      <c r="W582" s="11" t="s">
        <v>106</v>
      </c>
      <c r="X582" s="11"/>
      <c r="Y582" s="11"/>
      <c r="Z582" s="11"/>
      <c r="AA582" s="12">
        <v>581</v>
      </c>
      <c r="AB582" s="12"/>
      <c r="AC582" s="11" t="s">
        <v>116</v>
      </c>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row>
    <row r="583" spans="1:56" ht="56" x14ac:dyDescent="0.25">
      <c r="A583" s="11" t="s">
        <v>3268</v>
      </c>
      <c r="B583" s="11" t="s">
        <v>3269</v>
      </c>
      <c r="C583" s="11"/>
      <c r="D583" s="11" t="s">
        <v>91</v>
      </c>
      <c r="E583" s="11"/>
      <c r="F583" s="11" t="s">
        <v>3270</v>
      </c>
      <c r="G583" s="11" t="s">
        <v>3271</v>
      </c>
      <c r="H583" s="11" t="s">
        <v>94</v>
      </c>
      <c r="I583" s="11" t="s">
        <v>112</v>
      </c>
      <c r="J583" s="11" t="s">
        <v>112</v>
      </c>
      <c r="K583" s="11"/>
      <c r="L583" s="11" t="s">
        <v>3272</v>
      </c>
      <c r="M583" s="11" t="s">
        <v>115</v>
      </c>
      <c r="N583" s="11"/>
      <c r="O583" s="11"/>
      <c r="P583" s="11" t="s">
        <v>102</v>
      </c>
      <c r="Q583" s="12">
        <v>113.572911</v>
      </c>
      <c r="R583" s="13">
        <v>23.055219000000001</v>
      </c>
      <c r="S583" s="11" t="s">
        <v>3268</v>
      </c>
      <c r="T583" s="11"/>
      <c r="U583" s="11" t="s">
        <v>104</v>
      </c>
      <c r="V583" s="11" t="s">
        <v>105</v>
      </c>
      <c r="W583" s="11" t="s">
        <v>106</v>
      </c>
      <c r="X583" s="11"/>
      <c r="Y583" s="11"/>
      <c r="Z583" s="11"/>
      <c r="AA583" s="12">
        <v>582</v>
      </c>
      <c r="AB583" s="12"/>
      <c r="AC583" s="11" t="s">
        <v>116</v>
      </c>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row>
    <row r="584" spans="1:56" ht="70" x14ac:dyDescent="0.25">
      <c r="A584" s="11" t="s">
        <v>3273</v>
      </c>
      <c r="B584" s="11" t="s">
        <v>3274</v>
      </c>
      <c r="C584" s="11"/>
      <c r="D584" s="11" t="s">
        <v>91</v>
      </c>
      <c r="E584" s="11" t="s">
        <v>92</v>
      </c>
      <c r="F584" s="11" t="s">
        <v>3275</v>
      </c>
      <c r="G584" s="11" t="s">
        <v>3276</v>
      </c>
      <c r="H584" s="11" t="s">
        <v>94</v>
      </c>
      <c r="I584" s="11" t="s">
        <v>112</v>
      </c>
      <c r="J584" s="11" t="s">
        <v>112</v>
      </c>
      <c r="K584" s="11"/>
      <c r="L584" s="11" t="s">
        <v>3277</v>
      </c>
      <c r="M584" s="11" t="s">
        <v>115</v>
      </c>
      <c r="N584" s="11" t="s">
        <v>174</v>
      </c>
      <c r="O584" s="11" t="s">
        <v>101</v>
      </c>
      <c r="P584" s="11" t="s">
        <v>102</v>
      </c>
      <c r="Q584" s="12">
        <v>113.958191</v>
      </c>
      <c r="R584" s="13">
        <v>22.909213999999999</v>
      </c>
      <c r="S584" s="11" t="s">
        <v>3273</v>
      </c>
      <c r="T584" s="11"/>
      <c r="U584" s="11" t="s">
        <v>104</v>
      </c>
      <c r="V584" s="11" t="s">
        <v>105</v>
      </c>
      <c r="W584" s="11" t="s">
        <v>106</v>
      </c>
      <c r="X584" s="11"/>
      <c r="Y584" s="11"/>
      <c r="Z584" s="11"/>
      <c r="AA584" s="12">
        <v>583</v>
      </c>
      <c r="AB584" s="12"/>
      <c r="AC584" s="11" t="s">
        <v>116</v>
      </c>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row>
    <row r="585" spans="1:56" ht="56" x14ac:dyDescent="0.25">
      <c r="A585" s="11" t="s">
        <v>3278</v>
      </c>
      <c r="B585" s="11" t="s">
        <v>2812</v>
      </c>
      <c r="C585" s="11"/>
      <c r="D585" s="11" t="s">
        <v>91</v>
      </c>
      <c r="E585" s="11"/>
      <c r="F585" s="11" t="s">
        <v>2813</v>
      </c>
      <c r="G585" s="11" t="s">
        <v>3279</v>
      </c>
      <c r="H585" s="11" t="s">
        <v>94</v>
      </c>
      <c r="I585" s="11" t="s">
        <v>351</v>
      </c>
      <c r="J585" s="11" t="s">
        <v>351</v>
      </c>
      <c r="K585" s="11"/>
      <c r="L585" s="11" t="s">
        <v>3280</v>
      </c>
      <c r="M585" s="11"/>
      <c r="N585" s="11"/>
      <c r="O585" s="11"/>
      <c r="P585" s="11" t="s">
        <v>102</v>
      </c>
      <c r="Q585" s="12">
        <v>113.380376</v>
      </c>
      <c r="R585" s="13">
        <v>22.527180000000001</v>
      </c>
      <c r="S585" s="11" t="s">
        <v>3278</v>
      </c>
      <c r="T585" s="11"/>
      <c r="U585" s="11" t="s">
        <v>104</v>
      </c>
      <c r="V585" s="11" t="s">
        <v>105</v>
      </c>
      <c r="W585" s="11" t="s">
        <v>106</v>
      </c>
      <c r="X585" s="11"/>
      <c r="Y585" s="11"/>
      <c r="Z585" s="11"/>
      <c r="AA585" s="12">
        <v>584</v>
      </c>
      <c r="AB585" s="12"/>
      <c r="AC585" s="11" t="s">
        <v>116</v>
      </c>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row>
    <row r="586" spans="1:56" ht="56" x14ac:dyDescent="0.25">
      <c r="A586" s="11" t="s">
        <v>3281</v>
      </c>
      <c r="B586" s="11" t="s">
        <v>3282</v>
      </c>
      <c r="C586" s="11"/>
      <c r="D586" s="11" t="s">
        <v>91</v>
      </c>
      <c r="E586" s="11"/>
      <c r="F586" s="11" t="s">
        <v>3283</v>
      </c>
      <c r="G586" s="11" t="s">
        <v>3284</v>
      </c>
      <c r="H586" s="11" t="s">
        <v>94</v>
      </c>
      <c r="I586" s="11" t="s">
        <v>351</v>
      </c>
      <c r="J586" s="11" t="s">
        <v>351</v>
      </c>
      <c r="K586" s="11"/>
      <c r="L586" s="11" t="s">
        <v>3285</v>
      </c>
      <c r="M586" s="11"/>
      <c r="N586" s="11"/>
      <c r="O586" s="11"/>
      <c r="P586" s="11" t="s">
        <v>102</v>
      </c>
      <c r="Q586" s="12">
        <v>113.243842</v>
      </c>
      <c r="R586" s="13">
        <v>22.556139999999999</v>
      </c>
      <c r="S586" s="11" t="s">
        <v>3281</v>
      </c>
      <c r="T586" s="11"/>
      <c r="U586" s="11" t="s">
        <v>104</v>
      </c>
      <c r="V586" s="11" t="s">
        <v>105</v>
      </c>
      <c r="W586" s="11" t="s">
        <v>106</v>
      </c>
      <c r="X586" s="11"/>
      <c r="Y586" s="11"/>
      <c r="Z586" s="11"/>
      <c r="AA586" s="12">
        <v>585</v>
      </c>
      <c r="AB586" s="12"/>
      <c r="AC586" s="11" t="s">
        <v>116</v>
      </c>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row>
    <row r="587" spans="1:56" ht="56" x14ac:dyDescent="0.25">
      <c r="A587" s="11" t="s">
        <v>3286</v>
      </c>
      <c r="B587" s="11" t="s">
        <v>3287</v>
      </c>
      <c r="C587" s="11"/>
      <c r="D587" s="11" t="s">
        <v>91</v>
      </c>
      <c r="E587" s="11"/>
      <c r="F587" s="11" t="s">
        <v>3288</v>
      </c>
      <c r="G587" s="11" t="s">
        <v>3289</v>
      </c>
      <c r="H587" s="11" t="s">
        <v>94</v>
      </c>
      <c r="I587" s="11" t="s">
        <v>351</v>
      </c>
      <c r="J587" s="11" t="s">
        <v>351</v>
      </c>
      <c r="K587" s="11"/>
      <c r="L587" s="11" t="s">
        <v>3290</v>
      </c>
      <c r="M587" s="11"/>
      <c r="N587" s="11"/>
      <c r="O587" s="11"/>
      <c r="P587" s="11" t="s">
        <v>102</v>
      </c>
      <c r="Q587" s="12">
        <v>113.220337</v>
      </c>
      <c r="R587" s="13">
        <v>22.677105999999998</v>
      </c>
      <c r="S587" s="11" t="s">
        <v>3286</v>
      </c>
      <c r="T587" s="11"/>
      <c r="U587" s="11" t="s">
        <v>104</v>
      </c>
      <c r="V587" s="11" t="s">
        <v>105</v>
      </c>
      <c r="W587" s="11" t="s">
        <v>106</v>
      </c>
      <c r="X587" s="11"/>
      <c r="Y587" s="11"/>
      <c r="Z587" s="11"/>
      <c r="AA587" s="12">
        <v>586</v>
      </c>
      <c r="AB587" s="12"/>
      <c r="AC587" s="11" t="s">
        <v>116</v>
      </c>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row>
    <row r="588" spans="1:56" ht="56" x14ac:dyDescent="0.25">
      <c r="A588" s="11" t="s">
        <v>3291</v>
      </c>
      <c r="B588" s="11" t="s">
        <v>16</v>
      </c>
      <c r="C588" s="11"/>
      <c r="D588" s="11" t="s">
        <v>91</v>
      </c>
      <c r="E588" s="11"/>
      <c r="F588" s="11" t="s">
        <v>3292</v>
      </c>
      <c r="G588" s="11" t="s">
        <v>30</v>
      </c>
      <c r="H588" s="11" t="s">
        <v>94</v>
      </c>
      <c r="I588" s="11" t="s">
        <v>351</v>
      </c>
      <c r="J588" s="11" t="s">
        <v>351</v>
      </c>
      <c r="K588" s="11"/>
      <c r="L588" s="11" t="s">
        <v>23</v>
      </c>
      <c r="M588" s="11" t="s">
        <v>115</v>
      </c>
      <c r="N588" s="11"/>
      <c r="O588" s="11"/>
      <c r="P588" s="11" t="s">
        <v>102</v>
      </c>
      <c r="Q588" s="12">
        <v>113.490118</v>
      </c>
      <c r="R588" s="13">
        <v>22.259433000000001</v>
      </c>
      <c r="S588" s="11" t="s">
        <v>3291</v>
      </c>
      <c r="T588" s="11"/>
      <c r="U588" s="11" t="s">
        <v>104</v>
      </c>
      <c r="V588" s="11" t="s">
        <v>105</v>
      </c>
      <c r="W588" s="11" t="s">
        <v>106</v>
      </c>
      <c r="X588" s="11"/>
      <c r="Y588" s="11"/>
      <c r="Z588" s="11"/>
      <c r="AA588" s="12">
        <v>587</v>
      </c>
      <c r="AB588" s="12"/>
      <c r="AC588" s="11" t="s">
        <v>116</v>
      </c>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row>
    <row r="589" spans="1:56" ht="56" x14ac:dyDescent="0.25">
      <c r="A589" s="11" t="s">
        <v>3293</v>
      </c>
      <c r="B589" s="11" t="s">
        <v>15</v>
      </c>
      <c r="C589" s="11"/>
      <c r="D589" s="11" t="s">
        <v>91</v>
      </c>
      <c r="E589" s="11"/>
      <c r="F589" s="11" t="s">
        <v>601</v>
      </c>
      <c r="G589" s="11" t="s">
        <v>29</v>
      </c>
      <c r="H589" s="11" t="s">
        <v>94</v>
      </c>
      <c r="I589" s="11" t="s">
        <v>351</v>
      </c>
      <c r="J589" s="11" t="s">
        <v>351</v>
      </c>
      <c r="K589" s="11"/>
      <c r="L589" s="11" t="s">
        <v>22</v>
      </c>
      <c r="M589" s="11"/>
      <c r="N589" s="11"/>
      <c r="O589" s="11"/>
      <c r="P589" s="11" t="s">
        <v>102</v>
      </c>
      <c r="Q589" s="12">
        <v>113.380026</v>
      </c>
      <c r="R589" s="13">
        <v>22.507642000000001</v>
      </c>
      <c r="S589" s="11" t="s">
        <v>3293</v>
      </c>
      <c r="T589" s="11"/>
      <c r="U589" s="11" t="s">
        <v>104</v>
      </c>
      <c r="V589" s="11" t="s">
        <v>105</v>
      </c>
      <c r="W589" s="11" t="s">
        <v>106</v>
      </c>
      <c r="X589" s="11"/>
      <c r="Y589" s="11"/>
      <c r="Z589" s="11"/>
      <c r="AA589" s="12">
        <v>588</v>
      </c>
      <c r="AB589" s="12"/>
      <c r="AC589" s="11" t="s">
        <v>116</v>
      </c>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row>
    <row r="590" spans="1:56" ht="56" x14ac:dyDescent="0.25">
      <c r="A590" s="11" t="s">
        <v>3294</v>
      </c>
      <c r="B590" s="11" t="s">
        <v>14</v>
      </c>
      <c r="C590" s="11"/>
      <c r="D590" s="11" t="s">
        <v>91</v>
      </c>
      <c r="E590" s="11"/>
      <c r="F590" s="11" t="s">
        <v>601</v>
      </c>
      <c r="G590" s="11" t="s">
        <v>28</v>
      </c>
      <c r="H590" s="11" t="s">
        <v>94</v>
      </c>
      <c r="I590" s="11" t="s">
        <v>351</v>
      </c>
      <c r="J590" s="11" t="s">
        <v>351</v>
      </c>
      <c r="K590" s="11"/>
      <c r="L590" s="11" t="s">
        <v>21</v>
      </c>
      <c r="M590" s="11" t="s">
        <v>115</v>
      </c>
      <c r="N590" s="11"/>
      <c r="O590" s="11"/>
      <c r="P590" s="11" t="s">
        <v>102</v>
      </c>
      <c r="Q590" s="12">
        <v>113.464789</v>
      </c>
      <c r="R590" s="13">
        <v>22.53933</v>
      </c>
      <c r="S590" s="11" t="s">
        <v>3294</v>
      </c>
      <c r="T590" s="11"/>
      <c r="U590" s="11" t="s">
        <v>104</v>
      </c>
      <c r="V590" s="11" t="s">
        <v>105</v>
      </c>
      <c r="W590" s="11" t="s">
        <v>106</v>
      </c>
      <c r="X590" s="11"/>
      <c r="Y590" s="11"/>
      <c r="Z590" s="11"/>
      <c r="AA590" s="12">
        <v>589</v>
      </c>
      <c r="AB590" s="12"/>
      <c r="AC590" s="11" t="s">
        <v>116</v>
      </c>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row>
    <row r="591" spans="1:56" ht="56" x14ac:dyDescent="0.25">
      <c r="A591" s="11" t="s">
        <v>3295</v>
      </c>
      <c r="B591" s="11" t="s">
        <v>3296</v>
      </c>
      <c r="C591" s="11"/>
      <c r="D591" s="11" t="s">
        <v>91</v>
      </c>
      <c r="E591" s="11"/>
      <c r="F591" s="11" t="s">
        <v>3297</v>
      </c>
      <c r="G591" s="11" t="s">
        <v>3298</v>
      </c>
      <c r="H591" s="11" t="s">
        <v>94</v>
      </c>
      <c r="I591" s="11" t="s">
        <v>351</v>
      </c>
      <c r="J591" s="11" t="s">
        <v>351</v>
      </c>
      <c r="K591" s="11"/>
      <c r="L591" s="11" t="s">
        <v>3299</v>
      </c>
      <c r="M591" s="11"/>
      <c r="N591" s="11"/>
      <c r="O591" s="11"/>
      <c r="P591" s="11" t="s">
        <v>102</v>
      </c>
      <c r="Q591" s="12">
        <v>113.20874999999999</v>
      </c>
      <c r="R591" s="13">
        <v>22.603619999999999</v>
      </c>
      <c r="S591" s="11" t="s">
        <v>3295</v>
      </c>
      <c r="T591" s="11"/>
      <c r="U591" s="11" t="s">
        <v>104</v>
      </c>
      <c r="V591" s="11" t="s">
        <v>105</v>
      </c>
      <c r="W591" s="11" t="s">
        <v>106</v>
      </c>
      <c r="X591" s="11"/>
      <c r="Y591" s="11"/>
      <c r="Z591" s="11"/>
      <c r="AA591" s="12">
        <v>590</v>
      </c>
      <c r="AB591" s="12"/>
      <c r="AC591" s="11" t="s">
        <v>116</v>
      </c>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row>
    <row r="592" spans="1:56" ht="56" x14ac:dyDescent="0.25">
      <c r="A592" s="11" t="s">
        <v>3300</v>
      </c>
      <c r="B592" s="11" t="s">
        <v>3301</v>
      </c>
      <c r="C592" s="11"/>
      <c r="D592" s="11" t="s">
        <v>91</v>
      </c>
      <c r="E592" s="11"/>
      <c r="F592" s="11" t="s">
        <v>3302</v>
      </c>
      <c r="G592" s="11" t="s">
        <v>3303</v>
      </c>
      <c r="H592" s="11" t="s">
        <v>94</v>
      </c>
      <c r="I592" s="11" t="s">
        <v>351</v>
      </c>
      <c r="J592" s="11" t="s">
        <v>351</v>
      </c>
      <c r="K592" s="11"/>
      <c r="L592" s="11" t="s">
        <v>3304</v>
      </c>
      <c r="M592" s="11" t="s">
        <v>115</v>
      </c>
      <c r="N592" s="11"/>
      <c r="O592" s="11"/>
      <c r="P592" s="11" t="s">
        <v>102</v>
      </c>
      <c r="Q592" s="12">
        <v>113.44414</v>
      </c>
      <c r="R592" s="13">
        <v>22.367301000000001</v>
      </c>
      <c r="S592" s="11" t="s">
        <v>3300</v>
      </c>
      <c r="T592" s="11"/>
      <c r="U592" s="11" t="s">
        <v>104</v>
      </c>
      <c r="V592" s="11" t="s">
        <v>105</v>
      </c>
      <c r="W592" s="11" t="s">
        <v>106</v>
      </c>
      <c r="X592" s="11"/>
      <c r="Y592" s="11"/>
      <c r="Z592" s="11"/>
      <c r="AA592" s="12">
        <v>591</v>
      </c>
      <c r="AB592" s="12"/>
      <c r="AC592" s="11" t="s">
        <v>116</v>
      </c>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row>
    <row r="593" spans="1:56" ht="56" x14ac:dyDescent="0.25">
      <c r="A593" s="11" t="s">
        <v>3305</v>
      </c>
      <c r="B593" s="11" t="s">
        <v>3306</v>
      </c>
      <c r="C593" s="11"/>
      <c r="D593" s="11" t="s">
        <v>91</v>
      </c>
      <c r="E593" s="11"/>
      <c r="F593" s="11" t="s">
        <v>3307</v>
      </c>
      <c r="G593" s="11" t="s">
        <v>3308</v>
      </c>
      <c r="H593" s="11" t="s">
        <v>94</v>
      </c>
      <c r="I593" s="11" t="s">
        <v>112</v>
      </c>
      <c r="J593" s="11" t="s">
        <v>112</v>
      </c>
      <c r="K593" s="11"/>
      <c r="L593" s="11" t="s">
        <v>3309</v>
      </c>
      <c r="M593" s="11" t="s">
        <v>115</v>
      </c>
      <c r="N593" s="11"/>
      <c r="O593" s="11"/>
      <c r="P593" s="11" t="s">
        <v>102</v>
      </c>
      <c r="Q593" s="12">
        <v>114.140097</v>
      </c>
      <c r="R593" s="13">
        <v>22.964504999999999</v>
      </c>
      <c r="S593" s="11" t="s">
        <v>3305</v>
      </c>
      <c r="T593" s="11"/>
      <c r="U593" s="11" t="s">
        <v>104</v>
      </c>
      <c r="V593" s="11" t="s">
        <v>105</v>
      </c>
      <c r="W593" s="11" t="s">
        <v>106</v>
      </c>
      <c r="X593" s="11"/>
      <c r="Y593" s="11"/>
      <c r="Z593" s="11"/>
      <c r="AA593" s="12">
        <v>592</v>
      </c>
      <c r="AB593" s="12"/>
      <c r="AC593" s="11" t="s">
        <v>116</v>
      </c>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row>
    <row r="594" spans="1:56" ht="70" x14ac:dyDescent="0.25">
      <c r="A594" s="11" t="s">
        <v>3310</v>
      </c>
      <c r="B594" s="11" t="s">
        <v>3311</v>
      </c>
      <c r="C594" s="11"/>
      <c r="D594" s="11" t="s">
        <v>91</v>
      </c>
      <c r="E594" s="11"/>
      <c r="F594" s="11" t="s">
        <v>3312</v>
      </c>
      <c r="G594" s="11" t="s">
        <v>3313</v>
      </c>
      <c r="H594" s="11" t="s">
        <v>94</v>
      </c>
      <c r="I594" s="11" t="s">
        <v>112</v>
      </c>
      <c r="J594" s="11" t="s">
        <v>112</v>
      </c>
      <c r="K594" s="11"/>
      <c r="L594" s="11" t="s">
        <v>3314</v>
      </c>
      <c r="M594" s="11" t="s">
        <v>115</v>
      </c>
      <c r="N594" s="11"/>
      <c r="O594" s="11"/>
      <c r="P594" s="11" t="s">
        <v>102</v>
      </c>
      <c r="Q594" s="12">
        <v>113.712434</v>
      </c>
      <c r="R594" s="13">
        <v>23.034268000000001</v>
      </c>
      <c r="S594" s="11" t="s">
        <v>3310</v>
      </c>
      <c r="T594" s="11"/>
      <c r="U594" s="11" t="s">
        <v>104</v>
      </c>
      <c r="V594" s="11" t="s">
        <v>105</v>
      </c>
      <c r="W594" s="11" t="s">
        <v>106</v>
      </c>
      <c r="X594" s="11"/>
      <c r="Y594" s="11"/>
      <c r="Z594" s="11"/>
      <c r="AA594" s="12">
        <v>593</v>
      </c>
      <c r="AB594" s="12"/>
      <c r="AC594" s="11" t="s">
        <v>116</v>
      </c>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row>
    <row r="595" spans="1:56" ht="70" x14ac:dyDescent="0.25">
      <c r="A595" s="11" t="s">
        <v>3315</v>
      </c>
      <c r="B595" s="11" t="s">
        <v>3316</v>
      </c>
      <c r="C595" s="11"/>
      <c r="D595" s="11" t="s">
        <v>91</v>
      </c>
      <c r="E595" s="11"/>
      <c r="F595" s="11" t="s">
        <v>3317</v>
      </c>
      <c r="G595" s="11" t="s">
        <v>3318</v>
      </c>
      <c r="H595" s="11" t="s">
        <v>94</v>
      </c>
      <c r="I595" s="11" t="s">
        <v>112</v>
      </c>
      <c r="J595" s="11" t="s">
        <v>112</v>
      </c>
      <c r="K595" s="11"/>
      <c r="L595" s="11" t="s">
        <v>3319</v>
      </c>
      <c r="M595" s="11"/>
      <c r="N595" s="11"/>
      <c r="O595" s="11"/>
      <c r="P595" s="11" t="s">
        <v>102</v>
      </c>
      <c r="Q595" s="12">
        <v>113.96018100000001</v>
      </c>
      <c r="R595" s="13">
        <v>23.078320000000001</v>
      </c>
      <c r="S595" s="11" t="s">
        <v>3315</v>
      </c>
      <c r="T595" s="11"/>
      <c r="U595" s="11" t="s">
        <v>104</v>
      </c>
      <c r="V595" s="11" t="s">
        <v>105</v>
      </c>
      <c r="W595" s="11" t="s">
        <v>106</v>
      </c>
      <c r="X595" s="11"/>
      <c r="Y595" s="11"/>
      <c r="Z595" s="11"/>
      <c r="AA595" s="12">
        <v>594</v>
      </c>
      <c r="AB595" s="12"/>
      <c r="AC595" s="11" t="s">
        <v>116</v>
      </c>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row>
    <row r="596" spans="1:56" ht="70" x14ac:dyDescent="0.25">
      <c r="A596" s="11" t="s">
        <v>3320</v>
      </c>
      <c r="B596" s="11" t="s">
        <v>3321</v>
      </c>
      <c r="C596" s="11"/>
      <c r="D596" s="11" t="s">
        <v>91</v>
      </c>
      <c r="E596" s="11"/>
      <c r="F596" s="11" t="s">
        <v>3322</v>
      </c>
      <c r="G596" s="11" t="s">
        <v>3323</v>
      </c>
      <c r="H596" s="11" t="s">
        <v>94</v>
      </c>
      <c r="I596" s="11" t="s">
        <v>112</v>
      </c>
      <c r="J596" s="11" t="s">
        <v>112</v>
      </c>
      <c r="K596" s="11"/>
      <c r="L596" s="11" t="s">
        <v>3324</v>
      </c>
      <c r="M596" s="11" t="s">
        <v>115</v>
      </c>
      <c r="N596" s="11"/>
      <c r="O596" s="11"/>
      <c r="P596" s="11" t="s">
        <v>102</v>
      </c>
      <c r="Q596" s="12">
        <v>113.813192</v>
      </c>
      <c r="R596" s="13">
        <v>23.104558999999998</v>
      </c>
      <c r="S596" s="11" t="s">
        <v>3320</v>
      </c>
      <c r="T596" s="11"/>
      <c r="U596" s="11" t="s">
        <v>104</v>
      </c>
      <c r="V596" s="11" t="s">
        <v>105</v>
      </c>
      <c r="W596" s="11" t="s">
        <v>106</v>
      </c>
      <c r="X596" s="11"/>
      <c r="Y596" s="11"/>
      <c r="Z596" s="11"/>
      <c r="AA596" s="12">
        <v>595</v>
      </c>
      <c r="AB596" s="12"/>
      <c r="AC596" s="11" t="s">
        <v>116</v>
      </c>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row>
    <row r="597" spans="1:56" ht="56" x14ac:dyDescent="0.25">
      <c r="A597" s="11" t="s">
        <v>3325</v>
      </c>
      <c r="B597" s="11" t="s">
        <v>3326</v>
      </c>
      <c r="C597" s="11"/>
      <c r="D597" s="11" t="s">
        <v>91</v>
      </c>
      <c r="E597" s="11" t="s">
        <v>92</v>
      </c>
      <c r="F597" s="11" t="s">
        <v>3327</v>
      </c>
      <c r="G597" s="11" t="s">
        <v>3328</v>
      </c>
      <c r="H597" s="11" t="s">
        <v>94</v>
      </c>
      <c r="I597" s="11" t="s">
        <v>112</v>
      </c>
      <c r="J597" s="11" t="s">
        <v>112</v>
      </c>
      <c r="K597" s="11"/>
      <c r="L597" s="11" t="s">
        <v>3329</v>
      </c>
      <c r="M597" s="11" t="s">
        <v>115</v>
      </c>
      <c r="N597" s="11" t="s">
        <v>174</v>
      </c>
      <c r="O597" s="11" t="s">
        <v>101</v>
      </c>
      <c r="P597" s="11" t="s">
        <v>102</v>
      </c>
      <c r="Q597" s="12">
        <v>114.17138300000001</v>
      </c>
      <c r="R597" s="13">
        <v>22.830451</v>
      </c>
      <c r="S597" s="11" t="s">
        <v>3325</v>
      </c>
      <c r="T597" s="11"/>
      <c r="U597" s="11" t="s">
        <v>104</v>
      </c>
      <c r="V597" s="11" t="s">
        <v>105</v>
      </c>
      <c r="W597" s="11" t="s">
        <v>106</v>
      </c>
      <c r="X597" s="11"/>
      <c r="Y597" s="11"/>
      <c r="Z597" s="11"/>
      <c r="AA597" s="12">
        <v>596</v>
      </c>
      <c r="AB597" s="12"/>
      <c r="AC597" s="11" t="s">
        <v>116</v>
      </c>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row>
    <row r="598" spans="1:56" ht="84" x14ac:dyDescent="0.25">
      <c r="A598" s="11" t="s">
        <v>3330</v>
      </c>
      <c r="B598" s="11" t="s">
        <v>3331</v>
      </c>
      <c r="C598" s="11"/>
      <c r="D598" s="11" t="s">
        <v>91</v>
      </c>
      <c r="E598" s="11" t="s">
        <v>92</v>
      </c>
      <c r="F598" s="11" t="s">
        <v>3332</v>
      </c>
      <c r="G598" s="11" t="s">
        <v>3333</v>
      </c>
      <c r="H598" s="11" t="s">
        <v>94</v>
      </c>
      <c r="I598" s="11" t="s">
        <v>112</v>
      </c>
      <c r="J598" s="11" t="s">
        <v>112</v>
      </c>
      <c r="K598" s="11"/>
      <c r="L598" s="11" t="s">
        <v>3334</v>
      </c>
      <c r="M598" s="11" t="s">
        <v>115</v>
      </c>
      <c r="N598" s="11" t="s">
        <v>174</v>
      </c>
      <c r="O598" s="11" t="s">
        <v>101</v>
      </c>
      <c r="P598" s="11" t="s">
        <v>102</v>
      </c>
      <c r="Q598" s="12">
        <v>113.93661400000001</v>
      </c>
      <c r="R598" s="13">
        <v>22.993085000000001</v>
      </c>
      <c r="S598" s="11" t="s">
        <v>3330</v>
      </c>
      <c r="T598" s="11"/>
      <c r="U598" s="11" t="s">
        <v>104</v>
      </c>
      <c r="V598" s="11" t="s">
        <v>105</v>
      </c>
      <c r="W598" s="11" t="s">
        <v>106</v>
      </c>
      <c r="X598" s="11"/>
      <c r="Y598" s="11"/>
      <c r="Z598" s="11"/>
      <c r="AA598" s="12">
        <v>597</v>
      </c>
      <c r="AB598" s="12"/>
      <c r="AC598" s="11" t="s">
        <v>116</v>
      </c>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row>
    <row r="599" spans="1:56" ht="70" x14ac:dyDescent="0.25">
      <c r="A599" s="11" t="s">
        <v>3335</v>
      </c>
      <c r="B599" s="11" t="s">
        <v>3336</v>
      </c>
      <c r="C599" s="11"/>
      <c r="D599" s="11" t="s">
        <v>91</v>
      </c>
      <c r="E599" s="11"/>
      <c r="F599" s="11" t="s">
        <v>3337</v>
      </c>
      <c r="G599" s="11" t="s">
        <v>3338</v>
      </c>
      <c r="H599" s="11" t="s">
        <v>94</v>
      </c>
      <c r="I599" s="11" t="s">
        <v>112</v>
      </c>
      <c r="J599" s="11" t="s">
        <v>112</v>
      </c>
      <c r="K599" s="11"/>
      <c r="L599" s="11" t="s">
        <v>3339</v>
      </c>
      <c r="M599" s="11"/>
      <c r="N599" s="11"/>
      <c r="O599" s="11"/>
      <c r="P599" s="11" t="s">
        <v>102</v>
      </c>
      <c r="Q599" s="12">
        <v>113.87408600000001</v>
      </c>
      <c r="R599" s="13">
        <v>22.864832</v>
      </c>
      <c r="S599" s="11" t="s">
        <v>3335</v>
      </c>
      <c r="T599" s="11"/>
      <c r="U599" s="11" t="s">
        <v>104</v>
      </c>
      <c r="V599" s="11" t="s">
        <v>105</v>
      </c>
      <c r="W599" s="11" t="s">
        <v>106</v>
      </c>
      <c r="X599" s="11"/>
      <c r="Y599" s="11"/>
      <c r="Z599" s="11"/>
      <c r="AA599" s="12">
        <v>598</v>
      </c>
      <c r="AB599" s="12"/>
      <c r="AC599" s="11" t="s">
        <v>116</v>
      </c>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row>
    <row r="600" spans="1:56" ht="56" x14ac:dyDescent="0.25">
      <c r="A600" s="11" t="s">
        <v>3340</v>
      </c>
      <c r="B600" s="11" t="s">
        <v>3341</v>
      </c>
      <c r="C600" s="11"/>
      <c r="D600" s="11" t="s">
        <v>91</v>
      </c>
      <c r="E600" s="11"/>
      <c r="F600" s="11" t="s">
        <v>3342</v>
      </c>
      <c r="G600" s="11" t="s">
        <v>3343</v>
      </c>
      <c r="H600" s="11" t="s">
        <v>94</v>
      </c>
      <c r="I600" s="11" t="s">
        <v>112</v>
      </c>
      <c r="J600" s="11" t="s">
        <v>112</v>
      </c>
      <c r="K600" s="11"/>
      <c r="L600" s="11" t="s">
        <v>3344</v>
      </c>
      <c r="M600" s="11" t="s">
        <v>115</v>
      </c>
      <c r="N600" s="11"/>
      <c r="O600" s="11"/>
      <c r="P600" s="11" t="s">
        <v>102</v>
      </c>
      <c r="Q600" s="12">
        <v>114.095219</v>
      </c>
      <c r="R600" s="13">
        <v>23.016365</v>
      </c>
      <c r="S600" s="11" t="s">
        <v>3340</v>
      </c>
      <c r="T600" s="11"/>
      <c r="U600" s="11" t="s">
        <v>104</v>
      </c>
      <c r="V600" s="11" t="s">
        <v>105</v>
      </c>
      <c r="W600" s="11" t="s">
        <v>106</v>
      </c>
      <c r="X600" s="11"/>
      <c r="Y600" s="11"/>
      <c r="Z600" s="11"/>
      <c r="AA600" s="12">
        <v>599</v>
      </c>
      <c r="AB600" s="12"/>
      <c r="AC600" s="11" t="s">
        <v>116</v>
      </c>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row>
    <row r="601" spans="1:56" ht="70" x14ac:dyDescent="0.25">
      <c r="A601" s="11" t="s">
        <v>3345</v>
      </c>
      <c r="B601" s="11" t="s">
        <v>3346</v>
      </c>
      <c r="C601" s="11"/>
      <c r="D601" s="11" t="s">
        <v>91</v>
      </c>
      <c r="E601" s="11"/>
      <c r="F601" s="11" t="s">
        <v>3347</v>
      </c>
      <c r="G601" s="11" t="s">
        <v>3348</v>
      </c>
      <c r="H601" s="11" t="s">
        <v>94</v>
      </c>
      <c r="I601" s="11" t="s">
        <v>112</v>
      </c>
      <c r="J601" s="11" t="s">
        <v>112</v>
      </c>
      <c r="K601" s="11"/>
      <c r="L601" s="11" t="s">
        <v>3349</v>
      </c>
      <c r="M601" s="11"/>
      <c r="N601" s="11"/>
      <c r="O601" s="11"/>
      <c r="P601" s="11" t="s">
        <v>102</v>
      </c>
      <c r="Q601" s="12">
        <v>113.751884</v>
      </c>
      <c r="R601" s="13">
        <v>23.021015999999999</v>
      </c>
      <c r="S601" s="11" t="s">
        <v>3345</v>
      </c>
      <c r="T601" s="11"/>
      <c r="U601" s="11" t="s">
        <v>104</v>
      </c>
      <c r="V601" s="11" t="s">
        <v>105</v>
      </c>
      <c r="W601" s="11" t="s">
        <v>106</v>
      </c>
      <c r="X601" s="11"/>
      <c r="Y601" s="11"/>
      <c r="Z601" s="11"/>
      <c r="AA601" s="12">
        <v>600</v>
      </c>
      <c r="AB601" s="12"/>
      <c r="AC601" s="11" t="s">
        <v>116</v>
      </c>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row>
    <row r="602" spans="1:56" ht="56" x14ac:dyDescent="0.25">
      <c r="A602" s="11" t="s">
        <v>3350</v>
      </c>
      <c r="B602" s="11" t="s">
        <v>3351</v>
      </c>
      <c r="C602" s="11"/>
      <c r="D602" s="11" t="s">
        <v>91</v>
      </c>
      <c r="E602" s="11"/>
      <c r="F602" s="11" t="s">
        <v>3352</v>
      </c>
      <c r="G602" s="11" t="s">
        <v>2814</v>
      </c>
      <c r="H602" s="11" t="s">
        <v>94</v>
      </c>
      <c r="I602" s="11" t="s">
        <v>351</v>
      </c>
      <c r="J602" s="11" t="s">
        <v>351</v>
      </c>
      <c r="K602" s="11"/>
      <c r="L602" s="11" t="s">
        <v>3353</v>
      </c>
      <c r="M602" s="11" t="s">
        <v>115</v>
      </c>
      <c r="N602" s="11"/>
      <c r="O602" s="11"/>
      <c r="P602" s="11" t="s">
        <v>102</v>
      </c>
      <c r="Q602" s="12">
        <v>113.298508</v>
      </c>
      <c r="R602" s="13">
        <v>22.715167000000001</v>
      </c>
      <c r="S602" s="11" t="s">
        <v>3350</v>
      </c>
      <c r="T602" s="11"/>
      <c r="U602" s="11" t="s">
        <v>104</v>
      </c>
      <c r="V602" s="11" t="s">
        <v>105</v>
      </c>
      <c r="W602" s="11" t="s">
        <v>106</v>
      </c>
      <c r="X602" s="11"/>
      <c r="Y602" s="11"/>
      <c r="Z602" s="11"/>
      <c r="AA602" s="12">
        <v>601</v>
      </c>
      <c r="AB602" s="12"/>
      <c r="AC602" s="11" t="s">
        <v>116</v>
      </c>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row>
    <row r="603" spans="1:56" ht="56" x14ac:dyDescent="0.25">
      <c r="A603" s="11" t="s">
        <v>3354</v>
      </c>
      <c r="B603" s="11" t="s">
        <v>12</v>
      </c>
      <c r="C603" s="11"/>
      <c r="D603" s="11" t="s">
        <v>91</v>
      </c>
      <c r="E603" s="11"/>
      <c r="F603" s="11" t="s">
        <v>3355</v>
      </c>
      <c r="G603" s="11" t="s">
        <v>26</v>
      </c>
      <c r="H603" s="11" t="s">
        <v>94</v>
      </c>
      <c r="I603" s="11" t="s">
        <v>351</v>
      </c>
      <c r="J603" s="11" t="s">
        <v>351</v>
      </c>
      <c r="K603" s="11"/>
      <c r="L603" s="11" t="s">
        <v>19</v>
      </c>
      <c r="M603" s="11" t="s">
        <v>115</v>
      </c>
      <c r="N603" s="11"/>
      <c r="O603" s="11"/>
      <c r="P603" s="11" t="s">
        <v>102</v>
      </c>
      <c r="Q603" s="12">
        <v>113.271953</v>
      </c>
      <c r="R603" s="13">
        <v>22.619575000000001</v>
      </c>
      <c r="S603" s="11" t="s">
        <v>3354</v>
      </c>
      <c r="T603" s="11"/>
      <c r="U603" s="11" t="s">
        <v>104</v>
      </c>
      <c r="V603" s="11" t="s">
        <v>105</v>
      </c>
      <c r="W603" s="11" t="s">
        <v>106</v>
      </c>
      <c r="X603" s="11"/>
      <c r="Y603" s="11"/>
      <c r="Z603" s="11"/>
      <c r="AA603" s="12">
        <v>602</v>
      </c>
      <c r="AB603" s="12"/>
      <c r="AC603" s="11" t="s">
        <v>116</v>
      </c>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row>
    <row r="604" spans="1:56" ht="56" x14ac:dyDescent="0.25">
      <c r="A604" s="11" t="s">
        <v>3356</v>
      </c>
      <c r="B604" s="11" t="s">
        <v>3357</v>
      </c>
      <c r="C604" s="11"/>
      <c r="D604" s="11" t="s">
        <v>91</v>
      </c>
      <c r="E604" s="11"/>
      <c r="F604" s="11" t="s">
        <v>3358</v>
      </c>
      <c r="G604" s="11" t="s">
        <v>3359</v>
      </c>
      <c r="H604" s="11" t="s">
        <v>94</v>
      </c>
      <c r="I604" s="11" t="s">
        <v>2470</v>
      </c>
      <c r="J604" s="11" t="s">
        <v>3360</v>
      </c>
      <c r="K604" s="11"/>
      <c r="L604" s="11" t="s">
        <v>3361</v>
      </c>
      <c r="M604" s="11"/>
      <c r="N604" s="11"/>
      <c r="O604" s="11"/>
      <c r="P604" s="11" t="s">
        <v>102</v>
      </c>
      <c r="Q604" s="12">
        <v>112.835825</v>
      </c>
      <c r="R604" s="13">
        <v>23.308624999999999</v>
      </c>
      <c r="S604" s="11" t="s">
        <v>3356</v>
      </c>
      <c r="T604" s="11"/>
      <c r="U604" s="11" t="s">
        <v>104</v>
      </c>
      <c r="V604" s="11" t="s">
        <v>105</v>
      </c>
      <c r="W604" s="11" t="s">
        <v>106</v>
      </c>
      <c r="X604" s="11"/>
      <c r="Y604" s="11"/>
      <c r="Z604" s="11"/>
      <c r="AA604" s="12">
        <v>603</v>
      </c>
      <c r="AB604" s="12"/>
      <c r="AC604" s="11" t="s">
        <v>2189</v>
      </c>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row>
    <row r="605" spans="1:56" ht="42" x14ac:dyDescent="0.25">
      <c r="A605" s="11" t="s">
        <v>3362</v>
      </c>
      <c r="B605" s="11" t="s">
        <v>3363</v>
      </c>
      <c r="C605" s="11"/>
      <c r="D605" s="11" t="s">
        <v>91</v>
      </c>
      <c r="E605" s="11"/>
      <c r="F605" s="11" t="s">
        <v>3363</v>
      </c>
      <c r="G605" s="11" t="s">
        <v>3364</v>
      </c>
      <c r="H605" s="11" t="s">
        <v>94</v>
      </c>
      <c r="I605" s="11" t="s">
        <v>351</v>
      </c>
      <c r="J605" s="11" t="s">
        <v>351</v>
      </c>
      <c r="K605" s="11"/>
      <c r="L605" s="11" t="s">
        <v>3365</v>
      </c>
      <c r="M605" s="11"/>
      <c r="N605" s="11"/>
      <c r="O605" s="11"/>
      <c r="P605" s="11" t="s">
        <v>102</v>
      </c>
      <c r="Q605" s="12">
        <v>113.335143</v>
      </c>
      <c r="R605" s="13">
        <v>22.525274</v>
      </c>
      <c r="S605" s="11" t="s">
        <v>3362</v>
      </c>
      <c r="T605" s="11"/>
      <c r="U605" s="11" t="s">
        <v>104</v>
      </c>
      <c r="V605" s="11" t="s">
        <v>105</v>
      </c>
      <c r="W605" s="11" t="s">
        <v>106</v>
      </c>
      <c r="X605" s="11"/>
      <c r="Y605" s="11"/>
      <c r="Z605" s="11"/>
      <c r="AA605" s="12">
        <v>604</v>
      </c>
      <c r="AB605" s="12"/>
      <c r="AC605" s="11" t="s">
        <v>2189</v>
      </c>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row>
    <row r="606" spans="1:56" ht="56" x14ac:dyDescent="0.25">
      <c r="A606" s="11" t="s">
        <v>3366</v>
      </c>
      <c r="B606" s="11" t="s">
        <v>3367</v>
      </c>
      <c r="C606" s="11"/>
      <c r="D606" s="11" t="s">
        <v>91</v>
      </c>
      <c r="E606" s="11"/>
      <c r="F606" s="11" t="s">
        <v>3367</v>
      </c>
      <c r="G606" s="11" t="s">
        <v>3368</v>
      </c>
      <c r="H606" s="11" t="s">
        <v>94</v>
      </c>
      <c r="I606" s="11" t="s">
        <v>351</v>
      </c>
      <c r="J606" s="11" t="s">
        <v>351</v>
      </c>
      <c r="K606" s="11"/>
      <c r="L606" s="11" t="s">
        <v>3369</v>
      </c>
      <c r="M606" s="11"/>
      <c r="N606" s="11"/>
      <c r="O606" s="11"/>
      <c r="P606" s="11" t="s">
        <v>102</v>
      </c>
      <c r="Q606" s="12">
        <v>113.40012</v>
      </c>
      <c r="R606" s="13">
        <v>22.502348999999999</v>
      </c>
      <c r="S606" s="11" t="s">
        <v>3366</v>
      </c>
      <c r="T606" s="11"/>
      <c r="U606" s="11" t="s">
        <v>104</v>
      </c>
      <c r="V606" s="11" t="s">
        <v>105</v>
      </c>
      <c r="W606" s="11" t="s">
        <v>106</v>
      </c>
      <c r="X606" s="11"/>
      <c r="Y606" s="11"/>
      <c r="Z606" s="11"/>
      <c r="AA606" s="12">
        <v>605</v>
      </c>
      <c r="AB606" s="12"/>
      <c r="AC606" s="11" t="s">
        <v>2189</v>
      </c>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row>
    <row r="607" spans="1:56" ht="56" x14ac:dyDescent="0.25">
      <c r="A607" s="11" t="s">
        <v>3370</v>
      </c>
      <c r="B607" s="11" t="s">
        <v>3371</v>
      </c>
      <c r="C607" s="11"/>
      <c r="D607" s="11" t="s">
        <v>91</v>
      </c>
      <c r="E607" s="11"/>
      <c r="F607" s="11" t="s">
        <v>3371</v>
      </c>
      <c r="G607" s="11" t="s">
        <v>3372</v>
      </c>
      <c r="H607" s="11" t="s">
        <v>94</v>
      </c>
      <c r="I607" s="11" t="s">
        <v>351</v>
      </c>
      <c r="J607" s="11" t="s">
        <v>351</v>
      </c>
      <c r="K607" s="11"/>
      <c r="L607" s="11" t="s">
        <v>3373</v>
      </c>
      <c r="M607" s="11"/>
      <c r="N607" s="11"/>
      <c r="O607" s="11"/>
      <c r="P607" s="11" t="s">
        <v>102</v>
      </c>
      <c r="Q607" s="12">
        <v>113.492948</v>
      </c>
      <c r="R607" s="13">
        <v>22.262715</v>
      </c>
      <c r="S607" s="11" t="s">
        <v>3370</v>
      </c>
      <c r="T607" s="11"/>
      <c r="U607" s="11" t="s">
        <v>104</v>
      </c>
      <c r="V607" s="11" t="s">
        <v>105</v>
      </c>
      <c r="W607" s="11" t="s">
        <v>106</v>
      </c>
      <c r="X607" s="11"/>
      <c r="Y607" s="11"/>
      <c r="Z607" s="11"/>
      <c r="AA607" s="12">
        <v>606</v>
      </c>
      <c r="AB607" s="12"/>
      <c r="AC607" s="11" t="s">
        <v>2189</v>
      </c>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row>
    <row r="608" spans="1:56" ht="42" x14ac:dyDescent="0.25">
      <c r="A608" s="11" t="s">
        <v>3374</v>
      </c>
      <c r="B608" s="11" t="s">
        <v>3375</v>
      </c>
      <c r="C608" s="11"/>
      <c r="D608" s="11" t="s">
        <v>91</v>
      </c>
      <c r="E608" s="11"/>
      <c r="F608" s="11" t="s">
        <v>3375</v>
      </c>
      <c r="G608" s="11" t="s">
        <v>3376</v>
      </c>
      <c r="H608" s="11" t="s">
        <v>94</v>
      </c>
      <c r="I608" s="11" t="s">
        <v>351</v>
      </c>
      <c r="J608" s="11" t="s">
        <v>351</v>
      </c>
      <c r="K608" s="11"/>
      <c r="L608" s="11" t="s">
        <v>3377</v>
      </c>
      <c r="M608" s="11"/>
      <c r="N608" s="11"/>
      <c r="O608" s="11"/>
      <c r="P608" s="11" t="s">
        <v>102</v>
      </c>
      <c r="Q608" s="12">
        <v>113.24373799999999</v>
      </c>
      <c r="R608" s="13">
        <v>22.661854000000002</v>
      </c>
      <c r="S608" s="11" t="s">
        <v>3374</v>
      </c>
      <c r="T608" s="11"/>
      <c r="U608" s="11" t="s">
        <v>104</v>
      </c>
      <c r="V608" s="11" t="s">
        <v>105</v>
      </c>
      <c r="W608" s="11" t="s">
        <v>106</v>
      </c>
      <c r="X608" s="11"/>
      <c r="Y608" s="11"/>
      <c r="Z608" s="11"/>
      <c r="AA608" s="12">
        <v>607</v>
      </c>
      <c r="AB608" s="12"/>
      <c r="AC608" s="11" t="s">
        <v>2189</v>
      </c>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row>
    <row r="609" spans="1:56" ht="42" x14ac:dyDescent="0.25">
      <c r="A609" s="11" t="s">
        <v>3378</v>
      </c>
      <c r="B609" s="11" t="s">
        <v>3379</v>
      </c>
      <c r="C609" s="11"/>
      <c r="D609" s="11" t="s">
        <v>91</v>
      </c>
      <c r="E609" s="11"/>
      <c r="F609" s="11" t="s">
        <v>3379</v>
      </c>
      <c r="G609" s="11" t="s">
        <v>3380</v>
      </c>
      <c r="H609" s="11" t="s">
        <v>94</v>
      </c>
      <c r="I609" s="11" t="s">
        <v>351</v>
      </c>
      <c r="J609" s="11" t="s">
        <v>351</v>
      </c>
      <c r="K609" s="11"/>
      <c r="L609" s="11" t="s">
        <v>3381</v>
      </c>
      <c r="M609" s="11"/>
      <c r="N609" s="11"/>
      <c r="O609" s="11"/>
      <c r="P609" s="11" t="s">
        <v>102</v>
      </c>
      <c r="Q609" s="12">
        <v>113.187197</v>
      </c>
      <c r="R609" s="13">
        <v>22.609418999999999</v>
      </c>
      <c r="S609" s="11" t="s">
        <v>3378</v>
      </c>
      <c r="T609" s="11"/>
      <c r="U609" s="11" t="s">
        <v>104</v>
      </c>
      <c r="V609" s="11" t="s">
        <v>105</v>
      </c>
      <c r="W609" s="11" t="s">
        <v>106</v>
      </c>
      <c r="X609" s="11"/>
      <c r="Y609" s="11"/>
      <c r="Z609" s="11"/>
      <c r="AA609" s="12">
        <v>608</v>
      </c>
      <c r="AB609" s="12"/>
      <c r="AC609" s="11" t="s">
        <v>2189</v>
      </c>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row>
    <row r="610" spans="1:56" ht="42" x14ac:dyDescent="0.25">
      <c r="A610" s="11" t="s">
        <v>3382</v>
      </c>
      <c r="B610" s="11" t="s">
        <v>3383</v>
      </c>
      <c r="C610" s="11"/>
      <c r="D610" s="11" t="s">
        <v>91</v>
      </c>
      <c r="E610" s="11"/>
      <c r="F610" s="11" t="s">
        <v>3383</v>
      </c>
      <c r="G610" s="11" t="s">
        <v>3384</v>
      </c>
      <c r="H610" s="11" t="s">
        <v>94</v>
      </c>
      <c r="I610" s="11" t="s">
        <v>351</v>
      </c>
      <c r="J610" s="11" t="s">
        <v>351</v>
      </c>
      <c r="K610" s="11"/>
      <c r="L610" s="11" t="s">
        <v>3385</v>
      </c>
      <c r="M610" s="11"/>
      <c r="N610" s="11"/>
      <c r="O610" s="11"/>
      <c r="P610" s="11" t="s">
        <v>102</v>
      </c>
      <c r="Q610" s="12">
        <v>113.243067</v>
      </c>
      <c r="R610" s="13">
        <v>22.694825999999999</v>
      </c>
      <c r="S610" s="11" t="s">
        <v>3382</v>
      </c>
      <c r="T610" s="11"/>
      <c r="U610" s="11" t="s">
        <v>104</v>
      </c>
      <c r="V610" s="11" t="s">
        <v>105</v>
      </c>
      <c r="W610" s="11" t="s">
        <v>106</v>
      </c>
      <c r="X610" s="11"/>
      <c r="Y610" s="11"/>
      <c r="Z610" s="11"/>
      <c r="AA610" s="12">
        <v>609</v>
      </c>
      <c r="AB610" s="12"/>
      <c r="AC610" s="11" t="s">
        <v>2189</v>
      </c>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row>
    <row r="611" spans="1:56" ht="42" x14ac:dyDescent="0.25">
      <c r="A611" s="11" t="s">
        <v>3386</v>
      </c>
      <c r="B611" s="11" t="s">
        <v>3387</v>
      </c>
      <c r="C611" s="11"/>
      <c r="D611" s="11" t="s">
        <v>91</v>
      </c>
      <c r="E611" s="11"/>
      <c r="F611" s="11" t="s">
        <v>3387</v>
      </c>
      <c r="G611" s="11" t="s">
        <v>3388</v>
      </c>
      <c r="H611" s="11" t="s">
        <v>94</v>
      </c>
      <c r="I611" s="11" t="s">
        <v>351</v>
      </c>
      <c r="J611" s="11" t="s">
        <v>351</v>
      </c>
      <c r="K611" s="11"/>
      <c r="L611" s="11" t="s">
        <v>3389</v>
      </c>
      <c r="M611" s="11"/>
      <c r="N611" s="11"/>
      <c r="O611" s="11"/>
      <c r="P611" s="11" t="s">
        <v>102</v>
      </c>
      <c r="Q611" s="12">
        <v>113.35746399999999</v>
      </c>
      <c r="R611" s="13">
        <v>22.520786000000001</v>
      </c>
      <c r="S611" s="11" t="s">
        <v>3386</v>
      </c>
      <c r="T611" s="11"/>
      <c r="U611" s="11" t="s">
        <v>104</v>
      </c>
      <c r="V611" s="11" t="s">
        <v>105</v>
      </c>
      <c r="W611" s="11" t="s">
        <v>106</v>
      </c>
      <c r="X611" s="11"/>
      <c r="Y611" s="11"/>
      <c r="Z611" s="11"/>
      <c r="AA611" s="12">
        <v>610</v>
      </c>
      <c r="AB611" s="12"/>
      <c r="AC611" s="11" t="s">
        <v>2189</v>
      </c>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row>
    <row r="612" spans="1:56" ht="56" x14ac:dyDescent="0.25">
      <c r="A612" s="11" t="s">
        <v>3390</v>
      </c>
      <c r="B612" s="11" t="s">
        <v>3391</v>
      </c>
      <c r="C612" s="11"/>
      <c r="D612" s="11" t="s">
        <v>91</v>
      </c>
      <c r="E612" s="11"/>
      <c r="F612" s="11" t="s">
        <v>3391</v>
      </c>
      <c r="G612" s="11" t="s">
        <v>3392</v>
      </c>
      <c r="H612" s="11" t="s">
        <v>94</v>
      </c>
      <c r="I612" s="11" t="s">
        <v>351</v>
      </c>
      <c r="J612" s="11" t="s">
        <v>351</v>
      </c>
      <c r="K612" s="11"/>
      <c r="L612" s="11" t="s">
        <v>3393</v>
      </c>
      <c r="M612" s="11"/>
      <c r="N612" s="11"/>
      <c r="O612" s="11"/>
      <c r="P612" s="11" t="s">
        <v>102</v>
      </c>
      <c r="Q612" s="12">
        <v>113.38439099999999</v>
      </c>
      <c r="R612" s="13">
        <v>22.529173</v>
      </c>
      <c r="S612" s="11" t="s">
        <v>3390</v>
      </c>
      <c r="T612" s="11"/>
      <c r="U612" s="11" t="s">
        <v>104</v>
      </c>
      <c r="V612" s="11" t="s">
        <v>105</v>
      </c>
      <c r="W612" s="11" t="s">
        <v>106</v>
      </c>
      <c r="X612" s="11"/>
      <c r="Y612" s="11"/>
      <c r="Z612" s="11"/>
      <c r="AA612" s="12">
        <v>611</v>
      </c>
      <c r="AB612" s="12"/>
      <c r="AC612" s="11" t="s">
        <v>2189</v>
      </c>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row>
    <row r="613" spans="1:56" ht="42" x14ac:dyDescent="0.25">
      <c r="A613" s="11" t="s">
        <v>3394</v>
      </c>
      <c r="B613" s="11" t="s">
        <v>3395</v>
      </c>
      <c r="C613" s="11"/>
      <c r="D613" s="11" t="s">
        <v>91</v>
      </c>
      <c r="E613" s="11"/>
      <c r="F613" s="11" t="s">
        <v>601</v>
      </c>
      <c r="G613" s="11" t="s">
        <v>3396</v>
      </c>
      <c r="H613" s="11" t="s">
        <v>94</v>
      </c>
      <c r="I613" s="11" t="s">
        <v>351</v>
      </c>
      <c r="J613" s="11" t="s">
        <v>351</v>
      </c>
      <c r="K613" s="11"/>
      <c r="L613" s="11" t="s">
        <v>3397</v>
      </c>
      <c r="M613" s="11"/>
      <c r="N613" s="11"/>
      <c r="O613" s="11"/>
      <c r="P613" s="11" t="s">
        <v>102</v>
      </c>
      <c r="Q613" s="12">
        <v>113.452112</v>
      </c>
      <c r="R613" s="13">
        <v>22.351094</v>
      </c>
      <c r="S613" s="11" t="s">
        <v>3394</v>
      </c>
      <c r="T613" s="11"/>
      <c r="U613" s="11" t="s">
        <v>104</v>
      </c>
      <c r="V613" s="11" t="s">
        <v>105</v>
      </c>
      <c r="W613" s="11" t="s">
        <v>106</v>
      </c>
      <c r="X613" s="11"/>
      <c r="Y613" s="11"/>
      <c r="Z613" s="11"/>
      <c r="AA613" s="12">
        <v>612</v>
      </c>
      <c r="AB613" s="12"/>
      <c r="AC613" s="11" t="s">
        <v>2189</v>
      </c>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row>
    <row r="614" spans="1:56" ht="42" x14ac:dyDescent="0.25">
      <c r="A614" s="11" t="s">
        <v>3398</v>
      </c>
      <c r="B614" s="11" t="s">
        <v>3399</v>
      </c>
      <c r="C614" s="11"/>
      <c r="D614" s="11" t="s">
        <v>91</v>
      </c>
      <c r="E614" s="11"/>
      <c r="F614" s="11" t="s">
        <v>3400</v>
      </c>
      <c r="G614" s="11" t="s">
        <v>3401</v>
      </c>
      <c r="H614" s="11" t="s">
        <v>94</v>
      </c>
      <c r="I614" s="11" t="s">
        <v>351</v>
      </c>
      <c r="J614" s="11" t="s">
        <v>351</v>
      </c>
      <c r="K614" s="11"/>
      <c r="L614" s="11" t="s">
        <v>3402</v>
      </c>
      <c r="M614" s="11"/>
      <c r="N614" s="11"/>
      <c r="O614" s="11"/>
      <c r="P614" s="11" t="s">
        <v>102</v>
      </c>
      <c r="Q614" s="12">
        <v>113.471913</v>
      </c>
      <c r="R614" s="13">
        <v>22.259283</v>
      </c>
      <c r="S614" s="11" t="s">
        <v>3398</v>
      </c>
      <c r="T614" s="11"/>
      <c r="U614" s="11" t="s">
        <v>104</v>
      </c>
      <c r="V614" s="11" t="s">
        <v>105</v>
      </c>
      <c r="W614" s="11" t="s">
        <v>106</v>
      </c>
      <c r="X614" s="11"/>
      <c r="Y614" s="11"/>
      <c r="Z614" s="11"/>
      <c r="AA614" s="12">
        <v>613</v>
      </c>
      <c r="AB614" s="12"/>
      <c r="AC614" s="11" t="s">
        <v>2189</v>
      </c>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row>
    <row r="615" spans="1:56" ht="42" x14ac:dyDescent="0.25">
      <c r="A615" s="11" t="s">
        <v>3403</v>
      </c>
      <c r="B615" s="11" t="s">
        <v>3404</v>
      </c>
      <c r="C615" s="11"/>
      <c r="D615" s="11" t="s">
        <v>91</v>
      </c>
      <c r="E615" s="11"/>
      <c r="F615" s="11" t="s">
        <v>3405</v>
      </c>
      <c r="G615" s="11" t="s">
        <v>3406</v>
      </c>
      <c r="H615" s="11" t="s">
        <v>94</v>
      </c>
      <c r="I615" s="11" t="s">
        <v>343</v>
      </c>
      <c r="J615" s="11" t="s">
        <v>404</v>
      </c>
      <c r="K615" s="11"/>
      <c r="L615" s="11" t="s">
        <v>3407</v>
      </c>
      <c r="M615" s="11" t="s">
        <v>183</v>
      </c>
      <c r="N615" s="11"/>
      <c r="O615" s="11"/>
      <c r="P615" s="11" t="s">
        <v>102</v>
      </c>
      <c r="Q615" s="12">
        <v>113.344638</v>
      </c>
      <c r="R615" s="13">
        <v>22.126978999999999</v>
      </c>
      <c r="S615" s="11" t="s">
        <v>3403</v>
      </c>
      <c r="T615" s="11"/>
      <c r="U615" s="11" t="s">
        <v>104</v>
      </c>
      <c r="V615" s="11" t="s">
        <v>105</v>
      </c>
      <c r="W615" s="11" t="s">
        <v>106</v>
      </c>
      <c r="X615" s="11"/>
      <c r="Y615" s="11"/>
      <c r="Z615" s="11"/>
      <c r="AA615" s="12">
        <v>614</v>
      </c>
      <c r="AB615" s="12"/>
      <c r="AC615" s="11" t="s">
        <v>2189</v>
      </c>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row>
    <row r="616" spans="1:56" ht="70" x14ac:dyDescent="0.25">
      <c r="A616" s="11" t="s">
        <v>3408</v>
      </c>
      <c r="B616" s="11" t="s">
        <v>3409</v>
      </c>
      <c r="C616" s="11"/>
      <c r="D616" s="11" t="s">
        <v>91</v>
      </c>
      <c r="E616" s="11"/>
      <c r="F616" s="11" t="s">
        <v>3410</v>
      </c>
      <c r="G616" s="11" t="s">
        <v>3411</v>
      </c>
      <c r="H616" s="11" t="s">
        <v>94</v>
      </c>
      <c r="I616" s="11" t="s">
        <v>351</v>
      </c>
      <c r="J616" s="11" t="s">
        <v>351</v>
      </c>
      <c r="K616" s="11"/>
      <c r="L616" s="11" t="s">
        <v>3412</v>
      </c>
      <c r="M616" s="11"/>
      <c r="N616" s="11"/>
      <c r="O616" s="11"/>
      <c r="P616" s="11" t="s">
        <v>102</v>
      </c>
      <c r="Q616" s="12">
        <v>113.388564</v>
      </c>
      <c r="R616" s="13">
        <v>22.581785</v>
      </c>
      <c r="S616" s="11" t="s">
        <v>3408</v>
      </c>
      <c r="T616" s="11"/>
      <c r="U616" s="11" t="s">
        <v>104</v>
      </c>
      <c r="V616" s="11" t="s">
        <v>105</v>
      </c>
      <c r="W616" s="11" t="s">
        <v>106</v>
      </c>
      <c r="X616" s="11"/>
      <c r="Y616" s="11"/>
      <c r="Z616" s="11"/>
      <c r="AA616" s="12">
        <v>615</v>
      </c>
      <c r="AB616" s="12"/>
      <c r="AC616" s="11" t="s">
        <v>2189</v>
      </c>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row>
    <row r="617" spans="1:56" ht="70" x14ac:dyDescent="0.25">
      <c r="A617" s="11" t="s">
        <v>3413</v>
      </c>
      <c r="B617" s="11" t="s">
        <v>3414</v>
      </c>
      <c r="C617" s="11"/>
      <c r="D617" s="11" t="s">
        <v>91</v>
      </c>
      <c r="E617" s="11"/>
      <c r="F617" s="11" t="s">
        <v>3415</v>
      </c>
      <c r="G617" s="11" t="s">
        <v>3416</v>
      </c>
      <c r="H617" s="11" t="s">
        <v>94</v>
      </c>
      <c r="I617" s="11" t="s">
        <v>2470</v>
      </c>
      <c r="J617" s="11" t="s">
        <v>3417</v>
      </c>
      <c r="K617" s="11"/>
      <c r="L617" s="11" t="s">
        <v>3418</v>
      </c>
      <c r="M617" s="11"/>
      <c r="N617" s="11"/>
      <c r="O617" s="11"/>
      <c r="P617" s="11" t="s">
        <v>102</v>
      </c>
      <c r="Q617" s="12">
        <v>112.513058</v>
      </c>
      <c r="R617" s="13">
        <v>23.090726</v>
      </c>
      <c r="S617" s="11" t="s">
        <v>3413</v>
      </c>
      <c r="T617" s="11"/>
      <c r="U617" s="11" t="s">
        <v>104</v>
      </c>
      <c r="V617" s="11" t="s">
        <v>105</v>
      </c>
      <c r="W617" s="11" t="s">
        <v>106</v>
      </c>
      <c r="X617" s="11"/>
      <c r="Y617" s="11"/>
      <c r="Z617" s="11"/>
      <c r="AA617" s="12">
        <v>616</v>
      </c>
      <c r="AB617" s="12"/>
      <c r="AC617" s="11" t="s">
        <v>2189</v>
      </c>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row>
    <row r="618" spans="1:56" ht="42" x14ac:dyDescent="0.25">
      <c r="A618" s="11" t="s">
        <v>3419</v>
      </c>
      <c r="B618" s="11" t="s">
        <v>3420</v>
      </c>
      <c r="C618" s="11"/>
      <c r="D618" s="11" t="s">
        <v>91</v>
      </c>
      <c r="E618" s="11"/>
      <c r="F618" s="11" t="s">
        <v>3421</v>
      </c>
      <c r="G618" s="11" t="s">
        <v>3422</v>
      </c>
      <c r="H618" s="11" t="s">
        <v>94</v>
      </c>
      <c r="I618" s="11" t="s">
        <v>351</v>
      </c>
      <c r="J618" s="11" t="s">
        <v>351</v>
      </c>
      <c r="K618" s="11"/>
      <c r="L618" s="11" t="s">
        <v>3423</v>
      </c>
      <c r="M618" s="11"/>
      <c r="N618" s="11"/>
      <c r="O618" s="11"/>
      <c r="P618" s="11" t="s">
        <v>102</v>
      </c>
      <c r="Q618" s="12">
        <v>113.26891000000001</v>
      </c>
      <c r="R618" s="13">
        <v>22.624918000000001</v>
      </c>
      <c r="S618" s="11" t="s">
        <v>3419</v>
      </c>
      <c r="T618" s="11"/>
      <c r="U618" s="11" t="s">
        <v>104</v>
      </c>
      <c r="V618" s="11" t="s">
        <v>105</v>
      </c>
      <c r="W618" s="11" t="s">
        <v>106</v>
      </c>
      <c r="X618" s="11"/>
      <c r="Y618" s="11"/>
      <c r="Z618" s="11"/>
      <c r="AA618" s="12">
        <v>617</v>
      </c>
      <c r="AB618" s="12"/>
      <c r="AC618" s="11" t="s">
        <v>2189</v>
      </c>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row>
    <row r="619" spans="1:56" ht="56" x14ac:dyDescent="0.25">
      <c r="A619" s="11" t="s">
        <v>3424</v>
      </c>
      <c r="B619" s="11" t="s">
        <v>3425</v>
      </c>
      <c r="C619" s="11"/>
      <c r="D619" s="11" t="s">
        <v>91</v>
      </c>
      <c r="E619" s="11"/>
      <c r="F619" s="11" t="s">
        <v>3426</v>
      </c>
      <c r="G619" s="11" t="s">
        <v>3427</v>
      </c>
      <c r="H619" s="11" t="s">
        <v>94</v>
      </c>
      <c r="I619" s="11" t="s">
        <v>722</v>
      </c>
      <c r="J619" s="11" t="s">
        <v>3428</v>
      </c>
      <c r="K619" s="11"/>
      <c r="L619" s="11" t="s">
        <v>3429</v>
      </c>
      <c r="M619" s="11"/>
      <c r="N619" s="11"/>
      <c r="O619" s="11"/>
      <c r="P619" s="11" t="s">
        <v>102</v>
      </c>
      <c r="Q619" s="12">
        <v>113.585342</v>
      </c>
      <c r="R619" s="13">
        <v>24.804272000000001</v>
      </c>
      <c r="S619" s="11" t="s">
        <v>3424</v>
      </c>
      <c r="T619" s="11"/>
      <c r="U619" s="11" t="s">
        <v>104</v>
      </c>
      <c r="V619" s="11" t="s">
        <v>105</v>
      </c>
      <c r="W619" s="11" t="s">
        <v>106</v>
      </c>
      <c r="X619" s="11"/>
      <c r="Y619" s="11"/>
      <c r="Z619" s="11"/>
      <c r="AA619" s="12">
        <v>618</v>
      </c>
      <c r="AB619" s="12"/>
      <c r="AC619" s="11" t="s">
        <v>2189</v>
      </c>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row>
    <row r="620" spans="1:56" ht="56" x14ac:dyDescent="0.25">
      <c r="A620" s="11" t="s">
        <v>3430</v>
      </c>
      <c r="B620" s="11" t="s">
        <v>3431</v>
      </c>
      <c r="C620" s="11"/>
      <c r="D620" s="11" t="s">
        <v>91</v>
      </c>
      <c r="E620" s="11"/>
      <c r="F620" s="11" t="s">
        <v>3432</v>
      </c>
      <c r="G620" s="11" t="s">
        <v>3433</v>
      </c>
      <c r="H620" s="11" t="s">
        <v>94</v>
      </c>
      <c r="I620" s="11" t="s">
        <v>112</v>
      </c>
      <c r="J620" s="11" t="s">
        <v>112</v>
      </c>
      <c r="K620" s="11"/>
      <c r="L620" s="11" t="s">
        <v>3434</v>
      </c>
      <c r="M620" s="11"/>
      <c r="N620" s="11"/>
      <c r="O620" s="11"/>
      <c r="P620" s="11" t="s">
        <v>102</v>
      </c>
      <c r="Q620" s="12">
        <v>113.70734299999999</v>
      </c>
      <c r="R620" s="13">
        <v>23.029392999999999</v>
      </c>
      <c r="S620" s="11" t="s">
        <v>3430</v>
      </c>
      <c r="T620" s="11"/>
      <c r="U620" s="11" t="s">
        <v>104</v>
      </c>
      <c r="V620" s="11" t="s">
        <v>105</v>
      </c>
      <c r="W620" s="11" t="s">
        <v>106</v>
      </c>
      <c r="X620" s="11"/>
      <c r="Y620" s="11"/>
      <c r="Z620" s="11"/>
      <c r="AA620" s="12">
        <v>619</v>
      </c>
      <c r="AB620" s="12"/>
      <c r="AC620" s="11" t="s">
        <v>2189</v>
      </c>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row>
    <row r="621" spans="1:56" ht="56" x14ac:dyDescent="0.25">
      <c r="A621" s="11" t="s">
        <v>3435</v>
      </c>
      <c r="B621" s="11" t="s">
        <v>3436</v>
      </c>
      <c r="C621" s="11"/>
      <c r="D621" s="11" t="s">
        <v>91</v>
      </c>
      <c r="E621" s="11"/>
      <c r="F621" s="11" t="s">
        <v>3437</v>
      </c>
      <c r="G621" s="11" t="s">
        <v>3438</v>
      </c>
      <c r="H621" s="11" t="s">
        <v>94</v>
      </c>
      <c r="I621" s="11" t="s">
        <v>95</v>
      </c>
      <c r="J621" s="11" t="s">
        <v>749</v>
      </c>
      <c r="K621" s="11"/>
      <c r="L621" s="11" t="s">
        <v>3439</v>
      </c>
      <c r="M621" s="11" t="s">
        <v>183</v>
      </c>
      <c r="N621" s="11"/>
      <c r="O621" s="11"/>
      <c r="P621" s="11" t="s">
        <v>102</v>
      </c>
      <c r="Q621" s="12">
        <v>113.278797</v>
      </c>
      <c r="R621" s="13">
        <v>22.777695000000001</v>
      </c>
      <c r="S621" s="11" t="s">
        <v>3435</v>
      </c>
      <c r="T621" s="11"/>
      <c r="U621" s="11" t="s">
        <v>104</v>
      </c>
      <c r="V621" s="11" t="s">
        <v>105</v>
      </c>
      <c r="W621" s="11" t="s">
        <v>106</v>
      </c>
      <c r="X621" s="11"/>
      <c r="Y621" s="11"/>
      <c r="Z621" s="11"/>
      <c r="AA621" s="12">
        <v>620</v>
      </c>
      <c r="AB621" s="12"/>
      <c r="AC621" s="11" t="s">
        <v>2189</v>
      </c>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row>
    <row r="622" spans="1:56" ht="70" x14ac:dyDescent="0.25">
      <c r="A622" s="11" t="s">
        <v>3440</v>
      </c>
      <c r="B622" s="11" t="s">
        <v>3441</v>
      </c>
      <c r="C622" s="11"/>
      <c r="D622" s="11" t="s">
        <v>91</v>
      </c>
      <c r="E622" s="11"/>
      <c r="F622" s="11" t="s">
        <v>3442</v>
      </c>
      <c r="G622" s="11" t="s">
        <v>3443</v>
      </c>
      <c r="H622" s="11" t="s">
        <v>94</v>
      </c>
      <c r="I622" s="11" t="s">
        <v>2470</v>
      </c>
      <c r="J622" s="11" t="s">
        <v>3417</v>
      </c>
      <c r="K622" s="11"/>
      <c r="L622" s="11" t="s">
        <v>3444</v>
      </c>
      <c r="M622" s="11"/>
      <c r="N622" s="11"/>
      <c r="O622" s="11"/>
      <c r="P622" s="11" t="s">
        <v>102</v>
      </c>
      <c r="Q622" s="12">
        <v>112.498288</v>
      </c>
      <c r="R622" s="13">
        <v>23.059193</v>
      </c>
      <c r="S622" s="11" t="s">
        <v>3440</v>
      </c>
      <c r="T622" s="11"/>
      <c r="U622" s="11" t="s">
        <v>104</v>
      </c>
      <c r="V622" s="11" t="s">
        <v>105</v>
      </c>
      <c r="W622" s="11" t="s">
        <v>106</v>
      </c>
      <c r="X622" s="11"/>
      <c r="Y622" s="11"/>
      <c r="Z622" s="11"/>
      <c r="AA622" s="12">
        <v>621</v>
      </c>
      <c r="AB622" s="12"/>
      <c r="AC622" s="11" t="s">
        <v>2189</v>
      </c>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row>
    <row r="623" spans="1:56" ht="70" x14ac:dyDescent="0.25">
      <c r="A623" s="11" t="s">
        <v>3445</v>
      </c>
      <c r="B623" s="11" t="s">
        <v>3446</v>
      </c>
      <c r="C623" s="11"/>
      <c r="D623" s="11" t="s">
        <v>91</v>
      </c>
      <c r="E623" s="11"/>
      <c r="F623" s="11" t="s">
        <v>3447</v>
      </c>
      <c r="G623" s="11" t="s">
        <v>3448</v>
      </c>
      <c r="H623" s="11" t="s">
        <v>94</v>
      </c>
      <c r="I623" s="11" t="s">
        <v>351</v>
      </c>
      <c r="J623" s="11" t="s">
        <v>351</v>
      </c>
      <c r="K623" s="11"/>
      <c r="L623" s="11" t="s">
        <v>3449</v>
      </c>
      <c r="M623" s="11"/>
      <c r="N623" s="11"/>
      <c r="O623" s="11"/>
      <c r="P623" s="11" t="s">
        <v>102</v>
      </c>
      <c r="Q623" s="12">
        <v>113.36988700000001</v>
      </c>
      <c r="R623" s="13">
        <v>22.497876000000002</v>
      </c>
      <c r="S623" s="11" t="s">
        <v>3445</v>
      </c>
      <c r="T623" s="11"/>
      <c r="U623" s="11" t="s">
        <v>104</v>
      </c>
      <c r="V623" s="11" t="s">
        <v>105</v>
      </c>
      <c r="W623" s="11" t="s">
        <v>106</v>
      </c>
      <c r="X623" s="11"/>
      <c r="Y623" s="11"/>
      <c r="Z623" s="11"/>
      <c r="AA623" s="12">
        <v>622</v>
      </c>
      <c r="AB623" s="12"/>
      <c r="AC623" s="11" t="s">
        <v>2189</v>
      </c>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row>
    <row r="624" spans="1:56" ht="56" x14ac:dyDescent="0.25">
      <c r="A624" s="11" t="s">
        <v>3450</v>
      </c>
      <c r="B624" s="11" t="s">
        <v>3451</v>
      </c>
      <c r="C624" s="11"/>
      <c r="D624" s="11" t="s">
        <v>91</v>
      </c>
      <c r="E624" s="11"/>
      <c r="F624" s="11" t="s">
        <v>3410</v>
      </c>
      <c r="G624" s="11" t="s">
        <v>3411</v>
      </c>
      <c r="H624" s="11" t="s">
        <v>94</v>
      </c>
      <c r="I624" s="11" t="s">
        <v>351</v>
      </c>
      <c r="J624" s="11" t="s">
        <v>351</v>
      </c>
      <c r="K624" s="11"/>
      <c r="L624" s="11" t="s">
        <v>3452</v>
      </c>
      <c r="M624" s="11"/>
      <c r="N624" s="11"/>
      <c r="O624" s="11"/>
      <c r="P624" s="11" t="s">
        <v>102</v>
      </c>
      <c r="Q624" s="12">
        <v>113.41659799999999</v>
      </c>
      <c r="R624" s="13">
        <v>22.518830999999999</v>
      </c>
      <c r="S624" s="11" t="s">
        <v>3450</v>
      </c>
      <c r="T624" s="11"/>
      <c r="U624" s="11" t="s">
        <v>104</v>
      </c>
      <c r="V624" s="11" t="s">
        <v>105</v>
      </c>
      <c r="W624" s="11" t="s">
        <v>106</v>
      </c>
      <c r="X624" s="11"/>
      <c r="Y624" s="11"/>
      <c r="Z624" s="11"/>
      <c r="AA624" s="12">
        <v>623</v>
      </c>
      <c r="AB624" s="12"/>
      <c r="AC624" s="11" t="s">
        <v>2189</v>
      </c>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row>
    <row r="625" spans="1:56" ht="56" x14ac:dyDescent="0.25">
      <c r="A625" s="11" t="s">
        <v>3453</v>
      </c>
      <c r="B625" s="11" t="s">
        <v>3454</v>
      </c>
      <c r="C625" s="11"/>
      <c r="D625" s="11" t="s">
        <v>91</v>
      </c>
      <c r="E625" s="11"/>
      <c r="F625" s="11" t="s">
        <v>3455</v>
      </c>
      <c r="G625" s="11" t="s">
        <v>3456</v>
      </c>
      <c r="H625" s="11" t="s">
        <v>94</v>
      </c>
      <c r="I625" s="11" t="s">
        <v>121</v>
      </c>
      <c r="J625" s="11" t="s">
        <v>737</v>
      </c>
      <c r="K625" s="11"/>
      <c r="L625" s="11" t="s">
        <v>3457</v>
      </c>
      <c r="M625" s="11"/>
      <c r="N625" s="11"/>
      <c r="O625" s="11"/>
      <c r="P625" s="11" t="s">
        <v>102</v>
      </c>
      <c r="Q625" s="12">
        <v>113.31271700000001</v>
      </c>
      <c r="R625" s="13">
        <v>22.974406999999999</v>
      </c>
      <c r="S625" s="11" t="s">
        <v>3453</v>
      </c>
      <c r="T625" s="11"/>
      <c r="U625" s="11" t="s">
        <v>104</v>
      </c>
      <c r="V625" s="11" t="s">
        <v>105</v>
      </c>
      <c r="W625" s="11" t="s">
        <v>106</v>
      </c>
      <c r="X625" s="11"/>
      <c r="Y625" s="11"/>
      <c r="Z625" s="11"/>
      <c r="AA625" s="12">
        <v>624</v>
      </c>
      <c r="AB625" s="12"/>
      <c r="AC625" s="11" t="s">
        <v>107</v>
      </c>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row>
    <row r="626" spans="1:56" ht="42" x14ac:dyDescent="0.25">
      <c r="A626" s="11" t="s">
        <v>3458</v>
      </c>
      <c r="B626" s="11" t="s">
        <v>3459</v>
      </c>
      <c r="C626" s="11"/>
      <c r="D626" s="11" t="s">
        <v>91</v>
      </c>
      <c r="E626" s="11"/>
      <c r="F626" s="11" t="s">
        <v>601</v>
      </c>
      <c r="G626" s="11" t="s">
        <v>3460</v>
      </c>
      <c r="H626" s="11" t="s">
        <v>94</v>
      </c>
      <c r="I626" s="11" t="s">
        <v>121</v>
      </c>
      <c r="J626" s="11" t="s">
        <v>737</v>
      </c>
      <c r="K626" s="11"/>
      <c r="L626" s="11" t="s">
        <v>3461</v>
      </c>
      <c r="M626" s="11"/>
      <c r="N626" s="11"/>
      <c r="O626" s="11"/>
      <c r="P626" s="11" t="s">
        <v>102</v>
      </c>
      <c r="Q626" s="12">
        <v>0</v>
      </c>
      <c r="R626" s="13">
        <v>0</v>
      </c>
      <c r="S626" s="11" t="s">
        <v>3458</v>
      </c>
      <c r="T626" s="11"/>
      <c r="U626" s="11" t="s">
        <v>104</v>
      </c>
      <c r="V626" s="11" t="s">
        <v>105</v>
      </c>
      <c r="W626" s="11" t="s">
        <v>106</v>
      </c>
      <c r="X626" s="11"/>
      <c r="Y626" s="11"/>
      <c r="Z626" s="11"/>
      <c r="AA626" s="12">
        <v>625</v>
      </c>
      <c r="AB626" s="12"/>
      <c r="AC626" s="11" t="s">
        <v>3459</v>
      </c>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row>
    <row r="627" spans="1:56" ht="42" x14ac:dyDescent="0.25">
      <c r="A627" s="11" t="s">
        <v>3462</v>
      </c>
      <c r="B627" s="11" t="s">
        <v>3463</v>
      </c>
      <c r="C627" s="11"/>
      <c r="D627" s="11" t="s">
        <v>91</v>
      </c>
      <c r="E627" s="11"/>
      <c r="F627" s="11" t="s">
        <v>601</v>
      </c>
      <c r="G627" s="11" t="s">
        <v>3464</v>
      </c>
      <c r="H627" s="11" t="s">
        <v>94</v>
      </c>
      <c r="I627" s="11" t="s">
        <v>121</v>
      </c>
      <c r="J627" s="11" t="s">
        <v>131</v>
      </c>
      <c r="K627" s="11"/>
      <c r="L627" s="11" t="s">
        <v>3465</v>
      </c>
      <c r="M627" s="11"/>
      <c r="N627" s="11"/>
      <c r="O627" s="11"/>
      <c r="P627" s="11" t="s">
        <v>102</v>
      </c>
      <c r="Q627" s="12">
        <v>113.55255200000001</v>
      </c>
      <c r="R627" s="13">
        <v>23.110251000000002</v>
      </c>
      <c r="S627" s="11" t="s">
        <v>3462</v>
      </c>
      <c r="T627" s="11"/>
      <c r="U627" s="11" t="s">
        <v>104</v>
      </c>
      <c r="V627" s="11" t="s">
        <v>105</v>
      </c>
      <c r="W627" s="11" t="s">
        <v>106</v>
      </c>
      <c r="X627" s="11"/>
      <c r="Y627" s="11"/>
      <c r="Z627" s="11"/>
      <c r="AA627" s="12">
        <v>626</v>
      </c>
      <c r="AB627" s="12"/>
      <c r="AC627" s="11" t="s">
        <v>107</v>
      </c>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row>
    <row r="628" spans="1:56" ht="42" x14ac:dyDescent="0.25">
      <c r="A628" s="11" t="s">
        <v>3466</v>
      </c>
      <c r="B628" s="11" t="s">
        <v>3467</v>
      </c>
      <c r="C628" s="11"/>
      <c r="D628" s="11" t="s">
        <v>91</v>
      </c>
      <c r="E628" s="11"/>
      <c r="F628" s="11" t="s">
        <v>601</v>
      </c>
      <c r="G628" s="11" t="s">
        <v>3468</v>
      </c>
      <c r="H628" s="11" t="s">
        <v>94</v>
      </c>
      <c r="I628" s="11" t="s">
        <v>121</v>
      </c>
      <c r="J628" s="11" t="s">
        <v>971</v>
      </c>
      <c r="K628" s="11"/>
      <c r="L628" s="11" t="s">
        <v>3469</v>
      </c>
      <c r="M628" s="11"/>
      <c r="N628" s="11"/>
      <c r="O628" s="11"/>
      <c r="P628" s="11" t="s">
        <v>102</v>
      </c>
      <c r="Q628" s="12">
        <v>113.258658</v>
      </c>
      <c r="R628" s="13">
        <v>23.19398</v>
      </c>
      <c r="S628" s="11" t="s">
        <v>3466</v>
      </c>
      <c r="T628" s="11"/>
      <c r="U628" s="11" t="s">
        <v>104</v>
      </c>
      <c r="V628" s="11" t="s">
        <v>105</v>
      </c>
      <c r="W628" s="11" t="s">
        <v>106</v>
      </c>
      <c r="X628" s="11"/>
      <c r="Y628" s="11"/>
      <c r="Z628" s="11"/>
      <c r="AA628" s="12">
        <v>627</v>
      </c>
      <c r="AB628" s="12"/>
      <c r="AC628" s="11" t="s">
        <v>107</v>
      </c>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row>
    <row r="629" spans="1:56" ht="42" x14ac:dyDescent="0.25">
      <c r="A629" s="11" t="s">
        <v>3470</v>
      </c>
      <c r="B629" s="11" t="s">
        <v>3471</v>
      </c>
      <c r="C629" s="11"/>
      <c r="D629" s="11" t="s">
        <v>91</v>
      </c>
      <c r="E629" s="11"/>
      <c r="F629" s="11" t="s">
        <v>3472</v>
      </c>
      <c r="G629" s="11" t="s">
        <v>3473</v>
      </c>
      <c r="H629" s="11" t="s">
        <v>94</v>
      </c>
      <c r="I629" s="11" t="s">
        <v>95</v>
      </c>
      <c r="J629" s="11" t="s">
        <v>96</v>
      </c>
      <c r="K629" s="11"/>
      <c r="L629" s="11" t="s">
        <v>3474</v>
      </c>
      <c r="M629" s="11" t="s">
        <v>99</v>
      </c>
      <c r="N629" s="11"/>
      <c r="O629" s="11"/>
      <c r="P629" s="11" t="s">
        <v>102</v>
      </c>
      <c r="Q629" s="12">
        <v>113.138778</v>
      </c>
      <c r="R629" s="13">
        <v>23.115534</v>
      </c>
      <c r="S629" s="11" t="s">
        <v>3470</v>
      </c>
      <c r="T629" s="11"/>
      <c r="U629" s="11" t="s">
        <v>104</v>
      </c>
      <c r="V629" s="11" t="s">
        <v>105</v>
      </c>
      <c r="W629" s="11" t="s">
        <v>106</v>
      </c>
      <c r="X629" s="11"/>
      <c r="Y629" s="11"/>
      <c r="Z629" s="11"/>
      <c r="AA629" s="12">
        <v>628</v>
      </c>
      <c r="AB629" s="12"/>
      <c r="AC629" s="11" t="s">
        <v>107</v>
      </c>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row>
    <row r="630" spans="1:56" ht="42" x14ac:dyDescent="0.25">
      <c r="A630" s="11" t="s">
        <v>3475</v>
      </c>
      <c r="B630" s="11" t="s">
        <v>3476</v>
      </c>
      <c r="C630" s="11"/>
      <c r="D630" s="11" t="s">
        <v>91</v>
      </c>
      <c r="E630" s="11"/>
      <c r="F630" s="11" t="s">
        <v>3477</v>
      </c>
      <c r="G630" s="11" t="s">
        <v>3478</v>
      </c>
      <c r="H630" s="11" t="s">
        <v>94</v>
      </c>
      <c r="I630" s="11" t="s">
        <v>95</v>
      </c>
      <c r="J630" s="11" t="s">
        <v>96</v>
      </c>
      <c r="K630" s="11"/>
      <c r="L630" s="11" t="s">
        <v>3479</v>
      </c>
      <c r="M630" s="11"/>
      <c r="N630" s="11"/>
      <c r="O630" s="11"/>
      <c r="P630" s="11" t="s">
        <v>102</v>
      </c>
      <c r="Q630" s="12">
        <v>113.174335</v>
      </c>
      <c r="R630" s="13">
        <v>23.065026</v>
      </c>
      <c r="S630" s="11" t="s">
        <v>3475</v>
      </c>
      <c r="T630" s="11"/>
      <c r="U630" s="11" t="s">
        <v>104</v>
      </c>
      <c r="V630" s="11" t="s">
        <v>105</v>
      </c>
      <c r="W630" s="11" t="s">
        <v>106</v>
      </c>
      <c r="X630" s="11"/>
      <c r="Y630" s="11"/>
      <c r="Z630" s="11"/>
      <c r="AA630" s="12">
        <v>629</v>
      </c>
      <c r="AB630" s="12"/>
      <c r="AC630" s="11" t="s">
        <v>107</v>
      </c>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row>
    <row r="631" spans="1:56" ht="42" x14ac:dyDescent="0.25">
      <c r="A631" s="11" t="s">
        <v>3480</v>
      </c>
      <c r="B631" s="11" t="s">
        <v>91</v>
      </c>
      <c r="C631" s="11"/>
      <c r="D631" s="11" t="s">
        <v>91</v>
      </c>
      <c r="E631" s="11"/>
      <c r="F631" s="11" t="s">
        <v>2635</v>
      </c>
      <c r="G631" s="11" t="s">
        <v>2852</v>
      </c>
      <c r="H631" s="11" t="s">
        <v>94</v>
      </c>
      <c r="I631" s="11" t="s">
        <v>121</v>
      </c>
      <c r="J631" s="11" t="s">
        <v>792</v>
      </c>
      <c r="K631" s="11"/>
      <c r="L631" s="11" t="s">
        <v>2018</v>
      </c>
      <c r="M631" s="11"/>
      <c r="N631" s="11"/>
      <c r="O631" s="11"/>
      <c r="P631" s="11" t="s">
        <v>102</v>
      </c>
      <c r="Q631" s="12">
        <v>0</v>
      </c>
      <c r="R631" s="13">
        <v>0</v>
      </c>
      <c r="S631" s="11" t="s">
        <v>3480</v>
      </c>
      <c r="T631" s="11"/>
      <c r="U631" s="11" t="s">
        <v>104</v>
      </c>
      <c r="V631" s="11" t="s">
        <v>105</v>
      </c>
      <c r="W631" s="11" t="s">
        <v>106</v>
      </c>
      <c r="X631" s="11"/>
      <c r="Y631" s="11"/>
      <c r="Z631" s="11"/>
      <c r="AA631" s="12">
        <v>630</v>
      </c>
      <c r="AB631" s="12"/>
      <c r="AC631" s="11" t="s">
        <v>107</v>
      </c>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row>
    <row r="632" spans="1:56" ht="42" x14ac:dyDescent="0.25">
      <c r="A632" s="11" t="s">
        <v>3481</v>
      </c>
      <c r="B632" s="11" t="s">
        <v>3482</v>
      </c>
      <c r="C632" s="11"/>
      <c r="D632" s="11" t="s">
        <v>91</v>
      </c>
      <c r="E632" s="11"/>
      <c r="F632" s="11" t="s">
        <v>3483</v>
      </c>
      <c r="G632" s="11" t="s">
        <v>3484</v>
      </c>
      <c r="H632" s="11" t="s">
        <v>94</v>
      </c>
      <c r="I632" s="11" t="s">
        <v>95</v>
      </c>
      <c r="J632" s="11" t="s">
        <v>96</v>
      </c>
      <c r="K632" s="11"/>
      <c r="L632" s="11" t="s">
        <v>3485</v>
      </c>
      <c r="M632" s="11"/>
      <c r="N632" s="11"/>
      <c r="O632" s="11"/>
      <c r="P632" s="11" t="s">
        <v>102</v>
      </c>
      <c r="Q632" s="12">
        <v>0</v>
      </c>
      <c r="R632" s="13">
        <v>0</v>
      </c>
      <c r="S632" s="11" t="s">
        <v>3481</v>
      </c>
      <c r="T632" s="11"/>
      <c r="U632" s="11" t="s">
        <v>104</v>
      </c>
      <c r="V632" s="11" t="s">
        <v>105</v>
      </c>
      <c r="W632" s="11" t="s">
        <v>106</v>
      </c>
      <c r="X632" s="11"/>
      <c r="Y632" s="11"/>
      <c r="Z632" s="11"/>
      <c r="AA632" s="12">
        <v>631</v>
      </c>
      <c r="AB632" s="12"/>
      <c r="AC632" s="11" t="s">
        <v>107</v>
      </c>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row>
    <row r="633" spans="1:56" ht="84" x14ac:dyDescent="0.25">
      <c r="A633" s="11" t="s">
        <v>3486</v>
      </c>
      <c r="B633" s="11" t="s">
        <v>3487</v>
      </c>
      <c r="C633" s="11"/>
      <c r="D633" s="11" t="s">
        <v>91</v>
      </c>
      <c r="E633" s="11"/>
      <c r="F633" s="11" t="s">
        <v>1030</v>
      </c>
      <c r="G633" s="11" t="s">
        <v>3488</v>
      </c>
      <c r="H633" s="11" t="s">
        <v>94</v>
      </c>
      <c r="I633" s="11" t="s">
        <v>95</v>
      </c>
      <c r="J633" s="11" t="s">
        <v>96</v>
      </c>
      <c r="K633" s="11"/>
      <c r="L633" s="11" t="s">
        <v>3489</v>
      </c>
      <c r="M633" s="11"/>
      <c r="N633" s="11"/>
      <c r="O633" s="11"/>
      <c r="P633" s="11" t="s">
        <v>102</v>
      </c>
      <c r="Q633" s="12">
        <v>0</v>
      </c>
      <c r="R633" s="13">
        <v>0</v>
      </c>
      <c r="S633" s="11" t="s">
        <v>3486</v>
      </c>
      <c r="T633" s="11"/>
      <c r="U633" s="11" t="s">
        <v>104</v>
      </c>
      <c r="V633" s="11" t="s">
        <v>105</v>
      </c>
      <c r="W633" s="11" t="s">
        <v>106</v>
      </c>
      <c r="X633" s="11"/>
      <c r="Y633" s="11"/>
      <c r="Z633" s="11"/>
      <c r="AA633" s="12">
        <v>632</v>
      </c>
      <c r="AB633" s="12"/>
      <c r="AC633" s="11" t="s">
        <v>107</v>
      </c>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row>
    <row r="634" spans="1:56" ht="70" x14ac:dyDescent="0.25">
      <c r="A634" s="11" t="s">
        <v>3490</v>
      </c>
      <c r="B634" s="11" t="s">
        <v>3491</v>
      </c>
      <c r="C634" s="11"/>
      <c r="D634" s="11" t="s">
        <v>91</v>
      </c>
      <c r="E634" s="11"/>
      <c r="F634" s="11" t="s">
        <v>3492</v>
      </c>
      <c r="G634" s="11" t="s">
        <v>3493</v>
      </c>
      <c r="H634" s="11" t="s">
        <v>94</v>
      </c>
      <c r="I634" s="11" t="s">
        <v>3494</v>
      </c>
      <c r="J634" s="11" t="s">
        <v>3495</v>
      </c>
      <c r="K634" s="11"/>
      <c r="L634" s="11" t="s">
        <v>3496</v>
      </c>
      <c r="M634" s="11" t="s">
        <v>183</v>
      </c>
      <c r="N634" s="11" t="s">
        <v>174</v>
      </c>
      <c r="O634" s="11" t="s">
        <v>101</v>
      </c>
      <c r="P634" s="11" t="s">
        <v>102</v>
      </c>
      <c r="Q634" s="12">
        <v>113.06117999999999</v>
      </c>
      <c r="R634" s="13">
        <v>23.673435999999999</v>
      </c>
      <c r="S634" s="11" t="s">
        <v>3490</v>
      </c>
      <c r="T634" s="11"/>
      <c r="U634" s="11" t="s">
        <v>104</v>
      </c>
      <c r="V634" s="11" t="s">
        <v>105</v>
      </c>
      <c r="W634" s="11" t="s">
        <v>106</v>
      </c>
      <c r="X634" s="11"/>
      <c r="Y634" s="11"/>
      <c r="Z634" s="11"/>
      <c r="AA634" s="12">
        <v>633</v>
      </c>
      <c r="AB634" s="12"/>
      <c r="AC634" s="11" t="s">
        <v>2652</v>
      </c>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row>
    <row r="635" spans="1:56" ht="56" x14ac:dyDescent="0.25">
      <c r="A635" s="11" t="s">
        <v>3497</v>
      </c>
      <c r="B635" s="11" t="s">
        <v>3498</v>
      </c>
      <c r="C635" s="11"/>
      <c r="D635" s="11" t="s">
        <v>91</v>
      </c>
      <c r="E635" s="11"/>
      <c r="F635" s="11" t="s">
        <v>3499</v>
      </c>
      <c r="G635" s="11" t="s">
        <v>3500</v>
      </c>
      <c r="H635" s="11" t="s">
        <v>94</v>
      </c>
      <c r="I635" s="11" t="s">
        <v>95</v>
      </c>
      <c r="J635" s="11" t="s">
        <v>96</v>
      </c>
      <c r="K635" s="11"/>
      <c r="L635" s="11" t="s">
        <v>3501</v>
      </c>
      <c r="M635" s="11"/>
      <c r="N635" s="11"/>
      <c r="O635" s="11"/>
      <c r="P635" s="11" t="s">
        <v>102</v>
      </c>
      <c r="Q635" s="12">
        <v>113.194135</v>
      </c>
      <c r="R635" s="13">
        <v>23.142408</v>
      </c>
      <c r="S635" s="11" t="s">
        <v>3497</v>
      </c>
      <c r="T635" s="11"/>
      <c r="U635" s="11" t="s">
        <v>104</v>
      </c>
      <c r="V635" s="11" t="s">
        <v>105</v>
      </c>
      <c r="W635" s="11" t="s">
        <v>106</v>
      </c>
      <c r="X635" s="11"/>
      <c r="Y635" s="11"/>
      <c r="Z635" s="11"/>
      <c r="AA635" s="12">
        <v>634</v>
      </c>
      <c r="AB635" s="12"/>
      <c r="AC635" s="11" t="s">
        <v>3502</v>
      </c>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row>
    <row r="636" spans="1:56" ht="42" x14ac:dyDescent="0.25">
      <c r="A636" s="11" t="s">
        <v>3503</v>
      </c>
      <c r="B636" s="11" t="s">
        <v>3504</v>
      </c>
      <c r="C636" s="11"/>
      <c r="D636" s="11" t="s">
        <v>91</v>
      </c>
      <c r="E636" s="11"/>
      <c r="F636" s="11" t="s">
        <v>601</v>
      </c>
      <c r="G636" s="11" t="s">
        <v>3505</v>
      </c>
      <c r="H636" s="11" t="s">
        <v>94</v>
      </c>
      <c r="I636" s="11" t="s">
        <v>121</v>
      </c>
      <c r="J636" s="11" t="s">
        <v>2285</v>
      </c>
      <c r="K636" s="11"/>
      <c r="L636" s="11" t="s">
        <v>3506</v>
      </c>
      <c r="M636" s="11" t="s">
        <v>99</v>
      </c>
      <c r="N636" s="11"/>
      <c r="O636" s="11"/>
      <c r="P636" s="11" t="s">
        <v>102</v>
      </c>
      <c r="Q636" s="12">
        <v>113.271126</v>
      </c>
      <c r="R636" s="13">
        <v>23.100369000000001</v>
      </c>
      <c r="S636" s="11" t="s">
        <v>3503</v>
      </c>
      <c r="T636" s="11"/>
      <c r="U636" s="11" t="s">
        <v>104</v>
      </c>
      <c r="V636" s="11" t="s">
        <v>105</v>
      </c>
      <c r="W636" s="11" t="s">
        <v>106</v>
      </c>
      <c r="X636" s="11"/>
      <c r="Y636" s="11"/>
      <c r="Z636" s="11"/>
      <c r="AA636" s="12">
        <v>635</v>
      </c>
      <c r="AB636" s="12"/>
      <c r="AC636" s="11" t="s">
        <v>3507</v>
      </c>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row>
    <row r="637" spans="1:56" ht="42" x14ac:dyDescent="0.25">
      <c r="A637" s="11" t="s">
        <v>3508</v>
      </c>
      <c r="B637" s="11" t="s">
        <v>3509</v>
      </c>
      <c r="C637" s="11"/>
      <c r="D637" s="11" t="s">
        <v>91</v>
      </c>
      <c r="E637" s="11"/>
      <c r="F637" s="11" t="s">
        <v>601</v>
      </c>
      <c r="G637" s="11" t="s">
        <v>3510</v>
      </c>
      <c r="H637" s="11" t="s">
        <v>94</v>
      </c>
      <c r="I637" s="11" t="s">
        <v>121</v>
      </c>
      <c r="J637" s="11" t="s">
        <v>2007</v>
      </c>
      <c r="K637" s="11"/>
      <c r="L637" s="11" t="s">
        <v>3511</v>
      </c>
      <c r="M637" s="11"/>
      <c r="N637" s="11"/>
      <c r="O637" s="11"/>
      <c r="P637" s="11" t="s">
        <v>102</v>
      </c>
      <c r="Q637" s="12">
        <v>113.251363</v>
      </c>
      <c r="R637" s="13">
        <v>23.122429</v>
      </c>
      <c r="S637" s="11" t="s">
        <v>3508</v>
      </c>
      <c r="T637" s="11"/>
      <c r="U637" s="11" t="s">
        <v>104</v>
      </c>
      <c r="V637" s="11" t="s">
        <v>105</v>
      </c>
      <c r="W637" s="11" t="s">
        <v>106</v>
      </c>
      <c r="X637" s="11"/>
      <c r="Y637" s="11"/>
      <c r="Z637" s="11"/>
      <c r="AA637" s="12">
        <v>636</v>
      </c>
      <c r="AB637" s="12"/>
      <c r="AC637" s="11" t="s">
        <v>3507</v>
      </c>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row>
    <row r="638" spans="1:56" ht="42" x14ac:dyDescent="0.25">
      <c r="A638" s="11" t="s">
        <v>3512</v>
      </c>
      <c r="B638" s="11" t="s">
        <v>3513</v>
      </c>
      <c r="C638" s="11"/>
      <c r="D638" s="11" t="s">
        <v>91</v>
      </c>
      <c r="E638" s="11"/>
      <c r="F638" s="11" t="s">
        <v>601</v>
      </c>
      <c r="G638" s="11" t="s">
        <v>3514</v>
      </c>
      <c r="H638" s="11" t="s">
        <v>94</v>
      </c>
      <c r="I638" s="11" t="s">
        <v>278</v>
      </c>
      <c r="J638" s="11" t="s">
        <v>390</v>
      </c>
      <c r="K638" s="11"/>
      <c r="L638" s="11" t="s">
        <v>3515</v>
      </c>
      <c r="M638" s="11"/>
      <c r="N638" s="11"/>
      <c r="O638" s="11"/>
      <c r="P638" s="11" t="s">
        <v>102</v>
      </c>
      <c r="Q638" s="12">
        <v>113.08885100000001</v>
      </c>
      <c r="R638" s="13">
        <v>22.609579</v>
      </c>
      <c r="S638" s="11" t="s">
        <v>3512</v>
      </c>
      <c r="T638" s="11"/>
      <c r="U638" s="11" t="s">
        <v>104</v>
      </c>
      <c r="V638" s="11" t="s">
        <v>105</v>
      </c>
      <c r="W638" s="11" t="s">
        <v>106</v>
      </c>
      <c r="X638" s="11"/>
      <c r="Y638" s="11"/>
      <c r="Z638" s="11"/>
      <c r="AA638" s="12">
        <v>637</v>
      </c>
      <c r="AB638" s="12"/>
      <c r="AC638" s="11" t="s">
        <v>107</v>
      </c>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row>
    <row r="639" spans="1:56" ht="42" x14ac:dyDescent="0.25">
      <c r="A639" s="11" t="s">
        <v>3516</v>
      </c>
      <c r="B639" s="11" t="s">
        <v>3517</v>
      </c>
      <c r="C639" s="11"/>
      <c r="D639" s="11" t="s">
        <v>91</v>
      </c>
      <c r="E639" s="11"/>
      <c r="F639" s="11" t="s">
        <v>3518</v>
      </c>
      <c r="G639" s="11" t="s">
        <v>3519</v>
      </c>
      <c r="H639" s="11" t="s">
        <v>94</v>
      </c>
      <c r="I639" s="11" t="s">
        <v>112</v>
      </c>
      <c r="J639" s="11" t="s">
        <v>112</v>
      </c>
      <c r="K639" s="11"/>
      <c r="L639" s="11" t="s">
        <v>3520</v>
      </c>
      <c r="M639" s="11"/>
      <c r="N639" s="11"/>
      <c r="O639" s="11"/>
      <c r="P639" s="11" t="s">
        <v>102</v>
      </c>
      <c r="Q639" s="12">
        <v>114.147065</v>
      </c>
      <c r="R639" s="13">
        <v>22.785235</v>
      </c>
      <c r="S639" s="11" t="s">
        <v>3516</v>
      </c>
      <c r="T639" s="11"/>
      <c r="U639" s="11" t="s">
        <v>104</v>
      </c>
      <c r="V639" s="11" t="s">
        <v>105</v>
      </c>
      <c r="W639" s="11" t="s">
        <v>106</v>
      </c>
      <c r="X639" s="11"/>
      <c r="Y639" s="11"/>
      <c r="Z639" s="11"/>
      <c r="AA639" s="12">
        <v>638</v>
      </c>
      <c r="AB639" s="12"/>
      <c r="AC639" s="11" t="s">
        <v>107</v>
      </c>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row>
    <row r="640" spans="1:56" ht="42" x14ac:dyDescent="0.25">
      <c r="A640" s="11" t="s">
        <v>3521</v>
      </c>
      <c r="B640" s="11" t="s">
        <v>3522</v>
      </c>
      <c r="C640" s="11"/>
      <c r="D640" s="11" t="s">
        <v>91</v>
      </c>
      <c r="E640" s="11"/>
      <c r="F640" s="11" t="s">
        <v>2906</v>
      </c>
      <c r="G640" s="11" t="s">
        <v>3523</v>
      </c>
      <c r="H640" s="11" t="s">
        <v>94</v>
      </c>
      <c r="I640" s="11" t="s">
        <v>112</v>
      </c>
      <c r="J640" s="11" t="s">
        <v>112</v>
      </c>
      <c r="K640" s="11"/>
      <c r="L640" s="11" t="s">
        <v>3524</v>
      </c>
      <c r="M640" s="11" t="s">
        <v>99</v>
      </c>
      <c r="N640" s="11"/>
      <c r="O640" s="11"/>
      <c r="P640" s="11" t="s">
        <v>102</v>
      </c>
      <c r="Q640" s="12">
        <v>113.832357</v>
      </c>
      <c r="R640" s="13">
        <v>23.013752</v>
      </c>
      <c r="S640" s="11" t="s">
        <v>3521</v>
      </c>
      <c r="T640" s="11"/>
      <c r="U640" s="11" t="s">
        <v>104</v>
      </c>
      <c r="V640" s="11" t="s">
        <v>105</v>
      </c>
      <c r="W640" s="11" t="s">
        <v>106</v>
      </c>
      <c r="X640" s="11"/>
      <c r="Y640" s="11"/>
      <c r="Z640" s="11"/>
      <c r="AA640" s="12">
        <v>639</v>
      </c>
      <c r="AB640" s="12"/>
      <c r="AC640" s="11" t="s">
        <v>2909</v>
      </c>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row>
    <row r="641" spans="1:56" ht="42" x14ac:dyDescent="0.25">
      <c r="A641" s="11" t="s">
        <v>3525</v>
      </c>
      <c r="B641" s="11" t="s">
        <v>3526</v>
      </c>
      <c r="C641" s="11"/>
      <c r="D641" s="11" t="s">
        <v>91</v>
      </c>
      <c r="E641" s="11"/>
      <c r="F641" s="11" t="s">
        <v>3527</v>
      </c>
      <c r="G641" s="11" t="s">
        <v>3528</v>
      </c>
      <c r="H641" s="11" t="s">
        <v>94</v>
      </c>
      <c r="I641" s="11" t="s">
        <v>121</v>
      </c>
      <c r="J641" s="11" t="s">
        <v>792</v>
      </c>
      <c r="K641" s="11"/>
      <c r="L641" s="11" t="s">
        <v>3529</v>
      </c>
      <c r="M641" s="11"/>
      <c r="N641" s="11"/>
      <c r="O641" s="11"/>
      <c r="P641" s="11" t="s">
        <v>102</v>
      </c>
      <c r="Q641" s="12">
        <v>113.560365</v>
      </c>
      <c r="R641" s="13">
        <v>23.199062999999999</v>
      </c>
      <c r="S641" s="11" t="s">
        <v>3525</v>
      </c>
      <c r="T641" s="11"/>
      <c r="U641" s="11" t="s">
        <v>104</v>
      </c>
      <c r="V641" s="11" t="s">
        <v>105</v>
      </c>
      <c r="W641" s="11" t="s">
        <v>106</v>
      </c>
      <c r="X641" s="11"/>
      <c r="Y641" s="11"/>
      <c r="Z641" s="11"/>
      <c r="AA641" s="12">
        <v>640</v>
      </c>
      <c r="AB641" s="12"/>
      <c r="AC641" s="11" t="s">
        <v>3527</v>
      </c>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row>
    <row r="642" spans="1:56" ht="42" x14ac:dyDescent="0.25">
      <c r="A642" s="11" t="s">
        <v>3530</v>
      </c>
      <c r="B642" s="11" t="s">
        <v>3531</v>
      </c>
      <c r="C642" s="11"/>
      <c r="D642" s="11" t="s">
        <v>91</v>
      </c>
      <c r="E642" s="11"/>
      <c r="F642" s="11" t="s">
        <v>3532</v>
      </c>
      <c r="G642" s="11" t="s">
        <v>3533</v>
      </c>
      <c r="H642" s="11" t="s">
        <v>94</v>
      </c>
      <c r="I642" s="11" t="s">
        <v>121</v>
      </c>
      <c r="J642" s="11" t="s">
        <v>131</v>
      </c>
      <c r="K642" s="11"/>
      <c r="L642" s="11" t="s">
        <v>3534</v>
      </c>
      <c r="M642" s="11"/>
      <c r="N642" s="11"/>
      <c r="O642" s="11"/>
      <c r="P642" s="11" t="s">
        <v>102</v>
      </c>
      <c r="Q642" s="12">
        <v>113.822362</v>
      </c>
      <c r="R642" s="13">
        <v>23.279271000000001</v>
      </c>
      <c r="S642" s="11" t="s">
        <v>3530</v>
      </c>
      <c r="T642" s="11"/>
      <c r="U642" s="11" t="s">
        <v>104</v>
      </c>
      <c r="V642" s="11" t="s">
        <v>105</v>
      </c>
      <c r="W642" s="11" t="s">
        <v>106</v>
      </c>
      <c r="X642" s="11"/>
      <c r="Y642" s="11"/>
      <c r="Z642" s="11"/>
      <c r="AA642" s="12">
        <v>641</v>
      </c>
      <c r="AB642" s="12"/>
      <c r="AC642" s="11" t="s">
        <v>107</v>
      </c>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row>
    <row r="643" spans="1:56" ht="42" x14ac:dyDescent="0.25">
      <c r="A643" s="11" t="s">
        <v>3535</v>
      </c>
      <c r="B643" s="11" t="s">
        <v>3536</v>
      </c>
      <c r="C643" s="11"/>
      <c r="D643" s="11" t="s">
        <v>91</v>
      </c>
      <c r="E643" s="11"/>
      <c r="F643" s="11" t="s">
        <v>601</v>
      </c>
      <c r="G643" s="11" t="s">
        <v>3537</v>
      </c>
      <c r="H643" s="11" t="s">
        <v>94</v>
      </c>
      <c r="I643" s="11" t="s">
        <v>121</v>
      </c>
      <c r="J643" s="11" t="s">
        <v>737</v>
      </c>
      <c r="K643" s="11"/>
      <c r="L643" s="11" t="s">
        <v>3538</v>
      </c>
      <c r="M643" s="11"/>
      <c r="N643" s="11"/>
      <c r="O643" s="11"/>
      <c r="P643" s="11" t="s">
        <v>102</v>
      </c>
      <c r="Q643" s="12">
        <v>113.32145800000001</v>
      </c>
      <c r="R643" s="13">
        <v>22.971167000000001</v>
      </c>
      <c r="S643" s="11" t="s">
        <v>3535</v>
      </c>
      <c r="T643" s="11"/>
      <c r="U643" s="11" t="s">
        <v>104</v>
      </c>
      <c r="V643" s="11" t="s">
        <v>105</v>
      </c>
      <c r="W643" s="11" t="s">
        <v>106</v>
      </c>
      <c r="X643" s="11"/>
      <c r="Y643" s="11"/>
      <c r="Z643" s="11"/>
      <c r="AA643" s="12">
        <v>642</v>
      </c>
      <c r="AB643" s="12"/>
      <c r="AC643" s="11" t="s">
        <v>3539</v>
      </c>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row>
    <row r="644" spans="1:56" ht="84" x14ac:dyDescent="0.25">
      <c r="A644" s="11" t="s">
        <v>3540</v>
      </c>
      <c r="B644" s="11" t="s">
        <v>3541</v>
      </c>
      <c r="C644" s="11"/>
      <c r="D644" s="11" t="s">
        <v>91</v>
      </c>
      <c r="E644" s="11"/>
      <c r="F644" s="11" t="s">
        <v>601</v>
      </c>
      <c r="G644" s="11" t="s">
        <v>3542</v>
      </c>
      <c r="H644" s="11" t="s">
        <v>94</v>
      </c>
      <c r="I644" s="11" t="s">
        <v>121</v>
      </c>
      <c r="J644" s="11" t="s">
        <v>131</v>
      </c>
      <c r="K644" s="11"/>
      <c r="L644" s="11" t="s">
        <v>3543</v>
      </c>
      <c r="M644" s="11"/>
      <c r="N644" s="11"/>
      <c r="O644" s="11"/>
      <c r="P644" s="11" t="s">
        <v>102</v>
      </c>
      <c r="Q644" s="12">
        <v>113.59032000000001</v>
      </c>
      <c r="R644" s="13">
        <v>23.186150999999999</v>
      </c>
      <c r="S644" s="11" t="s">
        <v>3540</v>
      </c>
      <c r="T644" s="11"/>
      <c r="U644" s="11" t="s">
        <v>104</v>
      </c>
      <c r="V644" s="11" t="s">
        <v>105</v>
      </c>
      <c r="W644" s="11" t="s">
        <v>106</v>
      </c>
      <c r="X644" s="11"/>
      <c r="Y644" s="11"/>
      <c r="Z644" s="11"/>
      <c r="AA644" s="12">
        <v>643</v>
      </c>
      <c r="AB644" s="12"/>
      <c r="AC644" s="11" t="s">
        <v>107</v>
      </c>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row>
    <row r="645" spans="1:56" ht="42" x14ac:dyDescent="0.25">
      <c r="A645" s="11" t="s">
        <v>3544</v>
      </c>
      <c r="B645" s="11" t="s">
        <v>3545</v>
      </c>
      <c r="C645" s="11"/>
      <c r="D645" s="11" t="s">
        <v>91</v>
      </c>
      <c r="E645" s="11"/>
      <c r="F645" s="11" t="s">
        <v>3546</v>
      </c>
      <c r="G645" s="11" t="s">
        <v>3547</v>
      </c>
      <c r="H645" s="11" t="s">
        <v>94</v>
      </c>
      <c r="I645" s="11" t="s">
        <v>121</v>
      </c>
      <c r="J645" s="11" t="s">
        <v>131</v>
      </c>
      <c r="K645" s="11"/>
      <c r="L645" s="11" t="s">
        <v>3548</v>
      </c>
      <c r="M645" s="11"/>
      <c r="N645" s="11"/>
      <c r="O645" s="11"/>
      <c r="P645" s="11" t="s">
        <v>102</v>
      </c>
      <c r="Q645" s="12">
        <v>0</v>
      </c>
      <c r="R645" s="13">
        <v>0</v>
      </c>
      <c r="S645" s="11" t="s">
        <v>3544</v>
      </c>
      <c r="T645" s="11"/>
      <c r="U645" s="11" t="s">
        <v>104</v>
      </c>
      <c r="V645" s="11" t="s">
        <v>105</v>
      </c>
      <c r="W645" s="11" t="s">
        <v>106</v>
      </c>
      <c r="X645" s="11"/>
      <c r="Y645" s="11"/>
      <c r="Z645" s="11"/>
      <c r="AA645" s="12">
        <v>644</v>
      </c>
      <c r="AB645" s="12"/>
      <c r="AC645" s="11" t="s">
        <v>3549</v>
      </c>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row>
    <row r="646" spans="1:56" ht="42" x14ac:dyDescent="0.25">
      <c r="A646" s="11" t="s">
        <v>3550</v>
      </c>
      <c r="B646" s="11" t="s">
        <v>3551</v>
      </c>
      <c r="C646" s="11"/>
      <c r="D646" s="11" t="s">
        <v>91</v>
      </c>
      <c r="E646" s="11"/>
      <c r="F646" s="11" t="s">
        <v>3552</v>
      </c>
      <c r="G646" s="11" t="s">
        <v>3553</v>
      </c>
      <c r="H646" s="11" t="s">
        <v>94</v>
      </c>
      <c r="I646" s="11" t="s">
        <v>95</v>
      </c>
      <c r="J646" s="11" t="s">
        <v>96</v>
      </c>
      <c r="K646" s="11"/>
      <c r="L646" s="11" t="s">
        <v>3554</v>
      </c>
      <c r="M646" s="11"/>
      <c r="N646" s="11"/>
      <c r="O646" s="11"/>
      <c r="P646" s="11" t="s">
        <v>102</v>
      </c>
      <c r="Q646" s="12">
        <v>113.165024</v>
      </c>
      <c r="R646" s="13">
        <v>23.195858999999999</v>
      </c>
      <c r="S646" s="11" t="s">
        <v>3550</v>
      </c>
      <c r="T646" s="11"/>
      <c r="U646" s="11" t="s">
        <v>104</v>
      </c>
      <c r="V646" s="11" t="s">
        <v>105</v>
      </c>
      <c r="W646" s="11" t="s">
        <v>106</v>
      </c>
      <c r="X646" s="11"/>
      <c r="Y646" s="11"/>
      <c r="Z646" s="11"/>
      <c r="AA646" s="12">
        <v>645</v>
      </c>
      <c r="AB646" s="12"/>
      <c r="AC646" s="11" t="s">
        <v>3555</v>
      </c>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row>
    <row r="647" spans="1:56" ht="42" x14ac:dyDescent="0.25">
      <c r="A647" s="11" t="s">
        <v>3556</v>
      </c>
      <c r="B647" s="11" t="s">
        <v>3557</v>
      </c>
      <c r="C647" s="11"/>
      <c r="D647" s="11" t="s">
        <v>91</v>
      </c>
      <c r="E647" s="11" t="s">
        <v>92</v>
      </c>
      <c r="F647" s="11" t="s">
        <v>3558</v>
      </c>
      <c r="G647" s="11" t="s">
        <v>3559</v>
      </c>
      <c r="H647" s="11" t="s">
        <v>94</v>
      </c>
      <c r="I647" s="11" t="s">
        <v>121</v>
      </c>
      <c r="J647" s="11" t="s">
        <v>737</v>
      </c>
      <c r="K647" s="11"/>
      <c r="L647" s="11" t="s">
        <v>3560</v>
      </c>
      <c r="M647" s="11" t="s">
        <v>115</v>
      </c>
      <c r="N647" s="11" t="s">
        <v>174</v>
      </c>
      <c r="O647" s="11" t="s">
        <v>101</v>
      </c>
      <c r="P647" s="11" t="s">
        <v>102</v>
      </c>
      <c r="Q647" s="12">
        <v>113.383917</v>
      </c>
      <c r="R647" s="13">
        <v>22.937560000000001</v>
      </c>
      <c r="S647" s="11" t="s">
        <v>3556</v>
      </c>
      <c r="T647" s="11"/>
      <c r="U647" s="11" t="s">
        <v>104</v>
      </c>
      <c r="V647" s="11" t="s">
        <v>105</v>
      </c>
      <c r="W647" s="11" t="s">
        <v>106</v>
      </c>
      <c r="X647" s="11"/>
      <c r="Y647" s="11"/>
      <c r="Z647" s="11"/>
      <c r="AA647" s="12">
        <v>646</v>
      </c>
      <c r="AB647" s="12"/>
      <c r="AC647" s="11" t="s">
        <v>3561</v>
      </c>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row>
    <row r="648" spans="1:56" ht="84" x14ac:dyDescent="0.25">
      <c r="A648" s="11" t="s">
        <v>3562</v>
      </c>
      <c r="B648" s="11" t="s">
        <v>3563</v>
      </c>
      <c r="C648" s="11"/>
      <c r="D648" s="11" t="s">
        <v>91</v>
      </c>
      <c r="E648" s="11" t="s">
        <v>92</v>
      </c>
      <c r="F648" s="11" t="s">
        <v>2635</v>
      </c>
      <c r="G648" s="11" t="s">
        <v>3564</v>
      </c>
      <c r="H648" s="11" t="s">
        <v>94</v>
      </c>
      <c r="I648" s="11" t="s">
        <v>121</v>
      </c>
      <c r="J648" s="11" t="s">
        <v>799</v>
      </c>
      <c r="K648" s="11"/>
      <c r="L648" s="11" t="s">
        <v>3565</v>
      </c>
      <c r="M648" s="11" t="s">
        <v>183</v>
      </c>
      <c r="N648" s="11" t="s">
        <v>100</v>
      </c>
      <c r="O648" s="11" t="s">
        <v>155</v>
      </c>
      <c r="P648" s="11" t="s">
        <v>102</v>
      </c>
      <c r="Q648" s="12">
        <v>113.236031</v>
      </c>
      <c r="R648" s="13">
        <v>23.382218999999999</v>
      </c>
      <c r="S648" s="11" t="s">
        <v>3562</v>
      </c>
      <c r="T648" s="11"/>
      <c r="U648" s="11" t="s">
        <v>104</v>
      </c>
      <c r="V648" s="11" t="s">
        <v>105</v>
      </c>
      <c r="W648" s="11" t="s">
        <v>106</v>
      </c>
      <c r="X648" s="11"/>
      <c r="Y648" s="11"/>
      <c r="Z648" s="11"/>
      <c r="AA648" s="12">
        <v>647</v>
      </c>
      <c r="AB648" s="12"/>
      <c r="AC648" s="11" t="s">
        <v>3566</v>
      </c>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row>
    <row r="649" spans="1:56" ht="56" x14ac:dyDescent="0.25">
      <c r="A649" s="11" t="s">
        <v>3567</v>
      </c>
      <c r="B649" s="11" t="s">
        <v>3568</v>
      </c>
      <c r="C649" s="11"/>
      <c r="D649" s="11" t="s">
        <v>91</v>
      </c>
      <c r="E649" s="11"/>
      <c r="F649" s="11" t="s">
        <v>3568</v>
      </c>
      <c r="G649" s="11" t="s">
        <v>3569</v>
      </c>
      <c r="H649" s="11" t="s">
        <v>94</v>
      </c>
      <c r="I649" s="11" t="s">
        <v>121</v>
      </c>
      <c r="J649" s="11" t="s">
        <v>131</v>
      </c>
      <c r="K649" s="11"/>
      <c r="L649" s="11" t="s">
        <v>3570</v>
      </c>
      <c r="M649" s="11"/>
      <c r="N649" s="11"/>
      <c r="O649" s="11"/>
      <c r="P649" s="11" t="s">
        <v>102</v>
      </c>
      <c r="Q649" s="12">
        <v>113.61133599999999</v>
      </c>
      <c r="R649" s="13">
        <v>23.119405</v>
      </c>
      <c r="S649" s="11" t="s">
        <v>3567</v>
      </c>
      <c r="T649" s="11"/>
      <c r="U649" s="11" t="s">
        <v>104</v>
      </c>
      <c r="V649" s="11" t="s">
        <v>105</v>
      </c>
      <c r="W649" s="11" t="s">
        <v>106</v>
      </c>
      <c r="X649" s="11"/>
      <c r="Y649" s="11"/>
      <c r="Z649" s="11"/>
      <c r="AA649" s="12">
        <v>648</v>
      </c>
      <c r="AB649" s="12"/>
      <c r="AC649" s="11" t="s">
        <v>107</v>
      </c>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row>
    <row r="650" spans="1:56" ht="70" x14ac:dyDescent="0.25">
      <c r="A650" s="11" t="s">
        <v>3571</v>
      </c>
      <c r="B650" s="11" t="s">
        <v>3572</v>
      </c>
      <c r="C650" s="11"/>
      <c r="D650" s="11" t="s">
        <v>91</v>
      </c>
      <c r="E650" s="11"/>
      <c r="F650" s="11" t="s">
        <v>3573</v>
      </c>
      <c r="G650" s="11" t="s">
        <v>3547</v>
      </c>
      <c r="H650" s="11" t="s">
        <v>94</v>
      </c>
      <c r="I650" s="11" t="s">
        <v>121</v>
      </c>
      <c r="J650" s="11" t="s">
        <v>131</v>
      </c>
      <c r="K650" s="11"/>
      <c r="L650" s="11" t="s">
        <v>3574</v>
      </c>
      <c r="M650" s="11"/>
      <c r="N650" s="11"/>
      <c r="O650" s="11"/>
      <c r="P650" s="11" t="s">
        <v>102</v>
      </c>
      <c r="Q650" s="12">
        <v>113.56404999999999</v>
      </c>
      <c r="R650" s="13">
        <v>23.116057999999999</v>
      </c>
      <c r="S650" s="11" t="s">
        <v>3571</v>
      </c>
      <c r="T650" s="11"/>
      <c r="U650" s="11" t="s">
        <v>104</v>
      </c>
      <c r="V650" s="11" t="s">
        <v>105</v>
      </c>
      <c r="W650" s="11" t="s">
        <v>106</v>
      </c>
      <c r="X650" s="11"/>
      <c r="Y650" s="11"/>
      <c r="Z650" s="11"/>
      <c r="AA650" s="12">
        <v>649</v>
      </c>
      <c r="AB650" s="12"/>
      <c r="AC650" s="11" t="s">
        <v>3573</v>
      </c>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row>
    <row r="651" spans="1:56" ht="42" x14ac:dyDescent="0.25">
      <c r="A651" s="11" t="s">
        <v>3575</v>
      </c>
      <c r="B651" s="11" t="s">
        <v>3576</v>
      </c>
      <c r="C651" s="11"/>
      <c r="D651" s="11" t="s">
        <v>91</v>
      </c>
      <c r="E651" s="11"/>
      <c r="F651" s="11" t="s">
        <v>3577</v>
      </c>
      <c r="G651" s="11" t="s">
        <v>3578</v>
      </c>
      <c r="H651" s="11" t="s">
        <v>94</v>
      </c>
      <c r="I651" s="11" t="s">
        <v>121</v>
      </c>
      <c r="J651" s="11" t="s">
        <v>737</v>
      </c>
      <c r="K651" s="11"/>
      <c r="L651" s="11" t="s">
        <v>123</v>
      </c>
      <c r="M651" s="11"/>
      <c r="N651" s="11"/>
      <c r="O651" s="11"/>
      <c r="P651" s="11" t="s">
        <v>102</v>
      </c>
      <c r="Q651" s="12">
        <v>0</v>
      </c>
      <c r="R651" s="13">
        <v>0</v>
      </c>
      <c r="S651" s="11" t="s">
        <v>3575</v>
      </c>
      <c r="T651" s="11"/>
      <c r="U651" s="11" t="s">
        <v>104</v>
      </c>
      <c r="V651" s="11" t="s">
        <v>105</v>
      </c>
      <c r="W651" s="11" t="s">
        <v>106</v>
      </c>
      <c r="X651" s="11"/>
      <c r="Y651" s="11"/>
      <c r="Z651" s="11"/>
      <c r="AA651" s="12">
        <v>650</v>
      </c>
      <c r="AB651" s="12"/>
      <c r="AC651" s="11" t="s">
        <v>107</v>
      </c>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row>
    <row r="652" spans="1:56" ht="42" x14ac:dyDescent="0.25">
      <c r="A652" s="11" t="s">
        <v>3579</v>
      </c>
      <c r="B652" s="11" t="s">
        <v>3580</v>
      </c>
      <c r="C652" s="11"/>
      <c r="D652" s="11" t="s">
        <v>91</v>
      </c>
      <c r="E652" s="11"/>
      <c r="F652" s="11" t="s">
        <v>3581</v>
      </c>
      <c r="G652" s="11" t="s">
        <v>3582</v>
      </c>
      <c r="H652" s="11" t="s">
        <v>94</v>
      </c>
      <c r="I652" s="11" t="s">
        <v>121</v>
      </c>
      <c r="J652" s="11" t="s">
        <v>2285</v>
      </c>
      <c r="K652" s="11"/>
      <c r="L652" s="11" t="s">
        <v>3583</v>
      </c>
      <c r="M652" s="11"/>
      <c r="N652" s="11"/>
      <c r="O652" s="11"/>
      <c r="P652" s="11" t="s">
        <v>102</v>
      </c>
      <c r="Q652" s="12">
        <v>113.34838499999999</v>
      </c>
      <c r="R652" s="13">
        <v>23.097021000000002</v>
      </c>
      <c r="S652" s="11" t="s">
        <v>3579</v>
      </c>
      <c r="T652" s="11"/>
      <c r="U652" s="11" t="s">
        <v>104</v>
      </c>
      <c r="V652" s="11" t="s">
        <v>105</v>
      </c>
      <c r="W652" s="11" t="s">
        <v>106</v>
      </c>
      <c r="X652" s="11"/>
      <c r="Y652" s="11"/>
      <c r="Z652" s="11"/>
      <c r="AA652" s="12">
        <v>651</v>
      </c>
      <c r="AB652" s="12"/>
      <c r="AC652" s="11" t="s">
        <v>3584</v>
      </c>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row>
    <row r="653" spans="1:56" ht="42" x14ac:dyDescent="0.25">
      <c r="A653" s="11" t="s">
        <v>3585</v>
      </c>
      <c r="B653" s="11" t="s">
        <v>3586</v>
      </c>
      <c r="C653" s="11"/>
      <c r="D653" s="11" t="s">
        <v>91</v>
      </c>
      <c r="E653" s="11"/>
      <c r="F653" s="11" t="s">
        <v>3587</v>
      </c>
      <c r="G653" s="11" t="s">
        <v>3588</v>
      </c>
      <c r="H653" s="11" t="s">
        <v>94</v>
      </c>
      <c r="I653" s="11" t="s">
        <v>121</v>
      </c>
      <c r="J653" s="11" t="s">
        <v>971</v>
      </c>
      <c r="K653" s="11"/>
      <c r="L653" s="11" t="s">
        <v>3589</v>
      </c>
      <c r="M653" s="11"/>
      <c r="N653" s="11"/>
      <c r="O653" s="11"/>
      <c r="P653" s="11" t="s">
        <v>102</v>
      </c>
      <c r="Q653" s="12">
        <v>113.28017199999999</v>
      </c>
      <c r="R653" s="13">
        <v>23.221501</v>
      </c>
      <c r="S653" s="11" t="s">
        <v>3585</v>
      </c>
      <c r="T653" s="11"/>
      <c r="U653" s="11" t="s">
        <v>104</v>
      </c>
      <c r="V653" s="11" t="s">
        <v>105</v>
      </c>
      <c r="W653" s="11" t="s">
        <v>106</v>
      </c>
      <c r="X653" s="11"/>
      <c r="Y653" s="11"/>
      <c r="Z653" s="11"/>
      <c r="AA653" s="12">
        <v>652</v>
      </c>
      <c r="AB653" s="12"/>
      <c r="AC653" s="11" t="s">
        <v>3584</v>
      </c>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row>
    <row r="654" spans="1:56" ht="42" x14ac:dyDescent="0.25">
      <c r="A654" s="11" t="s">
        <v>3590</v>
      </c>
      <c r="B654" s="11" t="s">
        <v>3591</v>
      </c>
      <c r="C654" s="11"/>
      <c r="D654" s="11" t="s">
        <v>91</v>
      </c>
      <c r="E654" s="11"/>
      <c r="F654" s="11" t="s">
        <v>3592</v>
      </c>
      <c r="G654" s="11" t="s">
        <v>3593</v>
      </c>
      <c r="H654" s="11" t="s">
        <v>94</v>
      </c>
      <c r="I654" s="11" t="s">
        <v>121</v>
      </c>
      <c r="J654" s="11" t="s">
        <v>737</v>
      </c>
      <c r="K654" s="11"/>
      <c r="L654" s="11" t="s">
        <v>3594</v>
      </c>
      <c r="M654" s="11"/>
      <c r="N654" s="11"/>
      <c r="O654" s="11"/>
      <c r="P654" s="11" t="s">
        <v>102</v>
      </c>
      <c r="Q654" s="12">
        <v>113.36829</v>
      </c>
      <c r="R654" s="13">
        <v>22.935372000000001</v>
      </c>
      <c r="S654" s="11" t="s">
        <v>3590</v>
      </c>
      <c r="T654" s="11"/>
      <c r="U654" s="11" t="s">
        <v>104</v>
      </c>
      <c r="V654" s="11" t="s">
        <v>105</v>
      </c>
      <c r="W654" s="11" t="s">
        <v>106</v>
      </c>
      <c r="X654" s="11"/>
      <c r="Y654" s="11"/>
      <c r="Z654" s="11"/>
      <c r="AA654" s="12">
        <v>653</v>
      </c>
      <c r="AB654" s="12"/>
      <c r="AC654" s="11" t="s">
        <v>107</v>
      </c>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row>
    <row r="655" spans="1:56" ht="42" x14ac:dyDescent="0.25">
      <c r="A655" s="11" t="s">
        <v>3595</v>
      </c>
      <c r="B655" s="11" t="s">
        <v>3596</v>
      </c>
      <c r="C655" s="11"/>
      <c r="D655" s="11" t="s">
        <v>91</v>
      </c>
      <c r="E655" s="11"/>
      <c r="F655" s="11" t="s">
        <v>3597</v>
      </c>
      <c r="G655" s="11" t="s">
        <v>3598</v>
      </c>
      <c r="H655" s="11" t="s">
        <v>94</v>
      </c>
      <c r="I655" s="11" t="s">
        <v>95</v>
      </c>
      <c r="J655" s="11" t="s">
        <v>96</v>
      </c>
      <c r="K655" s="11"/>
      <c r="L655" s="11" t="s">
        <v>3599</v>
      </c>
      <c r="M655" s="11"/>
      <c r="N655" s="11"/>
      <c r="O655" s="11"/>
      <c r="P655" s="11" t="s">
        <v>102</v>
      </c>
      <c r="Q655" s="12">
        <v>113.147057</v>
      </c>
      <c r="R655" s="13">
        <v>23.008901000000002</v>
      </c>
      <c r="S655" s="11" t="s">
        <v>3595</v>
      </c>
      <c r="T655" s="11"/>
      <c r="U655" s="11" t="s">
        <v>104</v>
      </c>
      <c r="V655" s="11" t="s">
        <v>105</v>
      </c>
      <c r="W655" s="11" t="s">
        <v>106</v>
      </c>
      <c r="X655" s="11"/>
      <c r="Y655" s="11"/>
      <c r="Z655" s="11"/>
      <c r="AA655" s="12">
        <v>654</v>
      </c>
      <c r="AB655" s="12"/>
      <c r="AC655" s="11" t="s">
        <v>3600</v>
      </c>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row>
    <row r="656" spans="1:56" ht="42" x14ac:dyDescent="0.25">
      <c r="A656" s="11" t="s">
        <v>3601</v>
      </c>
      <c r="B656" s="11" t="s">
        <v>3602</v>
      </c>
      <c r="C656" s="11"/>
      <c r="D656" s="11" t="s">
        <v>91</v>
      </c>
      <c r="E656" s="11"/>
      <c r="F656" s="11" t="s">
        <v>3602</v>
      </c>
      <c r="G656" s="11" t="s">
        <v>3603</v>
      </c>
      <c r="H656" s="11" t="s">
        <v>94</v>
      </c>
      <c r="I656" s="11" t="s">
        <v>95</v>
      </c>
      <c r="J656" s="11" t="s">
        <v>96</v>
      </c>
      <c r="K656" s="11"/>
      <c r="L656" s="11" t="s">
        <v>3604</v>
      </c>
      <c r="M656" s="11"/>
      <c r="N656" s="11"/>
      <c r="O656" s="11"/>
      <c r="P656" s="11" t="s">
        <v>102</v>
      </c>
      <c r="Q656" s="12">
        <v>113.201504</v>
      </c>
      <c r="R656" s="13">
        <v>23.135853000000001</v>
      </c>
      <c r="S656" s="11" t="s">
        <v>3601</v>
      </c>
      <c r="T656" s="11"/>
      <c r="U656" s="11" t="s">
        <v>104</v>
      </c>
      <c r="V656" s="11" t="s">
        <v>105</v>
      </c>
      <c r="W656" s="11" t="s">
        <v>106</v>
      </c>
      <c r="X656" s="11"/>
      <c r="Y656" s="11"/>
      <c r="Z656" s="11"/>
      <c r="AA656" s="12">
        <v>655</v>
      </c>
      <c r="AB656" s="12"/>
      <c r="AC656" s="11" t="s">
        <v>3602</v>
      </c>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row>
    <row r="657" spans="1:56" ht="42" x14ac:dyDescent="0.25">
      <c r="A657" s="11" t="s">
        <v>3605</v>
      </c>
      <c r="B657" s="11" t="s">
        <v>3606</v>
      </c>
      <c r="C657" s="11"/>
      <c r="D657" s="11" t="s">
        <v>91</v>
      </c>
      <c r="E657" s="11"/>
      <c r="F657" s="11" t="s">
        <v>3607</v>
      </c>
      <c r="G657" s="11" t="s">
        <v>3608</v>
      </c>
      <c r="H657" s="11" t="s">
        <v>94</v>
      </c>
      <c r="I657" s="11" t="s">
        <v>121</v>
      </c>
      <c r="J657" s="11" t="s">
        <v>737</v>
      </c>
      <c r="K657" s="11"/>
      <c r="L657" s="11" t="s">
        <v>3609</v>
      </c>
      <c r="M657" s="11"/>
      <c r="N657" s="11"/>
      <c r="O657" s="11"/>
      <c r="P657" s="11" t="s">
        <v>102</v>
      </c>
      <c r="Q657" s="12">
        <v>113.293465</v>
      </c>
      <c r="R657" s="13">
        <v>23.038565999999999</v>
      </c>
      <c r="S657" s="11" t="s">
        <v>3605</v>
      </c>
      <c r="T657" s="11"/>
      <c r="U657" s="11" t="s">
        <v>104</v>
      </c>
      <c r="V657" s="11" t="s">
        <v>105</v>
      </c>
      <c r="W657" s="11" t="s">
        <v>106</v>
      </c>
      <c r="X657" s="11"/>
      <c r="Y657" s="11"/>
      <c r="Z657" s="11"/>
      <c r="AA657" s="12">
        <v>656</v>
      </c>
      <c r="AB657" s="12"/>
      <c r="AC657" s="11" t="s">
        <v>107</v>
      </c>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row>
    <row r="658" spans="1:56" ht="42" x14ac:dyDescent="0.25">
      <c r="A658" s="11" t="s">
        <v>3610</v>
      </c>
      <c r="B658" s="11" t="s">
        <v>3611</v>
      </c>
      <c r="C658" s="11"/>
      <c r="D658" s="11" t="s">
        <v>91</v>
      </c>
      <c r="E658" s="11"/>
      <c r="F658" s="11" t="s">
        <v>3612</v>
      </c>
      <c r="G658" s="11" t="s">
        <v>3613</v>
      </c>
      <c r="H658" s="11" t="s">
        <v>94</v>
      </c>
      <c r="I658" s="11" t="s">
        <v>2470</v>
      </c>
      <c r="J658" s="11" t="s">
        <v>3614</v>
      </c>
      <c r="K658" s="11"/>
      <c r="L658" s="11" t="s">
        <v>3615</v>
      </c>
      <c r="M658" s="11"/>
      <c r="N658" s="11"/>
      <c r="O658" s="11"/>
      <c r="P658" s="11" t="s">
        <v>102</v>
      </c>
      <c r="Q658" s="12">
        <v>112.179558</v>
      </c>
      <c r="R658" s="13">
        <v>23.922649</v>
      </c>
      <c r="S658" s="11" t="s">
        <v>3610</v>
      </c>
      <c r="T658" s="11"/>
      <c r="U658" s="11" t="s">
        <v>104</v>
      </c>
      <c r="V658" s="11" t="s">
        <v>105</v>
      </c>
      <c r="W658" s="11" t="s">
        <v>106</v>
      </c>
      <c r="X658" s="11"/>
      <c r="Y658" s="11"/>
      <c r="Z658" s="11"/>
      <c r="AA658" s="12">
        <v>657</v>
      </c>
      <c r="AB658" s="12"/>
      <c r="AC658" s="11" t="s">
        <v>3611</v>
      </c>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row>
    <row r="659" spans="1:56" ht="42" x14ac:dyDescent="0.25">
      <c r="A659" s="11" t="s">
        <v>3616</v>
      </c>
      <c r="B659" s="11" t="s">
        <v>3617</v>
      </c>
      <c r="C659" s="11"/>
      <c r="D659" s="11" t="s">
        <v>91</v>
      </c>
      <c r="E659" s="11"/>
      <c r="F659" s="11" t="s">
        <v>3618</v>
      </c>
      <c r="G659" s="11" t="s">
        <v>2631</v>
      </c>
      <c r="H659" s="11" t="s">
        <v>94</v>
      </c>
      <c r="I659" s="11" t="s">
        <v>121</v>
      </c>
      <c r="J659" s="11" t="s">
        <v>792</v>
      </c>
      <c r="K659" s="11"/>
      <c r="L659" s="11" t="s">
        <v>3619</v>
      </c>
      <c r="M659" s="11"/>
      <c r="N659" s="11"/>
      <c r="O659" s="11"/>
      <c r="P659" s="11" t="s">
        <v>102</v>
      </c>
      <c r="Q659" s="12">
        <v>113.44416</v>
      </c>
      <c r="R659" s="13">
        <v>23.097989999999999</v>
      </c>
      <c r="S659" s="11" t="s">
        <v>3616</v>
      </c>
      <c r="T659" s="11"/>
      <c r="U659" s="11" t="s">
        <v>104</v>
      </c>
      <c r="V659" s="11" t="s">
        <v>105</v>
      </c>
      <c r="W659" s="11" t="s">
        <v>106</v>
      </c>
      <c r="X659" s="11"/>
      <c r="Y659" s="11"/>
      <c r="Z659" s="11"/>
      <c r="AA659" s="12">
        <v>658</v>
      </c>
      <c r="AB659" s="12"/>
      <c r="AC659" s="11" t="s">
        <v>107</v>
      </c>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row>
    <row r="660" spans="1:56" ht="42" x14ac:dyDescent="0.25">
      <c r="A660" s="11" t="s">
        <v>3620</v>
      </c>
      <c r="B660" s="11" t="s">
        <v>3621</v>
      </c>
      <c r="C660" s="11"/>
      <c r="D660" s="11" t="s">
        <v>91</v>
      </c>
      <c r="E660" s="11"/>
      <c r="F660" s="11" t="s">
        <v>601</v>
      </c>
      <c r="G660" s="11" t="s">
        <v>3622</v>
      </c>
      <c r="H660" s="11" t="s">
        <v>94</v>
      </c>
      <c r="I660" s="11" t="s">
        <v>121</v>
      </c>
      <c r="J660" s="11" t="s">
        <v>792</v>
      </c>
      <c r="K660" s="11"/>
      <c r="L660" s="11" t="s">
        <v>3623</v>
      </c>
      <c r="M660" s="11"/>
      <c r="N660" s="11"/>
      <c r="O660" s="11"/>
      <c r="P660" s="11" t="s">
        <v>102</v>
      </c>
      <c r="Q660" s="12">
        <v>113.512941</v>
      </c>
      <c r="R660" s="13">
        <v>23.154783999999999</v>
      </c>
      <c r="S660" s="11" t="s">
        <v>3620</v>
      </c>
      <c r="T660" s="11"/>
      <c r="U660" s="11" t="s">
        <v>104</v>
      </c>
      <c r="V660" s="11" t="s">
        <v>105</v>
      </c>
      <c r="W660" s="11" t="s">
        <v>106</v>
      </c>
      <c r="X660" s="11"/>
      <c r="Y660" s="11"/>
      <c r="Z660" s="11"/>
      <c r="AA660" s="12">
        <v>659</v>
      </c>
      <c r="AB660" s="12"/>
      <c r="AC660" s="11" t="s">
        <v>3527</v>
      </c>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row>
    <row r="661" spans="1:56" ht="56" x14ac:dyDescent="0.25">
      <c r="A661" s="11" t="s">
        <v>3624</v>
      </c>
      <c r="B661" s="11" t="s">
        <v>3625</v>
      </c>
      <c r="C661" s="11"/>
      <c r="D661" s="11" t="s">
        <v>91</v>
      </c>
      <c r="E661" s="11"/>
      <c r="F661" s="11" t="s">
        <v>3626</v>
      </c>
      <c r="G661" s="11" t="s">
        <v>3627</v>
      </c>
      <c r="H661" s="11" t="s">
        <v>94</v>
      </c>
      <c r="I661" s="11" t="s">
        <v>121</v>
      </c>
      <c r="J661" s="11" t="s">
        <v>971</v>
      </c>
      <c r="K661" s="11"/>
      <c r="L661" s="11" t="s">
        <v>3628</v>
      </c>
      <c r="M661" s="11"/>
      <c r="N661" s="11"/>
      <c r="O661" s="11"/>
      <c r="P661" s="11" t="s">
        <v>102</v>
      </c>
      <c r="Q661" s="12">
        <v>113.25706700000001</v>
      </c>
      <c r="R661" s="13">
        <v>23.160862000000002</v>
      </c>
      <c r="S661" s="11" t="s">
        <v>3624</v>
      </c>
      <c r="T661" s="11"/>
      <c r="U661" s="11" t="s">
        <v>104</v>
      </c>
      <c r="V661" s="11" t="s">
        <v>105</v>
      </c>
      <c r="W661" s="11" t="s">
        <v>106</v>
      </c>
      <c r="X661" s="11"/>
      <c r="Y661" s="11"/>
      <c r="Z661" s="11"/>
      <c r="AA661" s="12">
        <v>660</v>
      </c>
      <c r="AB661" s="12"/>
      <c r="AC661" s="11" t="s">
        <v>107</v>
      </c>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row>
    <row r="662" spans="1:56" ht="56" x14ac:dyDescent="0.25">
      <c r="A662" s="11" t="s">
        <v>3629</v>
      </c>
      <c r="B662" s="11" t="s">
        <v>3630</v>
      </c>
      <c r="C662" s="11"/>
      <c r="D662" s="11" t="s">
        <v>91</v>
      </c>
      <c r="E662" s="11"/>
      <c r="F662" s="11" t="s">
        <v>3626</v>
      </c>
      <c r="G662" s="11" t="s">
        <v>3627</v>
      </c>
      <c r="H662" s="11" t="s">
        <v>94</v>
      </c>
      <c r="I662" s="11" t="s">
        <v>95</v>
      </c>
      <c r="J662" s="11" t="s">
        <v>96</v>
      </c>
      <c r="K662" s="11"/>
      <c r="L662" s="11" t="s">
        <v>3631</v>
      </c>
      <c r="M662" s="11"/>
      <c r="N662" s="11"/>
      <c r="O662" s="11"/>
      <c r="P662" s="11" t="s">
        <v>102</v>
      </c>
      <c r="Q662" s="12">
        <v>113.164596</v>
      </c>
      <c r="R662" s="13">
        <v>23.047764999999998</v>
      </c>
      <c r="S662" s="11" t="s">
        <v>3629</v>
      </c>
      <c r="T662" s="11"/>
      <c r="U662" s="11" t="s">
        <v>104</v>
      </c>
      <c r="V662" s="11" t="s">
        <v>105</v>
      </c>
      <c r="W662" s="11" t="s">
        <v>106</v>
      </c>
      <c r="X662" s="11"/>
      <c r="Y662" s="11"/>
      <c r="Z662" s="11"/>
      <c r="AA662" s="12">
        <v>661</v>
      </c>
      <c r="AB662" s="12"/>
      <c r="AC662" s="11" t="s">
        <v>107</v>
      </c>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row>
    <row r="663" spans="1:56" ht="42" x14ac:dyDescent="0.25">
      <c r="A663" s="11" t="s">
        <v>3632</v>
      </c>
      <c r="B663" s="11" t="s">
        <v>3633</v>
      </c>
      <c r="C663" s="11"/>
      <c r="D663" s="11" t="s">
        <v>91</v>
      </c>
      <c r="E663" s="11"/>
      <c r="F663" s="11" t="s">
        <v>601</v>
      </c>
      <c r="G663" s="11" t="s">
        <v>3634</v>
      </c>
      <c r="H663" s="11" t="s">
        <v>94</v>
      </c>
      <c r="I663" s="11" t="s">
        <v>121</v>
      </c>
      <c r="J663" s="11" t="s">
        <v>122</v>
      </c>
      <c r="K663" s="11"/>
      <c r="L663" s="11" t="s">
        <v>3635</v>
      </c>
      <c r="M663" s="11" t="s">
        <v>183</v>
      </c>
      <c r="N663" s="11"/>
      <c r="O663" s="11"/>
      <c r="P663" s="11" t="s">
        <v>102</v>
      </c>
      <c r="Q663" s="12">
        <v>113.41255700000001</v>
      </c>
      <c r="R663" s="13">
        <v>23.119788</v>
      </c>
      <c r="S663" s="11" t="s">
        <v>3632</v>
      </c>
      <c r="T663" s="11"/>
      <c r="U663" s="11" t="s">
        <v>104</v>
      </c>
      <c r="V663" s="11" t="s">
        <v>105</v>
      </c>
      <c r="W663" s="11" t="s">
        <v>106</v>
      </c>
      <c r="X663" s="11"/>
      <c r="Y663" s="11"/>
      <c r="Z663" s="11"/>
      <c r="AA663" s="12">
        <v>662</v>
      </c>
      <c r="AB663" s="12"/>
      <c r="AC663" s="11" t="s">
        <v>107</v>
      </c>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row>
    <row r="664" spans="1:56" ht="42" x14ac:dyDescent="0.25">
      <c r="A664" s="11" t="s">
        <v>3636</v>
      </c>
      <c r="B664" s="11" t="s">
        <v>3637</v>
      </c>
      <c r="C664" s="11"/>
      <c r="D664" s="11" t="s">
        <v>91</v>
      </c>
      <c r="E664" s="11"/>
      <c r="F664" s="11" t="s">
        <v>3638</v>
      </c>
      <c r="G664" s="11" t="s">
        <v>3639</v>
      </c>
      <c r="H664" s="11" t="s">
        <v>94</v>
      </c>
      <c r="I664" s="11" t="s">
        <v>121</v>
      </c>
      <c r="J664" s="11" t="s">
        <v>971</v>
      </c>
      <c r="K664" s="11"/>
      <c r="L664" s="11" t="s">
        <v>3640</v>
      </c>
      <c r="M664" s="11"/>
      <c r="N664" s="11"/>
      <c r="O664" s="11"/>
      <c r="P664" s="11" t="s">
        <v>102</v>
      </c>
      <c r="Q664" s="12">
        <v>113.25930099999999</v>
      </c>
      <c r="R664" s="13">
        <v>23.166955999999999</v>
      </c>
      <c r="S664" s="11" t="s">
        <v>3636</v>
      </c>
      <c r="T664" s="11"/>
      <c r="U664" s="11" t="s">
        <v>104</v>
      </c>
      <c r="V664" s="11" t="s">
        <v>105</v>
      </c>
      <c r="W664" s="11" t="s">
        <v>106</v>
      </c>
      <c r="X664" s="11"/>
      <c r="Y664" s="11"/>
      <c r="Z664" s="11"/>
      <c r="AA664" s="12">
        <v>663</v>
      </c>
      <c r="AB664" s="12"/>
      <c r="AC664" s="11" t="s">
        <v>107</v>
      </c>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row>
    <row r="665" spans="1:56" ht="42" x14ac:dyDescent="0.25">
      <c r="A665" s="11" t="s">
        <v>3641</v>
      </c>
      <c r="B665" s="11" t="s">
        <v>3642</v>
      </c>
      <c r="C665" s="11"/>
      <c r="D665" s="11" t="s">
        <v>91</v>
      </c>
      <c r="E665" s="11"/>
      <c r="F665" s="11" t="s">
        <v>3642</v>
      </c>
      <c r="G665" s="11" t="s">
        <v>3643</v>
      </c>
      <c r="H665" s="11" t="s">
        <v>94</v>
      </c>
      <c r="I665" s="11" t="s">
        <v>121</v>
      </c>
      <c r="J665" s="11" t="s">
        <v>737</v>
      </c>
      <c r="K665" s="11"/>
      <c r="L665" s="11" t="s">
        <v>3644</v>
      </c>
      <c r="M665" s="11"/>
      <c r="N665" s="11"/>
      <c r="O665" s="11"/>
      <c r="P665" s="11" t="s">
        <v>102</v>
      </c>
      <c r="Q665" s="12">
        <v>113.35149</v>
      </c>
      <c r="R665" s="13">
        <v>22.975595999999999</v>
      </c>
      <c r="S665" s="11" t="s">
        <v>3641</v>
      </c>
      <c r="T665" s="11"/>
      <c r="U665" s="11" t="s">
        <v>104</v>
      </c>
      <c r="V665" s="11" t="s">
        <v>105</v>
      </c>
      <c r="W665" s="11" t="s">
        <v>106</v>
      </c>
      <c r="X665" s="11"/>
      <c r="Y665" s="11"/>
      <c r="Z665" s="11"/>
      <c r="AA665" s="12">
        <v>664</v>
      </c>
      <c r="AB665" s="12"/>
      <c r="AC665" s="11" t="s">
        <v>3642</v>
      </c>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row>
    <row r="666" spans="1:56" ht="42" x14ac:dyDescent="0.25">
      <c r="A666" s="11" t="s">
        <v>3645</v>
      </c>
      <c r="B666" s="11" t="s">
        <v>3646</v>
      </c>
      <c r="C666" s="11"/>
      <c r="D666" s="11" t="s">
        <v>91</v>
      </c>
      <c r="E666" s="11"/>
      <c r="F666" s="11" t="s">
        <v>3646</v>
      </c>
      <c r="G666" s="11" t="s">
        <v>3647</v>
      </c>
      <c r="H666" s="11" t="s">
        <v>94</v>
      </c>
      <c r="I666" s="11" t="s">
        <v>121</v>
      </c>
      <c r="J666" s="11" t="s">
        <v>737</v>
      </c>
      <c r="K666" s="11"/>
      <c r="L666" s="11" t="s">
        <v>3648</v>
      </c>
      <c r="M666" s="11"/>
      <c r="N666" s="11"/>
      <c r="O666" s="11"/>
      <c r="P666" s="11" t="s">
        <v>102</v>
      </c>
      <c r="Q666" s="12">
        <v>113.34245199999999</v>
      </c>
      <c r="R666" s="13">
        <v>22.965990999999999</v>
      </c>
      <c r="S666" s="11" t="s">
        <v>3645</v>
      </c>
      <c r="T666" s="11"/>
      <c r="U666" s="11" t="s">
        <v>104</v>
      </c>
      <c r="V666" s="11" t="s">
        <v>105</v>
      </c>
      <c r="W666" s="11" t="s">
        <v>106</v>
      </c>
      <c r="X666" s="11"/>
      <c r="Y666" s="11"/>
      <c r="Z666" s="11"/>
      <c r="AA666" s="12">
        <v>665</v>
      </c>
      <c r="AB666" s="12"/>
      <c r="AC666" s="11" t="s">
        <v>3646</v>
      </c>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row>
    <row r="667" spans="1:56" ht="56" x14ac:dyDescent="0.25">
      <c r="A667" s="11" t="s">
        <v>3649</v>
      </c>
      <c r="B667" s="11" t="s">
        <v>3650</v>
      </c>
      <c r="C667" s="11"/>
      <c r="D667" s="11" t="s">
        <v>91</v>
      </c>
      <c r="E667" s="11"/>
      <c r="F667" s="11" t="s">
        <v>3651</v>
      </c>
      <c r="G667" s="11" t="s">
        <v>3652</v>
      </c>
      <c r="H667" s="11" t="s">
        <v>94</v>
      </c>
      <c r="I667" s="11" t="s">
        <v>95</v>
      </c>
      <c r="J667" s="11" t="s">
        <v>96</v>
      </c>
      <c r="K667" s="11"/>
      <c r="L667" s="11" t="s">
        <v>3653</v>
      </c>
      <c r="M667" s="11"/>
      <c r="N667" s="11"/>
      <c r="O667" s="11"/>
      <c r="P667" s="11" t="s">
        <v>102</v>
      </c>
      <c r="Q667" s="12">
        <v>0</v>
      </c>
      <c r="R667" s="13">
        <v>0</v>
      </c>
      <c r="S667" s="11" t="s">
        <v>3649</v>
      </c>
      <c r="T667" s="11"/>
      <c r="U667" s="11" t="s">
        <v>104</v>
      </c>
      <c r="V667" s="11" t="s">
        <v>105</v>
      </c>
      <c r="W667" s="11" t="s">
        <v>106</v>
      </c>
      <c r="X667" s="11"/>
      <c r="Y667" s="11"/>
      <c r="Z667" s="11"/>
      <c r="AA667" s="12">
        <v>666</v>
      </c>
      <c r="AB667" s="12"/>
      <c r="AC667" s="11" t="s">
        <v>3654</v>
      </c>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row>
    <row r="668" spans="1:56" ht="42" x14ac:dyDescent="0.25">
      <c r="A668" s="11" t="s">
        <v>3655</v>
      </c>
      <c r="B668" s="11" t="s">
        <v>3656</v>
      </c>
      <c r="C668" s="11"/>
      <c r="D668" s="11" t="s">
        <v>91</v>
      </c>
      <c r="E668" s="11"/>
      <c r="F668" s="11" t="s">
        <v>3657</v>
      </c>
      <c r="G668" s="11" t="s">
        <v>2631</v>
      </c>
      <c r="H668" s="11" t="s">
        <v>94</v>
      </c>
      <c r="I668" s="11" t="s">
        <v>121</v>
      </c>
      <c r="J668" s="11" t="s">
        <v>122</v>
      </c>
      <c r="K668" s="11"/>
      <c r="L668" s="11" t="s">
        <v>3658</v>
      </c>
      <c r="M668" s="11"/>
      <c r="N668" s="11"/>
      <c r="O668" s="11"/>
      <c r="P668" s="11" t="s">
        <v>102</v>
      </c>
      <c r="Q668" s="12">
        <v>0</v>
      </c>
      <c r="R668" s="13">
        <v>0</v>
      </c>
      <c r="S668" s="11" t="s">
        <v>3655</v>
      </c>
      <c r="T668" s="11"/>
      <c r="U668" s="11" t="s">
        <v>104</v>
      </c>
      <c r="V668" s="11" t="s">
        <v>105</v>
      </c>
      <c r="W668" s="11" t="s">
        <v>106</v>
      </c>
      <c r="X668" s="11"/>
      <c r="Y668" s="11"/>
      <c r="Z668" s="11"/>
      <c r="AA668" s="12">
        <v>667</v>
      </c>
      <c r="AB668" s="12"/>
      <c r="AC668" s="11" t="s">
        <v>3656</v>
      </c>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row>
    <row r="669" spans="1:56" ht="42" x14ac:dyDescent="0.25">
      <c r="A669" s="11" t="s">
        <v>3659</v>
      </c>
      <c r="B669" s="11" t="s">
        <v>3660</v>
      </c>
      <c r="C669" s="11"/>
      <c r="D669" s="11" t="s">
        <v>91</v>
      </c>
      <c r="E669" s="11"/>
      <c r="F669" s="11" t="s">
        <v>3661</v>
      </c>
      <c r="G669" s="11" t="s">
        <v>3662</v>
      </c>
      <c r="H669" s="11" t="s">
        <v>94</v>
      </c>
      <c r="I669" s="11" t="s">
        <v>2470</v>
      </c>
      <c r="J669" s="11" t="s">
        <v>3417</v>
      </c>
      <c r="K669" s="11"/>
      <c r="L669" s="11" t="s">
        <v>3663</v>
      </c>
      <c r="M669" s="11"/>
      <c r="N669" s="11"/>
      <c r="O669" s="11"/>
      <c r="P669" s="11" t="s">
        <v>102</v>
      </c>
      <c r="Q669" s="12">
        <v>112.494015</v>
      </c>
      <c r="R669" s="13">
        <v>23.049970999999999</v>
      </c>
      <c r="S669" s="11" t="s">
        <v>3659</v>
      </c>
      <c r="T669" s="11"/>
      <c r="U669" s="11" t="s">
        <v>104</v>
      </c>
      <c r="V669" s="11" t="s">
        <v>105</v>
      </c>
      <c r="W669" s="11" t="s">
        <v>106</v>
      </c>
      <c r="X669" s="11"/>
      <c r="Y669" s="11"/>
      <c r="Z669" s="11"/>
      <c r="AA669" s="12">
        <v>668</v>
      </c>
      <c r="AB669" s="12"/>
      <c r="AC669" s="11" t="s">
        <v>107</v>
      </c>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row>
    <row r="670" spans="1:56" ht="42" x14ac:dyDescent="0.25">
      <c r="A670" s="11" t="s">
        <v>3664</v>
      </c>
      <c r="B670" s="11" t="s">
        <v>3665</v>
      </c>
      <c r="C670" s="11"/>
      <c r="D670" s="11" t="s">
        <v>91</v>
      </c>
      <c r="E670" s="11"/>
      <c r="F670" s="11" t="s">
        <v>3666</v>
      </c>
      <c r="G670" s="11" t="s">
        <v>3667</v>
      </c>
      <c r="H670" s="11" t="s">
        <v>94</v>
      </c>
      <c r="I670" s="11" t="s">
        <v>121</v>
      </c>
      <c r="J670" s="11" t="s">
        <v>792</v>
      </c>
      <c r="K670" s="11"/>
      <c r="L670" s="11" t="s">
        <v>3668</v>
      </c>
      <c r="M670" s="11"/>
      <c r="N670" s="11"/>
      <c r="O670" s="11"/>
      <c r="P670" s="11" t="s">
        <v>102</v>
      </c>
      <c r="Q670" s="12">
        <v>113.519696</v>
      </c>
      <c r="R670" s="13">
        <v>23.076454999999999</v>
      </c>
      <c r="S670" s="11" t="s">
        <v>3664</v>
      </c>
      <c r="T670" s="11"/>
      <c r="U670" s="11" t="s">
        <v>104</v>
      </c>
      <c r="V670" s="11" t="s">
        <v>105</v>
      </c>
      <c r="W670" s="11" t="s">
        <v>106</v>
      </c>
      <c r="X670" s="11"/>
      <c r="Y670" s="11"/>
      <c r="Z670" s="11"/>
      <c r="AA670" s="12">
        <v>669</v>
      </c>
      <c r="AB670" s="12"/>
      <c r="AC670" s="11" t="s">
        <v>3665</v>
      </c>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row>
    <row r="671" spans="1:56" ht="70" x14ac:dyDescent="0.25">
      <c r="A671" s="11" t="s">
        <v>3669</v>
      </c>
      <c r="B671" s="11" t="s">
        <v>3670</v>
      </c>
      <c r="C671" s="11"/>
      <c r="D671" s="11" t="s">
        <v>91</v>
      </c>
      <c r="E671" s="11"/>
      <c r="F671" s="11" t="s">
        <v>3671</v>
      </c>
      <c r="G671" s="11" t="s">
        <v>3672</v>
      </c>
      <c r="H671" s="11" t="s">
        <v>94</v>
      </c>
      <c r="I671" s="11" t="s">
        <v>121</v>
      </c>
      <c r="J671" s="11" t="s">
        <v>799</v>
      </c>
      <c r="K671" s="11"/>
      <c r="L671" s="11" t="s">
        <v>3673</v>
      </c>
      <c r="M671" s="11"/>
      <c r="N671" s="11"/>
      <c r="O671" s="11"/>
      <c r="P671" s="11" t="s">
        <v>102</v>
      </c>
      <c r="Q671" s="12">
        <v>113.215113</v>
      </c>
      <c r="R671" s="13">
        <v>23.382694999999998</v>
      </c>
      <c r="S671" s="11" t="s">
        <v>3669</v>
      </c>
      <c r="T671" s="11"/>
      <c r="U671" s="11" t="s">
        <v>104</v>
      </c>
      <c r="V671" s="11" t="s">
        <v>105</v>
      </c>
      <c r="W671" s="11" t="s">
        <v>106</v>
      </c>
      <c r="X671" s="11"/>
      <c r="Y671" s="11"/>
      <c r="Z671" s="11"/>
      <c r="AA671" s="12">
        <v>670</v>
      </c>
      <c r="AB671" s="12"/>
      <c r="AC671" s="11" t="s">
        <v>3671</v>
      </c>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row>
    <row r="672" spans="1:56" ht="42" x14ac:dyDescent="0.25">
      <c r="A672" s="11" t="s">
        <v>3674</v>
      </c>
      <c r="B672" s="11" t="s">
        <v>3675</v>
      </c>
      <c r="C672" s="11"/>
      <c r="D672" s="11" t="s">
        <v>91</v>
      </c>
      <c r="E672" s="11"/>
      <c r="F672" s="11" t="s">
        <v>3675</v>
      </c>
      <c r="G672" s="11" t="s">
        <v>3676</v>
      </c>
      <c r="H672" s="11" t="s">
        <v>94</v>
      </c>
      <c r="I672" s="11" t="s">
        <v>121</v>
      </c>
      <c r="J672" s="11" t="s">
        <v>122</v>
      </c>
      <c r="K672" s="11"/>
      <c r="L672" s="11" t="s">
        <v>123</v>
      </c>
      <c r="M672" s="11"/>
      <c r="N672" s="11"/>
      <c r="O672" s="11"/>
      <c r="P672" s="11" t="s">
        <v>102</v>
      </c>
      <c r="Q672" s="12">
        <v>113.361597</v>
      </c>
      <c r="R672" s="13">
        <v>23.124817</v>
      </c>
      <c r="S672" s="11" t="s">
        <v>3674</v>
      </c>
      <c r="T672" s="11"/>
      <c r="U672" s="11" t="s">
        <v>104</v>
      </c>
      <c r="V672" s="11" t="s">
        <v>105</v>
      </c>
      <c r="W672" s="11" t="s">
        <v>106</v>
      </c>
      <c r="X672" s="11"/>
      <c r="Y672" s="11"/>
      <c r="Z672" s="11"/>
      <c r="AA672" s="12">
        <v>671</v>
      </c>
      <c r="AB672" s="12"/>
      <c r="AC672" s="11" t="s">
        <v>3675</v>
      </c>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row>
    <row r="673" spans="1:56" ht="42" x14ac:dyDescent="0.25">
      <c r="A673" s="11" t="s">
        <v>3677</v>
      </c>
      <c r="B673" s="11" t="s">
        <v>3678</v>
      </c>
      <c r="C673" s="11"/>
      <c r="D673" s="11" t="s">
        <v>91</v>
      </c>
      <c r="E673" s="11"/>
      <c r="F673" s="11" t="s">
        <v>3678</v>
      </c>
      <c r="G673" s="11" t="s">
        <v>3679</v>
      </c>
      <c r="H673" s="11" t="s">
        <v>94</v>
      </c>
      <c r="I673" s="11" t="s">
        <v>121</v>
      </c>
      <c r="J673" s="11" t="s">
        <v>122</v>
      </c>
      <c r="K673" s="11"/>
      <c r="L673" s="11" t="s">
        <v>123</v>
      </c>
      <c r="M673" s="11"/>
      <c r="N673" s="11"/>
      <c r="O673" s="11"/>
      <c r="P673" s="11" t="s">
        <v>102</v>
      </c>
      <c r="Q673" s="12">
        <v>0</v>
      </c>
      <c r="R673" s="13">
        <v>0</v>
      </c>
      <c r="S673" s="11" t="s">
        <v>3677</v>
      </c>
      <c r="T673" s="11"/>
      <c r="U673" s="11" t="s">
        <v>104</v>
      </c>
      <c r="V673" s="11" t="s">
        <v>105</v>
      </c>
      <c r="W673" s="11" t="s">
        <v>106</v>
      </c>
      <c r="X673" s="11"/>
      <c r="Y673" s="11"/>
      <c r="Z673" s="11"/>
      <c r="AA673" s="12">
        <v>672</v>
      </c>
      <c r="AB673" s="12"/>
      <c r="AC673" s="11" t="s">
        <v>107</v>
      </c>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row>
    <row r="674" spans="1:56" ht="42" x14ac:dyDescent="0.25">
      <c r="A674" s="11" t="s">
        <v>3680</v>
      </c>
      <c r="B674" s="11" t="s">
        <v>3681</v>
      </c>
      <c r="C674" s="11"/>
      <c r="D674" s="11" t="s">
        <v>91</v>
      </c>
      <c r="E674" s="11"/>
      <c r="F674" s="11" t="s">
        <v>3682</v>
      </c>
      <c r="G674" s="11" t="s">
        <v>2017</v>
      </c>
      <c r="H674" s="11" t="s">
        <v>94</v>
      </c>
      <c r="I674" s="11" t="s">
        <v>121</v>
      </c>
      <c r="J674" s="11" t="s">
        <v>792</v>
      </c>
      <c r="K674" s="11"/>
      <c r="L674" s="11" t="s">
        <v>2018</v>
      </c>
      <c r="M674" s="11"/>
      <c r="N674" s="11"/>
      <c r="O674" s="11"/>
      <c r="P674" s="11" t="s">
        <v>102</v>
      </c>
      <c r="Q674" s="12">
        <v>0</v>
      </c>
      <c r="R674" s="13">
        <v>0</v>
      </c>
      <c r="S674" s="11" t="s">
        <v>3680</v>
      </c>
      <c r="T674" s="11"/>
      <c r="U674" s="11" t="s">
        <v>104</v>
      </c>
      <c r="V674" s="11" t="s">
        <v>105</v>
      </c>
      <c r="W674" s="11" t="s">
        <v>106</v>
      </c>
      <c r="X674" s="11"/>
      <c r="Y674" s="11"/>
      <c r="Z674" s="11"/>
      <c r="AA674" s="12">
        <v>673</v>
      </c>
      <c r="AB674" s="12"/>
      <c r="AC674" s="11" t="s">
        <v>3681</v>
      </c>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row>
    <row r="675" spans="1:56" ht="56" x14ac:dyDescent="0.25">
      <c r="A675" s="11" t="s">
        <v>3683</v>
      </c>
      <c r="B675" s="11" t="s">
        <v>3684</v>
      </c>
      <c r="C675" s="11"/>
      <c r="D675" s="11" t="s">
        <v>91</v>
      </c>
      <c r="E675" s="11"/>
      <c r="F675" s="11" t="s">
        <v>3685</v>
      </c>
      <c r="G675" s="11" t="s">
        <v>3686</v>
      </c>
      <c r="H675" s="11" t="s">
        <v>94</v>
      </c>
      <c r="I675" s="11" t="s">
        <v>121</v>
      </c>
      <c r="J675" s="11" t="s">
        <v>971</v>
      </c>
      <c r="K675" s="11"/>
      <c r="L675" s="11" t="s">
        <v>3687</v>
      </c>
      <c r="M675" s="11" t="s">
        <v>139</v>
      </c>
      <c r="N675" s="11"/>
      <c r="O675" s="11"/>
      <c r="P675" s="11" t="s">
        <v>102</v>
      </c>
      <c r="Q675" s="12">
        <v>113.28204700000001</v>
      </c>
      <c r="R675" s="13">
        <v>23.232963000000002</v>
      </c>
      <c r="S675" s="11" t="s">
        <v>3683</v>
      </c>
      <c r="T675" s="11"/>
      <c r="U675" s="11" t="s">
        <v>104</v>
      </c>
      <c r="V675" s="11" t="s">
        <v>105</v>
      </c>
      <c r="W675" s="11" t="s">
        <v>106</v>
      </c>
      <c r="X675" s="11"/>
      <c r="Y675" s="11"/>
      <c r="Z675" s="11"/>
      <c r="AA675" s="12">
        <v>674</v>
      </c>
      <c r="AB675" s="12"/>
      <c r="AC675" s="11" t="s">
        <v>3688</v>
      </c>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row>
    <row r="676" spans="1:56" ht="56" x14ac:dyDescent="0.25">
      <c r="A676" s="11" t="s">
        <v>3689</v>
      </c>
      <c r="B676" s="11" t="s">
        <v>3690</v>
      </c>
      <c r="C676" s="11"/>
      <c r="D676" s="11" t="s">
        <v>91</v>
      </c>
      <c r="E676" s="11"/>
      <c r="F676" s="11" t="s">
        <v>3691</v>
      </c>
      <c r="G676" s="11" t="s">
        <v>3692</v>
      </c>
      <c r="H676" s="11" t="s">
        <v>94</v>
      </c>
      <c r="I676" s="11" t="s">
        <v>121</v>
      </c>
      <c r="J676" s="11" t="s">
        <v>971</v>
      </c>
      <c r="K676" s="11"/>
      <c r="L676" s="11" t="s">
        <v>3693</v>
      </c>
      <c r="M676" s="11" t="s">
        <v>139</v>
      </c>
      <c r="N676" s="11" t="s">
        <v>174</v>
      </c>
      <c r="O676" s="11" t="s">
        <v>101</v>
      </c>
      <c r="P676" s="11" t="s">
        <v>102</v>
      </c>
      <c r="Q676" s="12">
        <v>113.324264</v>
      </c>
      <c r="R676" s="13">
        <v>23.193767999999999</v>
      </c>
      <c r="S676" s="11" t="s">
        <v>3689</v>
      </c>
      <c r="T676" s="11"/>
      <c r="U676" s="11" t="s">
        <v>104</v>
      </c>
      <c r="V676" s="11" t="s">
        <v>105</v>
      </c>
      <c r="W676" s="11" t="s">
        <v>106</v>
      </c>
      <c r="X676" s="11"/>
      <c r="Y676" s="11"/>
      <c r="Z676" s="11"/>
      <c r="AA676" s="12">
        <v>675</v>
      </c>
      <c r="AB676" s="12"/>
      <c r="AC676" s="11" t="s">
        <v>3688</v>
      </c>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row>
    <row r="677" spans="1:56" ht="56" x14ac:dyDescent="0.25">
      <c r="A677" s="11" t="s">
        <v>3694</v>
      </c>
      <c r="B677" s="11" t="s">
        <v>3695</v>
      </c>
      <c r="C677" s="11"/>
      <c r="D677" s="11" t="s">
        <v>91</v>
      </c>
      <c r="E677" s="11"/>
      <c r="F677" s="11" t="s">
        <v>3696</v>
      </c>
      <c r="G677" s="11" t="s">
        <v>3697</v>
      </c>
      <c r="H677" s="11" t="s">
        <v>94</v>
      </c>
      <c r="I677" s="11" t="s">
        <v>121</v>
      </c>
      <c r="J677" s="11" t="s">
        <v>971</v>
      </c>
      <c r="K677" s="11"/>
      <c r="L677" s="11" t="s">
        <v>3698</v>
      </c>
      <c r="M677" s="11" t="s">
        <v>139</v>
      </c>
      <c r="N677" s="11" t="s">
        <v>174</v>
      </c>
      <c r="O677" s="11" t="s">
        <v>101</v>
      </c>
      <c r="P677" s="11" t="s">
        <v>102</v>
      </c>
      <c r="Q677" s="12">
        <v>113.305938</v>
      </c>
      <c r="R677" s="13">
        <v>23.229654</v>
      </c>
      <c r="S677" s="11" t="s">
        <v>3694</v>
      </c>
      <c r="T677" s="11"/>
      <c r="U677" s="11" t="s">
        <v>104</v>
      </c>
      <c r="V677" s="11" t="s">
        <v>105</v>
      </c>
      <c r="W677" s="11" t="s">
        <v>106</v>
      </c>
      <c r="X677" s="11"/>
      <c r="Y677" s="11"/>
      <c r="Z677" s="11"/>
      <c r="AA677" s="12">
        <v>676</v>
      </c>
      <c r="AB677" s="12"/>
      <c r="AC677" s="11" t="s">
        <v>3688</v>
      </c>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row>
    <row r="678" spans="1:56" ht="56" x14ac:dyDescent="0.25">
      <c r="A678" s="11" t="s">
        <v>3699</v>
      </c>
      <c r="B678" s="11" t="s">
        <v>3700</v>
      </c>
      <c r="C678" s="11"/>
      <c r="D678" s="11" t="s">
        <v>91</v>
      </c>
      <c r="E678" s="11"/>
      <c r="F678" s="11" t="s">
        <v>3701</v>
      </c>
      <c r="G678" s="11" t="s">
        <v>3702</v>
      </c>
      <c r="H678" s="11" t="s">
        <v>94</v>
      </c>
      <c r="I678" s="11" t="s">
        <v>121</v>
      </c>
      <c r="J678" s="11" t="s">
        <v>131</v>
      </c>
      <c r="K678" s="11"/>
      <c r="L678" s="11" t="s">
        <v>3703</v>
      </c>
      <c r="M678" s="11"/>
      <c r="N678" s="11"/>
      <c r="O678" s="11"/>
      <c r="P678" s="11" t="s">
        <v>102</v>
      </c>
      <c r="Q678" s="12">
        <v>113.821167</v>
      </c>
      <c r="R678" s="13">
        <v>23.293078000000001</v>
      </c>
      <c r="S678" s="11" t="s">
        <v>3699</v>
      </c>
      <c r="T678" s="11"/>
      <c r="U678" s="11" t="s">
        <v>104</v>
      </c>
      <c r="V678" s="11" t="s">
        <v>105</v>
      </c>
      <c r="W678" s="11" t="s">
        <v>106</v>
      </c>
      <c r="X678" s="11"/>
      <c r="Y678" s="11"/>
      <c r="Z678" s="11"/>
      <c r="AA678" s="12">
        <v>677</v>
      </c>
      <c r="AB678" s="12"/>
      <c r="AC678" s="11" t="s">
        <v>107</v>
      </c>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row>
    <row r="679" spans="1:56" ht="84" x14ac:dyDescent="0.25">
      <c r="A679" s="11" t="s">
        <v>3704</v>
      </c>
      <c r="B679" s="11" t="s">
        <v>3705</v>
      </c>
      <c r="C679" s="11"/>
      <c r="D679" s="11" t="s">
        <v>91</v>
      </c>
      <c r="E679" s="11"/>
      <c r="F679" s="11" t="s">
        <v>601</v>
      </c>
      <c r="G679" s="11" t="s">
        <v>3706</v>
      </c>
      <c r="H679" s="11" t="s">
        <v>94</v>
      </c>
      <c r="I679" s="11" t="s">
        <v>95</v>
      </c>
      <c r="J679" s="11" t="s">
        <v>749</v>
      </c>
      <c r="K679" s="11"/>
      <c r="L679" s="11" t="s">
        <v>3707</v>
      </c>
      <c r="M679" s="11"/>
      <c r="N679" s="11"/>
      <c r="O679" s="11"/>
      <c r="P679" s="11" t="s">
        <v>102</v>
      </c>
      <c r="Q679" s="12">
        <v>113.218079</v>
      </c>
      <c r="R679" s="13">
        <v>22.873918</v>
      </c>
      <c r="S679" s="11" t="s">
        <v>3704</v>
      </c>
      <c r="T679" s="11"/>
      <c r="U679" s="11" t="s">
        <v>104</v>
      </c>
      <c r="V679" s="11" t="s">
        <v>105</v>
      </c>
      <c r="W679" s="11" t="s">
        <v>106</v>
      </c>
      <c r="X679" s="11"/>
      <c r="Y679" s="11"/>
      <c r="Z679" s="11"/>
      <c r="AA679" s="12">
        <v>678</v>
      </c>
      <c r="AB679" s="12"/>
      <c r="AC679" s="11" t="s">
        <v>2292</v>
      </c>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row>
    <row r="680" spans="1:56" ht="56" x14ac:dyDescent="0.25">
      <c r="A680" s="11" t="s">
        <v>3708</v>
      </c>
      <c r="B680" s="11" t="s">
        <v>3709</v>
      </c>
      <c r="C680" s="11"/>
      <c r="D680" s="11" t="s">
        <v>91</v>
      </c>
      <c r="E680" s="11"/>
      <c r="F680" s="11" t="s">
        <v>3710</v>
      </c>
      <c r="G680" s="11" t="s">
        <v>3711</v>
      </c>
      <c r="H680" s="11" t="s">
        <v>94</v>
      </c>
      <c r="I680" s="11" t="s">
        <v>351</v>
      </c>
      <c r="J680" s="11" t="s">
        <v>351</v>
      </c>
      <c r="K680" s="11"/>
      <c r="L680" s="11" t="s">
        <v>3712</v>
      </c>
      <c r="M680" s="11"/>
      <c r="N680" s="11"/>
      <c r="O680" s="11"/>
      <c r="P680" s="11" t="s">
        <v>102</v>
      </c>
      <c r="Q680" s="12">
        <v>113.362816</v>
      </c>
      <c r="R680" s="13">
        <v>22.503072</v>
      </c>
      <c r="S680" s="11" t="s">
        <v>3708</v>
      </c>
      <c r="T680" s="11"/>
      <c r="U680" s="11" t="s">
        <v>104</v>
      </c>
      <c r="V680" s="11" t="s">
        <v>105</v>
      </c>
      <c r="W680" s="11" t="s">
        <v>106</v>
      </c>
      <c r="X680" s="11"/>
      <c r="Y680" s="11"/>
      <c r="Z680" s="11"/>
      <c r="AA680" s="12">
        <v>679</v>
      </c>
      <c r="AB680" s="12"/>
      <c r="AC680" s="11" t="s">
        <v>2292</v>
      </c>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row>
    <row r="681" spans="1:56" ht="84" x14ac:dyDescent="0.25">
      <c r="A681" s="11" t="s">
        <v>3713</v>
      </c>
      <c r="B681" s="11" t="s">
        <v>3714</v>
      </c>
      <c r="C681" s="11"/>
      <c r="D681" s="11" t="s">
        <v>91</v>
      </c>
      <c r="E681" s="11"/>
      <c r="F681" s="11" t="s">
        <v>3715</v>
      </c>
      <c r="G681" s="11" t="s">
        <v>3716</v>
      </c>
      <c r="H681" s="11" t="s">
        <v>94</v>
      </c>
      <c r="I681" s="11" t="s">
        <v>95</v>
      </c>
      <c r="J681" s="11" t="s">
        <v>749</v>
      </c>
      <c r="K681" s="11"/>
      <c r="L681" s="11" t="s">
        <v>3717</v>
      </c>
      <c r="M681" s="11" t="s">
        <v>183</v>
      </c>
      <c r="N681" s="11"/>
      <c r="O681" s="11"/>
      <c r="P681" s="11" t="s">
        <v>102</v>
      </c>
      <c r="Q681" s="12">
        <v>113.259874</v>
      </c>
      <c r="R681" s="13">
        <v>22.837709</v>
      </c>
      <c r="S681" s="11" t="s">
        <v>3713</v>
      </c>
      <c r="T681" s="11"/>
      <c r="U681" s="11" t="s">
        <v>104</v>
      </c>
      <c r="V681" s="11" t="s">
        <v>105</v>
      </c>
      <c r="W681" s="11" t="s">
        <v>106</v>
      </c>
      <c r="X681" s="11"/>
      <c r="Y681" s="11"/>
      <c r="Z681" s="11"/>
      <c r="AA681" s="12">
        <v>680</v>
      </c>
      <c r="AB681" s="12"/>
      <c r="AC681" s="11" t="s">
        <v>2292</v>
      </c>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row>
    <row r="682" spans="1:56" ht="56" x14ac:dyDescent="0.25">
      <c r="A682" s="11" t="s">
        <v>3718</v>
      </c>
      <c r="B682" s="11" t="s">
        <v>3719</v>
      </c>
      <c r="C682" s="11"/>
      <c r="D682" s="11" t="s">
        <v>91</v>
      </c>
      <c r="E682" s="11"/>
      <c r="F682" s="11" t="s">
        <v>3720</v>
      </c>
      <c r="G682" s="11" t="s">
        <v>3721</v>
      </c>
      <c r="H682" s="11" t="s">
        <v>94</v>
      </c>
      <c r="I682" s="11" t="s">
        <v>95</v>
      </c>
      <c r="J682" s="11" t="s">
        <v>749</v>
      </c>
      <c r="K682" s="11"/>
      <c r="L682" s="11" t="s">
        <v>3722</v>
      </c>
      <c r="M682" s="11"/>
      <c r="N682" s="11"/>
      <c r="O682" s="11"/>
      <c r="P682" s="11" t="s">
        <v>102</v>
      </c>
      <c r="Q682" s="12">
        <v>113.217625</v>
      </c>
      <c r="R682" s="13">
        <v>22.924624999999999</v>
      </c>
      <c r="S682" s="11" t="s">
        <v>3718</v>
      </c>
      <c r="T682" s="11"/>
      <c r="U682" s="11" t="s">
        <v>104</v>
      </c>
      <c r="V682" s="11" t="s">
        <v>105</v>
      </c>
      <c r="W682" s="11" t="s">
        <v>106</v>
      </c>
      <c r="X682" s="11"/>
      <c r="Y682" s="11"/>
      <c r="Z682" s="11"/>
      <c r="AA682" s="12">
        <v>681</v>
      </c>
      <c r="AB682" s="12"/>
      <c r="AC682" s="11" t="s">
        <v>2292</v>
      </c>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row>
    <row r="683" spans="1:56" ht="70" x14ac:dyDescent="0.25">
      <c r="A683" s="11" t="s">
        <v>3723</v>
      </c>
      <c r="B683" s="11" t="s">
        <v>3724</v>
      </c>
      <c r="C683" s="11"/>
      <c r="D683" s="11" t="s">
        <v>91</v>
      </c>
      <c r="E683" s="11" t="s">
        <v>92</v>
      </c>
      <c r="F683" s="11" t="s">
        <v>3725</v>
      </c>
      <c r="G683" s="11" t="s">
        <v>3726</v>
      </c>
      <c r="H683" s="11" t="s">
        <v>94</v>
      </c>
      <c r="I683" s="11" t="s">
        <v>95</v>
      </c>
      <c r="J683" s="11" t="s">
        <v>749</v>
      </c>
      <c r="K683" s="11"/>
      <c r="L683" s="11" t="s">
        <v>3727</v>
      </c>
      <c r="M683" s="11" t="s">
        <v>99</v>
      </c>
      <c r="N683" s="11" t="s">
        <v>174</v>
      </c>
      <c r="O683" s="11" t="s">
        <v>101</v>
      </c>
      <c r="P683" s="11" t="s">
        <v>102</v>
      </c>
      <c r="Q683" s="12">
        <v>113.085655</v>
      </c>
      <c r="R683" s="13">
        <v>22.867349000000001</v>
      </c>
      <c r="S683" s="11" t="s">
        <v>3723</v>
      </c>
      <c r="T683" s="11"/>
      <c r="U683" s="11" t="s">
        <v>104</v>
      </c>
      <c r="V683" s="11" t="s">
        <v>105</v>
      </c>
      <c r="W683" s="11" t="s">
        <v>106</v>
      </c>
      <c r="X683" s="11"/>
      <c r="Y683" s="11"/>
      <c r="Z683" s="11"/>
      <c r="AA683" s="12">
        <v>682</v>
      </c>
      <c r="AB683" s="12"/>
      <c r="AC683" s="11" t="s">
        <v>2292</v>
      </c>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row>
    <row r="684" spans="1:56" ht="84" x14ac:dyDescent="0.25">
      <c r="A684" s="11" t="s">
        <v>3728</v>
      </c>
      <c r="B684" s="11" t="s">
        <v>3729</v>
      </c>
      <c r="C684" s="11"/>
      <c r="D684" s="11" t="s">
        <v>91</v>
      </c>
      <c r="E684" s="11"/>
      <c r="F684" s="11" t="s">
        <v>3730</v>
      </c>
      <c r="G684" s="11" t="s">
        <v>3731</v>
      </c>
      <c r="H684" s="11" t="s">
        <v>94</v>
      </c>
      <c r="I684" s="11" t="s">
        <v>95</v>
      </c>
      <c r="J684" s="11" t="s">
        <v>1056</v>
      </c>
      <c r="K684" s="11"/>
      <c r="L684" s="11" t="s">
        <v>3732</v>
      </c>
      <c r="M684" s="11"/>
      <c r="N684" s="11"/>
      <c r="O684" s="11"/>
      <c r="P684" s="11" t="s">
        <v>102</v>
      </c>
      <c r="Q684" s="12">
        <v>112.897282</v>
      </c>
      <c r="R684" s="13">
        <v>23.160668000000001</v>
      </c>
      <c r="S684" s="11" t="s">
        <v>3728</v>
      </c>
      <c r="T684" s="11"/>
      <c r="U684" s="11" t="s">
        <v>104</v>
      </c>
      <c r="V684" s="11" t="s">
        <v>105</v>
      </c>
      <c r="W684" s="11" t="s">
        <v>106</v>
      </c>
      <c r="X684" s="11"/>
      <c r="Y684" s="11"/>
      <c r="Z684" s="11"/>
      <c r="AA684" s="12">
        <v>683</v>
      </c>
      <c r="AB684" s="12"/>
      <c r="AC684" s="11" t="s">
        <v>2292</v>
      </c>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row>
    <row r="685" spans="1:56" ht="42" x14ac:dyDescent="0.25">
      <c r="A685" s="11" t="s">
        <v>3733</v>
      </c>
      <c r="B685" s="11" t="s">
        <v>3734</v>
      </c>
      <c r="C685" s="11"/>
      <c r="D685" s="11" t="s">
        <v>91</v>
      </c>
      <c r="E685" s="11"/>
      <c r="F685" s="11" t="s">
        <v>3735</v>
      </c>
      <c r="G685" s="11" t="s">
        <v>3736</v>
      </c>
      <c r="H685" s="11" t="s">
        <v>94</v>
      </c>
      <c r="I685" s="11" t="s">
        <v>112</v>
      </c>
      <c r="J685" s="11" t="s">
        <v>112</v>
      </c>
      <c r="K685" s="11"/>
      <c r="L685" s="11" t="s">
        <v>3737</v>
      </c>
      <c r="M685" s="11"/>
      <c r="N685" s="11"/>
      <c r="O685" s="11"/>
      <c r="P685" s="11" t="s">
        <v>102</v>
      </c>
      <c r="Q685" s="12">
        <v>113.714896</v>
      </c>
      <c r="R685" s="13">
        <v>22.826080000000001</v>
      </c>
      <c r="S685" s="11" t="s">
        <v>3733</v>
      </c>
      <c r="T685" s="11"/>
      <c r="U685" s="11" t="s">
        <v>104</v>
      </c>
      <c r="V685" s="11" t="s">
        <v>105</v>
      </c>
      <c r="W685" s="11" t="s">
        <v>106</v>
      </c>
      <c r="X685" s="11"/>
      <c r="Y685" s="11"/>
      <c r="Z685" s="11"/>
      <c r="AA685" s="12">
        <v>684</v>
      </c>
      <c r="AB685" s="12"/>
      <c r="AC685" s="11" t="s">
        <v>2829</v>
      </c>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row>
    <row r="686" spans="1:56" ht="42" x14ac:dyDescent="0.25">
      <c r="A686" s="11" t="s">
        <v>3738</v>
      </c>
      <c r="B686" s="11" t="s">
        <v>3739</v>
      </c>
      <c r="C686" s="11"/>
      <c r="D686" s="11" t="s">
        <v>91</v>
      </c>
      <c r="E686" s="11"/>
      <c r="F686" s="11" t="s">
        <v>3740</v>
      </c>
      <c r="G686" s="11" t="s">
        <v>3741</v>
      </c>
      <c r="H686" s="11" t="s">
        <v>94</v>
      </c>
      <c r="I686" s="11" t="s">
        <v>121</v>
      </c>
      <c r="J686" s="11" t="s">
        <v>799</v>
      </c>
      <c r="K686" s="11"/>
      <c r="L686" s="11" t="s">
        <v>3742</v>
      </c>
      <c r="M686" s="11"/>
      <c r="N686" s="11"/>
      <c r="O686" s="11"/>
      <c r="P686" s="11" t="s">
        <v>102</v>
      </c>
      <c r="Q686" s="12">
        <v>113.18453</v>
      </c>
      <c r="R686" s="13">
        <v>23.375715</v>
      </c>
      <c r="S686" s="11" t="s">
        <v>3738</v>
      </c>
      <c r="T686" s="11"/>
      <c r="U686" s="11" t="s">
        <v>104</v>
      </c>
      <c r="V686" s="11" t="s">
        <v>105</v>
      </c>
      <c r="W686" s="11" t="s">
        <v>106</v>
      </c>
      <c r="X686" s="11"/>
      <c r="Y686" s="11"/>
      <c r="Z686" s="11"/>
      <c r="AA686" s="12">
        <v>685</v>
      </c>
      <c r="AB686" s="12"/>
      <c r="AC686" s="11" t="s">
        <v>2829</v>
      </c>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row>
    <row r="687" spans="1:56" ht="42" x14ac:dyDescent="0.25">
      <c r="A687" s="11" t="s">
        <v>3743</v>
      </c>
      <c r="B687" s="11" t="s">
        <v>3744</v>
      </c>
      <c r="C687" s="11"/>
      <c r="D687" s="11" t="s">
        <v>91</v>
      </c>
      <c r="E687" s="11"/>
      <c r="F687" s="11" t="s">
        <v>3745</v>
      </c>
      <c r="G687" s="11" t="s">
        <v>3746</v>
      </c>
      <c r="H687" s="11" t="s">
        <v>94</v>
      </c>
      <c r="I687" s="11" t="s">
        <v>112</v>
      </c>
      <c r="J687" s="11" t="s">
        <v>112</v>
      </c>
      <c r="K687" s="11"/>
      <c r="L687" s="11" t="s">
        <v>123</v>
      </c>
      <c r="M687" s="11"/>
      <c r="N687" s="11"/>
      <c r="O687" s="11"/>
      <c r="P687" s="11" t="s">
        <v>102</v>
      </c>
      <c r="Q687" s="12" t="s">
        <v>103</v>
      </c>
      <c r="R687" s="13" t="s">
        <v>103</v>
      </c>
      <c r="S687" s="11" t="s">
        <v>3743</v>
      </c>
      <c r="T687" s="11"/>
      <c r="U687" s="11" t="s">
        <v>104</v>
      </c>
      <c r="V687" s="11" t="s">
        <v>105</v>
      </c>
      <c r="W687" s="11" t="s">
        <v>106</v>
      </c>
      <c r="X687" s="11"/>
      <c r="Y687" s="11"/>
      <c r="Z687" s="11"/>
      <c r="AA687" s="12">
        <v>686</v>
      </c>
      <c r="AB687" s="12"/>
      <c r="AC687" s="11" t="s">
        <v>2829</v>
      </c>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row>
    <row r="688" spans="1:56" ht="70" x14ac:dyDescent="0.25">
      <c r="A688" s="11" t="s">
        <v>3747</v>
      </c>
      <c r="B688" s="11" t="s">
        <v>3748</v>
      </c>
      <c r="C688" s="11"/>
      <c r="D688" s="11" t="s">
        <v>91</v>
      </c>
      <c r="E688" s="11"/>
      <c r="F688" s="11" t="s">
        <v>3749</v>
      </c>
      <c r="G688" s="11" t="s">
        <v>3750</v>
      </c>
      <c r="H688" s="11" t="s">
        <v>94</v>
      </c>
      <c r="I688" s="11" t="s">
        <v>121</v>
      </c>
      <c r="J688" s="11" t="s">
        <v>971</v>
      </c>
      <c r="K688" s="11"/>
      <c r="L688" s="11" t="s">
        <v>3751</v>
      </c>
      <c r="M688" s="11"/>
      <c r="N688" s="11"/>
      <c r="O688" s="11"/>
      <c r="P688" s="11" t="s">
        <v>102</v>
      </c>
      <c r="Q688" s="12">
        <v>113.257676</v>
      </c>
      <c r="R688" s="13">
        <v>23.162645000000001</v>
      </c>
      <c r="S688" s="11" t="s">
        <v>3747</v>
      </c>
      <c r="T688" s="11"/>
      <c r="U688" s="11" t="s">
        <v>104</v>
      </c>
      <c r="V688" s="11" t="s">
        <v>105</v>
      </c>
      <c r="W688" s="11" t="s">
        <v>106</v>
      </c>
      <c r="X688" s="11"/>
      <c r="Y688" s="11"/>
      <c r="Z688" s="11"/>
      <c r="AA688" s="12">
        <v>687</v>
      </c>
      <c r="AB688" s="12"/>
      <c r="AC688" s="11" t="s">
        <v>3752</v>
      </c>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row>
    <row r="689" spans="1:56" ht="42" x14ac:dyDescent="0.25">
      <c r="A689" s="11" t="s">
        <v>3753</v>
      </c>
      <c r="B689" s="11" t="s">
        <v>3754</v>
      </c>
      <c r="C689" s="11"/>
      <c r="D689" s="11" t="s">
        <v>91</v>
      </c>
      <c r="E689" s="11"/>
      <c r="F689" s="11" t="s">
        <v>3755</v>
      </c>
      <c r="G689" s="11" t="s">
        <v>3756</v>
      </c>
      <c r="H689" s="11" t="s">
        <v>94</v>
      </c>
      <c r="I689" s="11" t="s">
        <v>95</v>
      </c>
      <c r="J689" s="11" t="s">
        <v>96</v>
      </c>
      <c r="K689" s="11"/>
      <c r="L689" s="11" t="s">
        <v>3757</v>
      </c>
      <c r="M689" s="11"/>
      <c r="N689" s="11"/>
      <c r="O689" s="11"/>
      <c r="P689" s="11" t="s">
        <v>102</v>
      </c>
      <c r="Q689" s="12">
        <v>113.199614</v>
      </c>
      <c r="R689" s="13">
        <v>23.135224000000001</v>
      </c>
      <c r="S689" s="11" t="s">
        <v>3753</v>
      </c>
      <c r="T689" s="11"/>
      <c r="U689" s="11" t="s">
        <v>104</v>
      </c>
      <c r="V689" s="11" t="s">
        <v>105</v>
      </c>
      <c r="W689" s="11" t="s">
        <v>106</v>
      </c>
      <c r="X689" s="11"/>
      <c r="Y689" s="11"/>
      <c r="Z689" s="11"/>
      <c r="AA689" s="12">
        <v>688</v>
      </c>
      <c r="AB689" s="12"/>
      <c r="AC689" s="11" t="s">
        <v>3752</v>
      </c>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row>
    <row r="690" spans="1:56" ht="42" x14ac:dyDescent="0.25">
      <c r="A690" s="11" t="s">
        <v>3758</v>
      </c>
      <c r="B690" s="11" t="s">
        <v>3759</v>
      </c>
      <c r="C690" s="11"/>
      <c r="D690" s="11" t="s">
        <v>91</v>
      </c>
      <c r="E690" s="11"/>
      <c r="F690" s="11" t="s">
        <v>3759</v>
      </c>
      <c r="G690" s="11" t="s">
        <v>3760</v>
      </c>
      <c r="H690" s="11" t="s">
        <v>94</v>
      </c>
      <c r="I690" s="11" t="s">
        <v>95</v>
      </c>
      <c r="J690" s="11" t="s">
        <v>749</v>
      </c>
      <c r="K690" s="11"/>
      <c r="L690" s="11" t="s">
        <v>3761</v>
      </c>
      <c r="M690" s="11"/>
      <c r="N690" s="11"/>
      <c r="O690" s="11"/>
      <c r="P690" s="11" t="s">
        <v>102</v>
      </c>
      <c r="Q690" s="12">
        <v>113.203817</v>
      </c>
      <c r="R690" s="13">
        <v>22.923193000000001</v>
      </c>
      <c r="S690" s="11" t="s">
        <v>3758</v>
      </c>
      <c r="T690" s="11"/>
      <c r="U690" s="11" t="s">
        <v>104</v>
      </c>
      <c r="V690" s="11" t="s">
        <v>105</v>
      </c>
      <c r="W690" s="11" t="s">
        <v>106</v>
      </c>
      <c r="X690" s="11"/>
      <c r="Y690" s="11"/>
      <c r="Z690" s="11"/>
      <c r="AA690" s="12">
        <v>689</v>
      </c>
      <c r="AB690" s="12"/>
      <c r="AC690" s="11" t="s">
        <v>3752</v>
      </c>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row>
    <row r="691" spans="1:56" ht="42" x14ac:dyDescent="0.25">
      <c r="A691" s="11" t="s">
        <v>3762</v>
      </c>
      <c r="B691" s="11" t="s">
        <v>3763</v>
      </c>
      <c r="C691" s="11"/>
      <c r="D691" s="11" t="s">
        <v>91</v>
      </c>
      <c r="E691" s="11"/>
      <c r="F691" s="11" t="s">
        <v>3763</v>
      </c>
      <c r="G691" s="11" t="s">
        <v>3764</v>
      </c>
      <c r="H691" s="11" t="s">
        <v>94</v>
      </c>
      <c r="I691" s="11" t="s">
        <v>121</v>
      </c>
      <c r="J691" s="11" t="s">
        <v>971</v>
      </c>
      <c r="K691" s="11"/>
      <c r="L691" s="11" t="s">
        <v>3765</v>
      </c>
      <c r="M691" s="11"/>
      <c r="N691" s="11"/>
      <c r="O691" s="11"/>
      <c r="P691" s="11" t="s">
        <v>102</v>
      </c>
      <c r="Q691" s="12">
        <v>113.269327</v>
      </c>
      <c r="R691" s="13">
        <v>23.232526</v>
      </c>
      <c r="S691" s="11" t="s">
        <v>3762</v>
      </c>
      <c r="T691" s="11"/>
      <c r="U691" s="11" t="s">
        <v>104</v>
      </c>
      <c r="V691" s="11" t="s">
        <v>105</v>
      </c>
      <c r="W691" s="11" t="s">
        <v>106</v>
      </c>
      <c r="X691" s="11"/>
      <c r="Y691" s="11"/>
      <c r="Z691" s="11"/>
      <c r="AA691" s="12">
        <v>690</v>
      </c>
      <c r="AB691" s="12"/>
      <c r="AC691" s="11" t="s">
        <v>3752</v>
      </c>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row>
    <row r="692" spans="1:56" ht="56" x14ac:dyDescent="0.25">
      <c r="A692" s="11" t="s">
        <v>3766</v>
      </c>
      <c r="B692" s="11" t="s">
        <v>3767</v>
      </c>
      <c r="C692" s="11"/>
      <c r="D692" s="11" t="s">
        <v>91</v>
      </c>
      <c r="E692" s="11"/>
      <c r="F692" s="11" t="s">
        <v>3768</v>
      </c>
      <c r="G692" s="11" t="s">
        <v>3769</v>
      </c>
      <c r="H692" s="11" t="s">
        <v>94</v>
      </c>
      <c r="I692" s="11" t="s">
        <v>121</v>
      </c>
      <c r="J692" s="11" t="s">
        <v>737</v>
      </c>
      <c r="K692" s="11"/>
      <c r="L692" s="11" t="s">
        <v>3770</v>
      </c>
      <c r="M692" s="11"/>
      <c r="N692" s="11"/>
      <c r="O692" s="11"/>
      <c r="P692" s="11" t="s">
        <v>102</v>
      </c>
      <c r="Q692" s="12">
        <v>113.311487</v>
      </c>
      <c r="R692" s="13">
        <v>23.016051000000001</v>
      </c>
      <c r="S692" s="11" t="s">
        <v>3766</v>
      </c>
      <c r="T692" s="11"/>
      <c r="U692" s="11" t="s">
        <v>104</v>
      </c>
      <c r="V692" s="11" t="s">
        <v>105</v>
      </c>
      <c r="W692" s="11" t="s">
        <v>106</v>
      </c>
      <c r="X692" s="11"/>
      <c r="Y692" s="11"/>
      <c r="Z692" s="11"/>
      <c r="AA692" s="12">
        <v>691</v>
      </c>
      <c r="AB692" s="12"/>
      <c r="AC692" s="11" t="s">
        <v>3752</v>
      </c>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row>
    <row r="693" spans="1:56" ht="42" x14ac:dyDescent="0.25">
      <c r="A693" s="11" t="s">
        <v>3771</v>
      </c>
      <c r="B693" s="11" t="s">
        <v>3772</v>
      </c>
      <c r="C693" s="11"/>
      <c r="D693" s="11" t="s">
        <v>91</v>
      </c>
      <c r="E693" s="11"/>
      <c r="F693" s="11" t="s">
        <v>3773</v>
      </c>
      <c r="G693" s="11" t="s">
        <v>3774</v>
      </c>
      <c r="H693" s="11" t="s">
        <v>94</v>
      </c>
      <c r="I693" s="11" t="s">
        <v>121</v>
      </c>
      <c r="J693" s="11" t="s">
        <v>131</v>
      </c>
      <c r="K693" s="11"/>
      <c r="L693" s="11" t="s">
        <v>3775</v>
      </c>
      <c r="M693" s="11"/>
      <c r="N693" s="11"/>
      <c r="O693" s="11"/>
      <c r="P693" s="11" t="s">
        <v>102</v>
      </c>
      <c r="Q693" s="12">
        <v>113.595078</v>
      </c>
      <c r="R693" s="13">
        <v>23.119516000000001</v>
      </c>
      <c r="S693" s="11" t="s">
        <v>3771</v>
      </c>
      <c r="T693" s="11"/>
      <c r="U693" s="11" t="s">
        <v>104</v>
      </c>
      <c r="V693" s="11" t="s">
        <v>105</v>
      </c>
      <c r="W693" s="11" t="s">
        <v>106</v>
      </c>
      <c r="X693" s="11"/>
      <c r="Y693" s="11"/>
      <c r="Z693" s="11"/>
      <c r="AA693" s="12">
        <v>692</v>
      </c>
      <c r="AB693" s="12"/>
      <c r="AC693" s="11" t="s">
        <v>3752</v>
      </c>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row>
    <row r="694" spans="1:56" ht="42" x14ac:dyDescent="0.25">
      <c r="A694" s="11" t="s">
        <v>3776</v>
      </c>
      <c r="B694" s="11" t="s">
        <v>3777</v>
      </c>
      <c r="C694" s="11"/>
      <c r="D694" s="11" t="s">
        <v>91</v>
      </c>
      <c r="E694" s="11"/>
      <c r="F694" s="11" t="s">
        <v>3778</v>
      </c>
      <c r="G694" s="11" t="s">
        <v>3779</v>
      </c>
      <c r="H694" s="11" t="s">
        <v>94</v>
      </c>
      <c r="I694" s="11" t="s">
        <v>121</v>
      </c>
      <c r="J694" s="11" t="s">
        <v>122</v>
      </c>
      <c r="K694" s="11"/>
      <c r="L694" s="11" t="s">
        <v>3780</v>
      </c>
      <c r="M694" s="11"/>
      <c r="N694" s="11"/>
      <c r="O694" s="11"/>
      <c r="P694" s="11" t="s">
        <v>102</v>
      </c>
      <c r="Q694" s="12">
        <v>113.31629599999999</v>
      </c>
      <c r="R694" s="13">
        <v>23.117394000000001</v>
      </c>
      <c r="S694" s="11" t="s">
        <v>3776</v>
      </c>
      <c r="T694" s="11"/>
      <c r="U694" s="11" t="s">
        <v>104</v>
      </c>
      <c r="V694" s="11" t="s">
        <v>105</v>
      </c>
      <c r="W694" s="11" t="s">
        <v>106</v>
      </c>
      <c r="X694" s="11"/>
      <c r="Y694" s="11"/>
      <c r="Z694" s="11"/>
      <c r="AA694" s="12">
        <v>693</v>
      </c>
      <c r="AB694" s="12"/>
      <c r="AC694" s="11" t="s">
        <v>3752</v>
      </c>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row>
    <row r="695" spans="1:56" ht="42" x14ac:dyDescent="0.25">
      <c r="A695" s="11" t="s">
        <v>3781</v>
      </c>
      <c r="B695" s="11" t="s">
        <v>3782</v>
      </c>
      <c r="C695" s="11"/>
      <c r="D695" s="11" t="s">
        <v>91</v>
      </c>
      <c r="E695" s="11"/>
      <c r="F695" s="11" t="s">
        <v>3783</v>
      </c>
      <c r="G695" s="11" t="s">
        <v>3784</v>
      </c>
      <c r="H695" s="11" t="s">
        <v>94</v>
      </c>
      <c r="I695" s="11" t="s">
        <v>121</v>
      </c>
      <c r="J695" s="11" t="s">
        <v>737</v>
      </c>
      <c r="K695" s="11"/>
      <c r="L695" s="11" t="s">
        <v>3785</v>
      </c>
      <c r="M695" s="11"/>
      <c r="N695" s="11"/>
      <c r="O695" s="11"/>
      <c r="P695" s="11" t="s">
        <v>102</v>
      </c>
      <c r="Q695" s="12">
        <v>113.41204999999999</v>
      </c>
      <c r="R695" s="13">
        <v>22.945989999999998</v>
      </c>
      <c r="S695" s="11" t="s">
        <v>3781</v>
      </c>
      <c r="T695" s="11"/>
      <c r="U695" s="11" t="s">
        <v>104</v>
      </c>
      <c r="V695" s="11" t="s">
        <v>105</v>
      </c>
      <c r="W695" s="11" t="s">
        <v>106</v>
      </c>
      <c r="X695" s="11"/>
      <c r="Y695" s="11"/>
      <c r="Z695" s="11"/>
      <c r="AA695" s="12">
        <v>694</v>
      </c>
      <c r="AB695" s="12"/>
      <c r="AC695" s="11" t="s">
        <v>3786</v>
      </c>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row>
    <row r="696" spans="1:56" ht="42" x14ac:dyDescent="0.25">
      <c r="A696" s="11" t="s">
        <v>3787</v>
      </c>
      <c r="B696" s="11" t="s">
        <v>3788</v>
      </c>
      <c r="C696" s="11"/>
      <c r="D696" s="11" t="s">
        <v>91</v>
      </c>
      <c r="E696" s="11"/>
      <c r="F696" s="11" t="s">
        <v>3789</v>
      </c>
      <c r="G696" s="11" t="s">
        <v>3790</v>
      </c>
      <c r="H696" s="11" t="s">
        <v>94</v>
      </c>
      <c r="I696" s="11" t="s">
        <v>121</v>
      </c>
      <c r="J696" s="11" t="s">
        <v>971</v>
      </c>
      <c r="K696" s="11"/>
      <c r="L696" s="11" t="s">
        <v>3791</v>
      </c>
      <c r="M696" s="11"/>
      <c r="N696" s="11"/>
      <c r="O696" s="11"/>
      <c r="P696" s="11" t="s">
        <v>102</v>
      </c>
      <c r="Q696" s="12">
        <v>113.255914</v>
      </c>
      <c r="R696" s="13">
        <v>23.16347</v>
      </c>
      <c r="S696" s="11" t="s">
        <v>3787</v>
      </c>
      <c r="T696" s="11"/>
      <c r="U696" s="11" t="s">
        <v>104</v>
      </c>
      <c r="V696" s="11" t="s">
        <v>105</v>
      </c>
      <c r="W696" s="11" t="s">
        <v>106</v>
      </c>
      <c r="X696" s="11"/>
      <c r="Y696" s="11"/>
      <c r="Z696" s="11"/>
      <c r="AA696" s="12">
        <v>695</v>
      </c>
      <c r="AB696" s="12"/>
      <c r="AC696" s="11" t="s">
        <v>3786</v>
      </c>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row>
    <row r="697" spans="1:56" ht="56" x14ac:dyDescent="0.25">
      <c r="A697" s="11" t="s">
        <v>3792</v>
      </c>
      <c r="B697" s="11" t="s">
        <v>3793</v>
      </c>
      <c r="C697" s="11"/>
      <c r="D697" s="11" t="s">
        <v>91</v>
      </c>
      <c r="E697" s="11"/>
      <c r="F697" s="11" t="s">
        <v>2475</v>
      </c>
      <c r="G697" s="11" t="s">
        <v>3794</v>
      </c>
      <c r="H697" s="11" t="s">
        <v>94</v>
      </c>
      <c r="I697" s="11" t="s">
        <v>121</v>
      </c>
      <c r="J697" s="11" t="s">
        <v>2285</v>
      </c>
      <c r="K697" s="11"/>
      <c r="L697" s="11" t="s">
        <v>3795</v>
      </c>
      <c r="M697" s="11" t="s">
        <v>99</v>
      </c>
      <c r="N697" s="11"/>
      <c r="O697" s="11"/>
      <c r="P697" s="11" t="s">
        <v>102</v>
      </c>
      <c r="Q697" s="12">
        <v>113.331148</v>
      </c>
      <c r="R697" s="13">
        <v>23.089406</v>
      </c>
      <c r="S697" s="11" t="s">
        <v>3792</v>
      </c>
      <c r="T697" s="11"/>
      <c r="U697" s="11" t="s">
        <v>104</v>
      </c>
      <c r="V697" s="11" t="s">
        <v>105</v>
      </c>
      <c r="W697" s="11" t="s">
        <v>106</v>
      </c>
      <c r="X697" s="11"/>
      <c r="Y697" s="11"/>
      <c r="Z697" s="11"/>
      <c r="AA697" s="12">
        <v>696</v>
      </c>
      <c r="AB697" s="12"/>
      <c r="AC697" s="11" t="s">
        <v>3786</v>
      </c>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row>
    <row r="698" spans="1:56" ht="42" x14ac:dyDescent="0.25">
      <c r="A698" s="11" t="s">
        <v>3796</v>
      </c>
      <c r="B698" s="11" t="s">
        <v>3797</v>
      </c>
      <c r="C698" s="11"/>
      <c r="D698" s="11" t="s">
        <v>91</v>
      </c>
      <c r="E698" s="11"/>
      <c r="F698" s="11" t="s">
        <v>3798</v>
      </c>
      <c r="G698" s="11" t="s">
        <v>3799</v>
      </c>
      <c r="H698" s="11" t="s">
        <v>94</v>
      </c>
      <c r="I698" s="11" t="s">
        <v>95</v>
      </c>
      <c r="J698" s="11" t="s">
        <v>749</v>
      </c>
      <c r="K698" s="11"/>
      <c r="L698" s="11" t="s">
        <v>3800</v>
      </c>
      <c r="M698" s="11"/>
      <c r="N698" s="11"/>
      <c r="O698" s="11"/>
      <c r="P698" s="11" t="s">
        <v>102</v>
      </c>
      <c r="Q698" s="12">
        <v>113.13941699999999</v>
      </c>
      <c r="R698" s="13">
        <v>22.859694000000001</v>
      </c>
      <c r="S698" s="11" t="s">
        <v>3796</v>
      </c>
      <c r="T698" s="11"/>
      <c r="U698" s="11" t="s">
        <v>104</v>
      </c>
      <c r="V698" s="11" t="s">
        <v>105</v>
      </c>
      <c r="W698" s="11" t="s">
        <v>106</v>
      </c>
      <c r="X698" s="11"/>
      <c r="Y698" s="11"/>
      <c r="Z698" s="11"/>
      <c r="AA698" s="12">
        <v>697</v>
      </c>
      <c r="AB698" s="12"/>
      <c r="AC698" s="11" t="s">
        <v>3786</v>
      </c>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row>
    <row r="699" spans="1:56" ht="42" x14ac:dyDescent="0.25">
      <c r="A699" s="11" t="s">
        <v>3801</v>
      </c>
      <c r="B699" s="11" t="s">
        <v>3802</v>
      </c>
      <c r="C699" s="11"/>
      <c r="D699" s="11" t="s">
        <v>91</v>
      </c>
      <c r="E699" s="11"/>
      <c r="F699" s="11" t="s">
        <v>3803</v>
      </c>
      <c r="G699" s="11" t="s">
        <v>3804</v>
      </c>
      <c r="H699" s="11" t="s">
        <v>94</v>
      </c>
      <c r="I699" s="11" t="s">
        <v>121</v>
      </c>
      <c r="J699" s="11" t="s">
        <v>737</v>
      </c>
      <c r="K699" s="11"/>
      <c r="L699" s="11" t="s">
        <v>3805</v>
      </c>
      <c r="M699" s="11"/>
      <c r="N699" s="11"/>
      <c r="O699" s="11"/>
      <c r="P699" s="11" t="s">
        <v>102</v>
      </c>
      <c r="Q699" s="12">
        <v>113.359871</v>
      </c>
      <c r="R699" s="13">
        <v>23.017341999999999</v>
      </c>
      <c r="S699" s="11" t="s">
        <v>3801</v>
      </c>
      <c r="T699" s="11"/>
      <c r="U699" s="11" t="s">
        <v>104</v>
      </c>
      <c r="V699" s="11" t="s">
        <v>105</v>
      </c>
      <c r="W699" s="11" t="s">
        <v>106</v>
      </c>
      <c r="X699" s="11"/>
      <c r="Y699" s="11"/>
      <c r="Z699" s="11"/>
      <c r="AA699" s="12">
        <v>698</v>
      </c>
      <c r="AB699" s="12"/>
      <c r="AC699" s="11" t="s">
        <v>3786</v>
      </c>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row>
    <row r="700" spans="1:56" ht="42" x14ac:dyDescent="0.25">
      <c r="A700" s="11" t="s">
        <v>3806</v>
      </c>
      <c r="B700" s="11" t="s">
        <v>3807</v>
      </c>
      <c r="C700" s="11"/>
      <c r="D700" s="11" t="s">
        <v>91</v>
      </c>
      <c r="E700" s="11"/>
      <c r="F700" s="11" t="s">
        <v>3808</v>
      </c>
      <c r="G700" s="11" t="s">
        <v>3809</v>
      </c>
      <c r="H700" s="11" t="s">
        <v>94</v>
      </c>
      <c r="I700" s="11" t="s">
        <v>121</v>
      </c>
      <c r="J700" s="11" t="s">
        <v>122</v>
      </c>
      <c r="K700" s="11"/>
      <c r="L700" s="11" t="s">
        <v>3810</v>
      </c>
      <c r="M700" s="11"/>
      <c r="N700" s="11"/>
      <c r="O700" s="11"/>
      <c r="P700" s="11" t="s">
        <v>102</v>
      </c>
      <c r="Q700" s="12">
        <v>113.33420599999999</v>
      </c>
      <c r="R700" s="13">
        <v>23.147296999999998</v>
      </c>
      <c r="S700" s="11" t="s">
        <v>3806</v>
      </c>
      <c r="T700" s="11"/>
      <c r="U700" s="11" t="s">
        <v>104</v>
      </c>
      <c r="V700" s="11" t="s">
        <v>105</v>
      </c>
      <c r="W700" s="11" t="s">
        <v>106</v>
      </c>
      <c r="X700" s="11"/>
      <c r="Y700" s="11"/>
      <c r="Z700" s="11"/>
      <c r="AA700" s="12">
        <v>699</v>
      </c>
      <c r="AB700" s="12"/>
      <c r="AC700" s="11" t="s">
        <v>3786</v>
      </c>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row>
    <row r="701" spans="1:56" ht="42" x14ac:dyDescent="0.25">
      <c r="A701" s="11" t="s">
        <v>3811</v>
      </c>
      <c r="B701" s="11" t="s">
        <v>3812</v>
      </c>
      <c r="C701" s="11"/>
      <c r="D701" s="11" t="s">
        <v>91</v>
      </c>
      <c r="E701" s="11"/>
      <c r="F701" s="11" t="s">
        <v>3813</v>
      </c>
      <c r="G701" s="11" t="s">
        <v>3814</v>
      </c>
      <c r="H701" s="11" t="s">
        <v>94</v>
      </c>
      <c r="I701" s="11" t="s">
        <v>351</v>
      </c>
      <c r="J701" s="11" t="s">
        <v>351</v>
      </c>
      <c r="K701" s="11"/>
      <c r="L701" s="11" t="s">
        <v>3815</v>
      </c>
      <c r="M701" s="11"/>
      <c r="N701" s="11"/>
      <c r="O701" s="11"/>
      <c r="P701" s="11" t="s">
        <v>102</v>
      </c>
      <c r="Q701" s="12">
        <v>113.31389299999999</v>
      </c>
      <c r="R701" s="13">
        <v>22.732686000000001</v>
      </c>
      <c r="S701" s="11" t="s">
        <v>3811</v>
      </c>
      <c r="T701" s="11"/>
      <c r="U701" s="11" t="s">
        <v>104</v>
      </c>
      <c r="V701" s="11" t="s">
        <v>105</v>
      </c>
      <c r="W701" s="11" t="s">
        <v>106</v>
      </c>
      <c r="X701" s="11"/>
      <c r="Y701" s="11"/>
      <c r="Z701" s="11"/>
      <c r="AA701" s="12">
        <v>700</v>
      </c>
      <c r="AB701" s="12"/>
      <c r="AC701" s="11" t="s">
        <v>107</v>
      </c>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row>
    <row r="702" spans="1:56" ht="70" x14ac:dyDescent="0.25">
      <c r="A702" s="11" t="s">
        <v>3816</v>
      </c>
      <c r="B702" s="11" t="s">
        <v>3817</v>
      </c>
      <c r="C702" s="11"/>
      <c r="D702" s="11" t="s">
        <v>91</v>
      </c>
      <c r="E702" s="11"/>
      <c r="F702" s="11" t="s">
        <v>3818</v>
      </c>
      <c r="G702" s="11" t="s">
        <v>3819</v>
      </c>
      <c r="H702" s="11" t="s">
        <v>94</v>
      </c>
      <c r="I702" s="11" t="s">
        <v>343</v>
      </c>
      <c r="J702" s="11" t="s">
        <v>344</v>
      </c>
      <c r="K702" s="11"/>
      <c r="L702" s="11" t="s">
        <v>3820</v>
      </c>
      <c r="M702" s="11" t="s">
        <v>99</v>
      </c>
      <c r="N702" s="11"/>
      <c r="O702" s="11"/>
      <c r="P702" s="11" t="s">
        <v>102</v>
      </c>
      <c r="Q702" s="12">
        <v>113.59467100000001</v>
      </c>
      <c r="R702" s="13">
        <v>22.352931999999999</v>
      </c>
      <c r="S702" s="11" t="s">
        <v>3816</v>
      </c>
      <c r="T702" s="11"/>
      <c r="U702" s="11" t="s">
        <v>104</v>
      </c>
      <c r="V702" s="11" t="s">
        <v>105</v>
      </c>
      <c r="W702" s="11" t="s">
        <v>106</v>
      </c>
      <c r="X702" s="11"/>
      <c r="Y702" s="11"/>
      <c r="Z702" s="11"/>
      <c r="AA702" s="12">
        <v>701</v>
      </c>
      <c r="AB702" s="12"/>
      <c r="AC702" s="11" t="s">
        <v>107</v>
      </c>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row>
    <row r="703" spans="1:56" ht="70" x14ac:dyDescent="0.25">
      <c r="A703" s="11" t="s">
        <v>3821</v>
      </c>
      <c r="B703" s="11" t="s">
        <v>3822</v>
      </c>
      <c r="C703" s="11"/>
      <c r="D703" s="11" t="s">
        <v>91</v>
      </c>
      <c r="E703" s="11"/>
      <c r="F703" s="11" t="s">
        <v>3823</v>
      </c>
      <c r="G703" s="11" t="s">
        <v>3824</v>
      </c>
      <c r="H703" s="11" t="s">
        <v>94</v>
      </c>
      <c r="I703" s="11" t="s">
        <v>343</v>
      </c>
      <c r="J703" s="11" t="s">
        <v>411</v>
      </c>
      <c r="K703" s="11"/>
      <c r="L703" s="11" t="s">
        <v>3825</v>
      </c>
      <c r="M703" s="11"/>
      <c r="N703" s="11"/>
      <c r="O703" s="11"/>
      <c r="P703" s="11" t="s">
        <v>102</v>
      </c>
      <c r="Q703" s="12">
        <v>113.355242</v>
      </c>
      <c r="R703" s="13">
        <v>22.148441999999999</v>
      </c>
      <c r="S703" s="11" t="s">
        <v>3821</v>
      </c>
      <c r="T703" s="11"/>
      <c r="U703" s="11" t="s">
        <v>104</v>
      </c>
      <c r="V703" s="11" t="s">
        <v>105</v>
      </c>
      <c r="W703" s="11" t="s">
        <v>106</v>
      </c>
      <c r="X703" s="11"/>
      <c r="Y703" s="11"/>
      <c r="Z703" s="11"/>
      <c r="AA703" s="12">
        <v>702</v>
      </c>
      <c r="AB703" s="12"/>
      <c r="AC703" s="11" t="s">
        <v>107</v>
      </c>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row>
    <row r="704" spans="1:56" ht="56" x14ac:dyDescent="0.25">
      <c r="A704" s="11" t="s">
        <v>3826</v>
      </c>
      <c r="B704" s="11" t="s">
        <v>3827</v>
      </c>
      <c r="C704" s="11"/>
      <c r="D704" s="11" t="s">
        <v>91</v>
      </c>
      <c r="E704" s="11"/>
      <c r="F704" s="11" t="s">
        <v>3828</v>
      </c>
      <c r="G704" s="11" t="s">
        <v>3829</v>
      </c>
      <c r="H704" s="11" t="s">
        <v>94</v>
      </c>
      <c r="I704" s="11" t="s">
        <v>343</v>
      </c>
      <c r="J704" s="11" t="s">
        <v>344</v>
      </c>
      <c r="K704" s="11"/>
      <c r="L704" s="11" t="s">
        <v>3830</v>
      </c>
      <c r="M704" s="11"/>
      <c r="N704" s="11"/>
      <c r="O704" s="11"/>
      <c r="P704" s="11" t="s">
        <v>102</v>
      </c>
      <c r="Q704" s="12">
        <v>113.58088600000001</v>
      </c>
      <c r="R704" s="13">
        <v>22.250864</v>
      </c>
      <c r="S704" s="11" t="s">
        <v>3826</v>
      </c>
      <c r="T704" s="11"/>
      <c r="U704" s="11" t="s">
        <v>104</v>
      </c>
      <c r="V704" s="11" t="s">
        <v>105</v>
      </c>
      <c r="W704" s="11" t="s">
        <v>106</v>
      </c>
      <c r="X704" s="11"/>
      <c r="Y704" s="11"/>
      <c r="Z704" s="11"/>
      <c r="AA704" s="12">
        <v>703</v>
      </c>
      <c r="AB704" s="12"/>
      <c r="AC704" s="11" t="s">
        <v>107</v>
      </c>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row>
    <row r="705" spans="1:56" ht="56" x14ac:dyDescent="0.25">
      <c r="A705" s="11" t="s">
        <v>3831</v>
      </c>
      <c r="B705" s="11" t="s">
        <v>3832</v>
      </c>
      <c r="C705" s="11"/>
      <c r="D705" s="11" t="s">
        <v>91</v>
      </c>
      <c r="E705" s="11"/>
      <c r="F705" s="11" t="s">
        <v>3828</v>
      </c>
      <c r="G705" s="11" t="s">
        <v>3833</v>
      </c>
      <c r="H705" s="11" t="s">
        <v>94</v>
      </c>
      <c r="I705" s="11" t="s">
        <v>343</v>
      </c>
      <c r="J705" s="11" t="s">
        <v>344</v>
      </c>
      <c r="K705" s="11"/>
      <c r="L705" s="11" t="s">
        <v>3834</v>
      </c>
      <c r="M705" s="11"/>
      <c r="N705" s="11"/>
      <c r="O705" s="11"/>
      <c r="P705" s="11" t="s">
        <v>102</v>
      </c>
      <c r="Q705" s="12">
        <v>113.51857099999999</v>
      </c>
      <c r="R705" s="13">
        <v>22.261960999999999</v>
      </c>
      <c r="S705" s="11" t="s">
        <v>3831</v>
      </c>
      <c r="T705" s="11"/>
      <c r="U705" s="11" t="s">
        <v>104</v>
      </c>
      <c r="V705" s="11" t="s">
        <v>105</v>
      </c>
      <c r="W705" s="11" t="s">
        <v>106</v>
      </c>
      <c r="X705" s="11"/>
      <c r="Y705" s="11"/>
      <c r="Z705" s="11"/>
      <c r="AA705" s="12">
        <v>704</v>
      </c>
      <c r="AB705" s="12"/>
      <c r="AC705" s="11" t="s">
        <v>107</v>
      </c>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row>
    <row r="706" spans="1:56" ht="56" x14ac:dyDescent="0.25">
      <c r="A706" s="11" t="s">
        <v>3835</v>
      </c>
      <c r="B706" s="11" t="s">
        <v>3836</v>
      </c>
      <c r="C706" s="11"/>
      <c r="D706" s="11" t="s">
        <v>91</v>
      </c>
      <c r="E706" s="11"/>
      <c r="F706" s="11" t="s">
        <v>3837</v>
      </c>
      <c r="G706" s="11" t="s">
        <v>3838</v>
      </c>
      <c r="H706" s="11" t="s">
        <v>94</v>
      </c>
      <c r="I706" s="11" t="s">
        <v>95</v>
      </c>
      <c r="J706" s="11" t="s">
        <v>1087</v>
      </c>
      <c r="K706" s="11"/>
      <c r="L706" s="11" t="s">
        <v>3839</v>
      </c>
      <c r="M706" s="11" t="s">
        <v>183</v>
      </c>
      <c r="N706" s="11"/>
      <c r="O706" s="11"/>
      <c r="P706" s="11" t="s">
        <v>102</v>
      </c>
      <c r="Q706" s="12">
        <v>113.104471</v>
      </c>
      <c r="R706" s="13">
        <v>22.987797</v>
      </c>
      <c r="S706" s="11" t="s">
        <v>3835</v>
      </c>
      <c r="T706" s="11"/>
      <c r="U706" s="11" t="s">
        <v>104</v>
      </c>
      <c r="V706" s="11" t="s">
        <v>105</v>
      </c>
      <c r="W706" s="11" t="s">
        <v>106</v>
      </c>
      <c r="X706" s="11"/>
      <c r="Y706" s="11"/>
      <c r="Z706" s="11"/>
      <c r="AA706" s="12">
        <v>705</v>
      </c>
      <c r="AB706" s="12"/>
      <c r="AC706" s="11" t="s">
        <v>107</v>
      </c>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row>
    <row r="707" spans="1:56" ht="56" x14ac:dyDescent="0.25">
      <c r="A707" s="11" t="s">
        <v>3840</v>
      </c>
      <c r="B707" s="11" t="s">
        <v>3841</v>
      </c>
      <c r="C707" s="11"/>
      <c r="D707" s="11" t="s">
        <v>91</v>
      </c>
      <c r="E707" s="11"/>
      <c r="F707" s="11" t="s">
        <v>3842</v>
      </c>
      <c r="G707" s="11" t="s">
        <v>3843</v>
      </c>
      <c r="H707" s="11" t="s">
        <v>94</v>
      </c>
      <c r="I707" s="11" t="s">
        <v>95</v>
      </c>
      <c r="J707" s="11" t="s">
        <v>96</v>
      </c>
      <c r="K707" s="11"/>
      <c r="L707" s="11" t="s">
        <v>3844</v>
      </c>
      <c r="M707" s="11" t="s">
        <v>183</v>
      </c>
      <c r="N707" s="11"/>
      <c r="O707" s="11"/>
      <c r="P707" s="11" t="s">
        <v>102</v>
      </c>
      <c r="Q707" s="12">
        <v>113.172571</v>
      </c>
      <c r="R707" s="13">
        <v>23.145188000000001</v>
      </c>
      <c r="S707" s="11" t="s">
        <v>3840</v>
      </c>
      <c r="T707" s="11"/>
      <c r="U707" s="11" t="s">
        <v>104</v>
      </c>
      <c r="V707" s="11" t="s">
        <v>105</v>
      </c>
      <c r="W707" s="11" t="s">
        <v>106</v>
      </c>
      <c r="X707" s="11"/>
      <c r="Y707" s="11"/>
      <c r="Z707" s="11"/>
      <c r="AA707" s="12">
        <v>706</v>
      </c>
      <c r="AB707" s="12"/>
      <c r="AC707" s="11" t="s">
        <v>107</v>
      </c>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row>
    <row r="708" spans="1:56" ht="84" x14ac:dyDescent="0.25">
      <c r="A708" s="11" t="s">
        <v>3845</v>
      </c>
      <c r="B708" s="11" t="s">
        <v>3846</v>
      </c>
      <c r="C708" s="11"/>
      <c r="D708" s="11" t="s">
        <v>91</v>
      </c>
      <c r="E708" s="11"/>
      <c r="F708" s="11" t="s">
        <v>3847</v>
      </c>
      <c r="G708" s="11" t="s">
        <v>3848</v>
      </c>
      <c r="H708" s="11" t="s">
        <v>94</v>
      </c>
      <c r="I708" s="11" t="s">
        <v>121</v>
      </c>
      <c r="J708" s="11" t="s">
        <v>737</v>
      </c>
      <c r="K708" s="11"/>
      <c r="L708" s="11" t="s">
        <v>3849</v>
      </c>
      <c r="M708" s="11"/>
      <c r="N708" s="11"/>
      <c r="O708" s="11"/>
      <c r="P708" s="11" t="s">
        <v>102</v>
      </c>
      <c r="Q708" s="12">
        <v>113.27581600000001</v>
      </c>
      <c r="R708" s="13">
        <v>22.985572999999999</v>
      </c>
      <c r="S708" s="11" t="s">
        <v>3845</v>
      </c>
      <c r="T708" s="11"/>
      <c r="U708" s="11" t="s">
        <v>104</v>
      </c>
      <c r="V708" s="11" t="s">
        <v>105</v>
      </c>
      <c r="W708" s="11" t="s">
        <v>106</v>
      </c>
      <c r="X708" s="11"/>
      <c r="Y708" s="11"/>
      <c r="Z708" s="11"/>
      <c r="AA708" s="12">
        <v>707</v>
      </c>
      <c r="AB708" s="12"/>
      <c r="AC708" s="11" t="s">
        <v>3850</v>
      </c>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row>
    <row r="709" spans="1:56" ht="84" x14ac:dyDescent="0.25">
      <c r="A709" s="11" t="s">
        <v>3851</v>
      </c>
      <c r="B709" s="11" t="s">
        <v>3852</v>
      </c>
      <c r="C709" s="11"/>
      <c r="D709" s="11" t="s">
        <v>91</v>
      </c>
      <c r="E709" s="11"/>
      <c r="F709" s="11" t="s">
        <v>3853</v>
      </c>
      <c r="G709" s="11" t="s">
        <v>3854</v>
      </c>
      <c r="H709" s="11" t="s">
        <v>94</v>
      </c>
      <c r="I709" s="11" t="s">
        <v>121</v>
      </c>
      <c r="J709" s="11" t="s">
        <v>792</v>
      </c>
      <c r="K709" s="11"/>
      <c r="L709" s="11" t="s">
        <v>3855</v>
      </c>
      <c r="M709" s="11"/>
      <c r="N709" s="11"/>
      <c r="O709" s="11"/>
      <c r="P709" s="11" t="s">
        <v>102</v>
      </c>
      <c r="Q709" s="12">
        <v>113.413162</v>
      </c>
      <c r="R709" s="13">
        <v>23.071598999999999</v>
      </c>
      <c r="S709" s="11" t="s">
        <v>3851</v>
      </c>
      <c r="T709" s="11"/>
      <c r="U709" s="11" t="s">
        <v>104</v>
      </c>
      <c r="V709" s="11" t="s">
        <v>105</v>
      </c>
      <c r="W709" s="11" t="s">
        <v>106</v>
      </c>
      <c r="X709" s="11"/>
      <c r="Y709" s="11"/>
      <c r="Z709" s="11"/>
      <c r="AA709" s="12">
        <v>708</v>
      </c>
      <c r="AB709" s="12"/>
      <c r="AC709" s="11" t="s">
        <v>3850</v>
      </c>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row>
    <row r="710" spans="1:56" ht="84" x14ac:dyDescent="0.25">
      <c r="A710" s="11" t="s">
        <v>3856</v>
      </c>
      <c r="B710" s="11" t="s">
        <v>3857</v>
      </c>
      <c r="C710" s="11"/>
      <c r="D710" s="11" t="s">
        <v>91</v>
      </c>
      <c r="E710" s="11"/>
      <c r="F710" s="11" t="s">
        <v>3858</v>
      </c>
      <c r="G710" s="11" t="s">
        <v>3859</v>
      </c>
      <c r="H710" s="11" t="s">
        <v>94</v>
      </c>
      <c r="I710" s="11" t="s">
        <v>121</v>
      </c>
      <c r="J710" s="11" t="s">
        <v>2285</v>
      </c>
      <c r="K710" s="11"/>
      <c r="L710" s="11" t="s">
        <v>3860</v>
      </c>
      <c r="M710" s="11"/>
      <c r="N710" s="11"/>
      <c r="O710" s="11"/>
      <c r="P710" s="11" t="s">
        <v>102</v>
      </c>
      <c r="Q710" s="12">
        <v>113.37411</v>
      </c>
      <c r="R710" s="13">
        <v>23.091260999999999</v>
      </c>
      <c r="S710" s="11" t="s">
        <v>3856</v>
      </c>
      <c r="T710" s="11"/>
      <c r="U710" s="11" t="s">
        <v>104</v>
      </c>
      <c r="V710" s="11" t="s">
        <v>105</v>
      </c>
      <c r="W710" s="11" t="s">
        <v>106</v>
      </c>
      <c r="X710" s="11"/>
      <c r="Y710" s="11"/>
      <c r="Z710" s="11"/>
      <c r="AA710" s="12">
        <v>709</v>
      </c>
      <c r="AB710" s="12"/>
      <c r="AC710" s="11" t="s">
        <v>3850</v>
      </c>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row>
    <row r="711" spans="1:56" ht="84" x14ac:dyDescent="0.25">
      <c r="A711" s="11" t="s">
        <v>3861</v>
      </c>
      <c r="B711" s="11" t="s">
        <v>3862</v>
      </c>
      <c r="C711" s="11"/>
      <c r="D711" s="11" t="s">
        <v>91</v>
      </c>
      <c r="E711" s="11"/>
      <c r="F711" s="11" t="s">
        <v>3863</v>
      </c>
      <c r="G711" s="11" t="s">
        <v>3864</v>
      </c>
      <c r="H711" s="11" t="s">
        <v>94</v>
      </c>
      <c r="I711" s="11" t="s">
        <v>121</v>
      </c>
      <c r="J711" s="11" t="s">
        <v>737</v>
      </c>
      <c r="K711" s="11"/>
      <c r="L711" s="11" t="s">
        <v>3865</v>
      </c>
      <c r="M711" s="11"/>
      <c r="N711" s="11"/>
      <c r="O711" s="11"/>
      <c r="P711" s="11" t="s">
        <v>102</v>
      </c>
      <c r="Q711" s="12">
        <v>113.35138999999999</v>
      </c>
      <c r="R711" s="13">
        <v>23.011399999999998</v>
      </c>
      <c r="S711" s="11" t="s">
        <v>3861</v>
      </c>
      <c r="T711" s="11"/>
      <c r="U711" s="11" t="s">
        <v>104</v>
      </c>
      <c r="V711" s="11" t="s">
        <v>105</v>
      </c>
      <c r="W711" s="11" t="s">
        <v>106</v>
      </c>
      <c r="X711" s="11"/>
      <c r="Y711" s="11"/>
      <c r="Z711" s="11"/>
      <c r="AA711" s="12">
        <v>710</v>
      </c>
      <c r="AB711" s="12"/>
      <c r="AC711" s="11" t="s">
        <v>3850</v>
      </c>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row>
    <row r="712" spans="1:56" ht="84" x14ac:dyDescent="0.25">
      <c r="A712" s="11" t="s">
        <v>3866</v>
      </c>
      <c r="B712" s="11" t="s">
        <v>3867</v>
      </c>
      <c r="C712" s="11"/>
      <c r="D712" s="11" t="s">
        <v>91</v>
      </c>
      <c r="E712" s="11" t="s">
        <v>92</v>
      </c>
      <c r="F712" s="11" t="s">
        <v>3868</v>
      </c>
      <c r="G712" s="11" t="s">
        <v>3869</v>
      </c>
      <c r="H712" s="11" t="s">
        <v>94</v>
      </c>
      <c r="I712" s="11" t="s">
        <v>121</v>
      </c>
      <c r="J712" s="11" t="s">
        <v>2285</v>
      </c>
      <c r="K712" s="11"/>
      <c r="L712" s="11" t="s">
        <v>3870</v>
      </c>
      <c r="M712" s="11" t="s">
        <v>99</v>
      </c>
      <c r="N712" s="11" t="s">
        <v>174</v>
      </c>
      <c r="O712" s="11" t="s">
        <v>101</v>
      </c>
      <c r="P712" s="11" t="s">
        <v>102</v>
      </c>
      <c r="Q712" s="12">
        <v>113.40733899999999</v>
      </c>
      <c r="R712" s="13">
        <v>23.085148</v>
      </c>
      <c r="S712" s="11" t="s">
        <v>3866</v>
      </c>
      <c r="T712" s="11"/>
      <c r="U712" s="11" t="s">
        <v>104</v>
      </c>
      <c r="V712" s="11" t="s">
        <v>105</v>
      </c>
      <c r="W712" s="11" t="s">
        <v>106</v>
      </c>
      <c r="X712" s="11"/>
      <c r="Y712" s="11"/>
      <c r="Z712" s="11"/>
      <c r="AA712" s="12">
        <v>711</v>
      </c>
      <c r="AB712" s="12"/>
      <c r="AC712" s="11" t="s">
        <v>3850</v>
      </c>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row>
    <row r="713" spans="1:56" ht="56" x14ac:dyDescent="0.25">
      <c r="A713" s="11" t="s">
        <v>3871</v>
      </c>
      <c r="B713" s="11" t="s">
        <v>3872</v>
      </c>
      <c r="C713" s="11"/>
      <c r="D713" s="11" t="s">
        <v>91</v>
      </c>
      <c r="E713" s="11"/>
      <c r="F713" s="11" t="s">
        <v>3873</v>
      </c>
      <c r="G713" s="11" t="s">
        <v>3874</v>
      </c>
      <c r="H713" s="11" t="s">
        <v>94</v>
      </c>
      <c r="I713" s="11" t="s">
        <v>121</v>
      </c>
      <c r="J713" s="11" t="s">
        <v>2285</v>
      </c>
      <c r="K713" s="11"/>
      <c r="L713" s="11" t="s">
        <v>3875</v>
      </c>
      <c r="M713" s="11"/>
      <c r="N713" s="11"/>
      <c r="O713" s="11"/>
      <c r="P713" s="11" t="s">
        <v>102</v>
      </c>
      <c r="Q713" s="12">
        <v>113.41314199999999</v>
      </c>
      <c r="R713" s="13">
        <v>23.071636999999999</v>
      </c>
      <c r="S713" s="11" t="s">
        <v>3871</v>
      </c>
      <c r="T713" s="11"/>
      <c r="U713" s="11" t="s">
        <v>104</v>
      </c>
      <c r="V713" s="11" t="s">
        <v>105</v>
      </c>
      <c r="W713" s="11" t="s">
        <v>106</v>
      </c>
      <c r="X713" s="11"/>
      <c r="Y713" s="11"/>
      <c r="Z713" s="11"/>
      <c r="AA713" s="12">
        <v>712</v>
      </c>
      <c r="AB713" s="12"/>
      <c r="AC713" s="11" t="s">
        <v>3850</v>
      </c>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row>
    <row r="714" spans="1:56" ht="56" x14ac:dyDescent="0.25">
      <c r="A714" s="11" t="s">
        <v>3876</v>
      </c>
      <c r="B714" s="11" t="s">
        <v>3877</v>
      </c>
      <c r="C714" s="11"/>
      <c r="D714" s="11" t="s">
        <v>91</v>
      </c>
      <c r="E714" s="11"/>
      <c r="F714" s="11" t="s">
        <v>3878</v>
      </c>
      <c r="G714" s="11" t="s">
        <v>3879</v>
      </c>
      <c r="H714" s="11" t="s">
        <v>94</v>
      </c>
      <c r="I714" s="11" t="s">
        <v>121</v>
      </c>
      <c r="J714" s="11" t="s">
        <v>122</v>
      </c>
      <c r="K714" s="11"/>
      <c r="L714" s="11" t="s">
        <v>3880</v>
      </c>
      <c r="M714" s="11"/>
      <c r="N714" s="11"/>
      <c r="O714" s="11"/>
      <c r="P714" s="11" t="s">
        <v>102</v>
      </c>
      <c r="Q714" s="12">
        <v>113.35896200000001</v>
      </c>
      <c r="R714" s="13">
        <v>23.135232999999999</v>
      </c>
      <c r="S714" s="11" t="s">
        <v>3876</v>
      </c>
      <c r="T714" s="11"/>
      <c r="U714" s="11" t="s">
        <v>104</v>
      </c>
      <c r="V714" s="11" t="s">
        <v>105</v>
      </c>
      <c r="W714" s="11" t="s">
        <v>106</v>
      </c>
      <c r="X714" s="11"/>
      <c r="Y714" s="11"/>
      <c r="Z714" s="11"/>
      <c r="AA714" s="12">
        <v>713</v>
      </c>
      <c r="AB714" s="12"/>
      <c r="AC714" s="11" t="s">
        <v>3850</v>
      </c>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row>
    <row r="715" spans="1:56" ht="42" x14ac:dyDescent="0.25">
      <c r="A715" s="11" t="s">
        <v>3881</v>
      </c>
      <c r="B715" s="11" t="s">
        <v>3882</v>
      </c>
      <c r="C715" s="11"/>
      <c r="D715" s="11" t="s">
        <v>91</v>
      </c>
      <c r="E715" s="11"/>
      <c r="F715" s="11" t="s">
        <v>3883</v>
      </c>
      <c r="G715" s="11" t="s">
        <v>3884</v>
      </c>
      <c r="H715" s="11" t="s">
        <v>94</v>
      </c>
      <c r="I715" s="11" t="s">
        <v>121</v>
      </c>
      <c r="J715" s="11" t="s">
        <v>122</v>
      </c>
      <c r="K715" s="11"/>
      <c r="L715" s="11" t="s">
        <v>3885</v>
      </c>
      <c r="M715" s="11"/>
      <c r="N715" s="11"/>
      <c r="O715" s="11"/>
      <c r="P715" s="11" t="s">
        <v>102</v>
      </c>
      <c r="Q715" s="12">
        <v>113.356585</v>
      </c>
      <c r="R715" s="13">
        <v>23.111204000000001</v>
      </c>
      <c r="S715" s="11" t="s">
        <v>3881</v>
      </c>
      <c r="T715" s="11"/>
      <c r="U715" s="11" t="s">
        <v>104</v>
      </c>
      <c r="V715" s="11" t="s">
        <v>105</v>
      </c>
      <c r="W715" s="11" t="s">
        <v>106</v>
      </c>
      <c r="X715" s="11"/>
      <c r="Y715" s="11"/>
      <c r="Z715" s="11"/>
      <c r="AA715" s="12">
        <v>714</v>
      </c>
      <c r="AB715" s="12"/>
      <c r="AC715" s="11" t="s">
        <v>134</v>
      </c>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row>
    <row r="716" spans="1:56" ht="42" x14ac:dyDescent="0.25">
      <c r="A716" s="11" t="s">
        <v>3886</v>
      </c>
      <c r="B716" s="11" t="s">
        <v>3887</v>
      </c>
      <c r="C716" s="11"/>
      <c r="D716" s="11" t="s">
        <v>91</v>
      </c>
      <c r="E716" s="11"/>
      <c r="F716" s="11" t="s">
        <v>601</v>
      </c>
      <c r="G716" s="11" t="s">
        <v>3888</v>
      </c>
      <c r="H716" s="11" t="s">
        <v>94</v>
      </c>
      <c r="I716" s="11" t="s">
        <v>121</v>
      </c>
      <c r="J716" s="11" t="s">
        <v>122</v>
      </c>
      <c r="K716" s="11"/>
      <c r="L716" s="11" t="s">
        <v>3889</v>
      </c>
      <c r="M716" s="11"/>
      <c r="N716" s="11"/>
      <c r="O716" s="11"/>
      <c r="P716" s="11" t="s">
        <v>102</v>
      </c>
      <c r="Q716" s="12">
        <v>113.330434</v>
      </c>
      <c r="R716" s="13">
        <v>23.153749000000001</v>
      </c>
      <c r="S716" s="11" t="s">
        <v>3886</v>
      </c>
      <c r="T716" s="11"/>
      <c r="U716" s="11" t="s">
        <v>104</v>
      </c>
      <c r="V716" s="11" t="s">
        <v>105</v>
      </c>
      <c r="W716" s="11" t="s">
        <v>106</v>
      </c>
      <c r="X716" s="11"/>
      <c r="Y716" s="11"/>
      <c r="Z716" s="11"/>
      <c r="AA716" s="12">
        <v>715</v>
      </c>
      <c r="AB716" s="12"/>
      <c r="AC716" s="11" t="s">
        <v>134</v>
      </c>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row>
    <row r="717" spans="1:56" ht="42" x14ac:dyDescent="0.25">
      <c r="A717" s="11" t="s">
        <v>3890</v>
      </c>
      <c r="B717" s="11" t="s">
        <v>3891</v>
      </c>
      <c r="C717" s="11"/>
      <c r="D717" s="11" t="s">
        <v>91</v>
      </c>
      <c r="E717" s="11"/>
      <c r="F717" s="11" t="s">
        <v>3883</v>
      </c>
      <c r="G717" s="11" t="s">
        <v>3892</v>
      </c>
      <c r="H717" s="11" t="s">
        <v>94</v>
      </c>
      <c r="I717" s="11" t="s">
        <v>121</v>
      </c>
      <c r="J717" s="11" t="s">
        <v>2264</v>
      </c>
      <c r="K717" s="11"/>
      <c r="L717" s="11" t="s">
        <v>3893</v>
      </c>
      <c r="M717" s="11"/>
      <c r="N717" s="11"/>
      <c r="O717" s="11"/>
      <c r="P717" s="11" t="s">
        <v>102</v>
      </c>
      <c r="Q717" s="12">
        <v>113.289953</v>
      </c>
      <c r="R717" s="13">
        <v>23.143443000000001</v>
      </c>
      <c r="S717" s="11" t="s">
        <v>3890</v>
      </c>
      <c r="T717" s="11"/>
      <c r="U717" s="11" t="s">
        <v>104</v>
      </c>
      <c r="V717" s="11" t="s">
        <v>105</v>
      </c>
      <c r="W717" s="11" t="s">
        <v>106</v>
      </c>
      <c r="X717" s="11"/>
      <c r="Y717" s="11"/>
      <c r="Z717" s="11"/>
      <c r="AA717" s="12">
        <v>716</v>
      </c>
      <c r="AB717" s="12"/>
      <c r="AC717" s="11" t="s">
        <v>134</v>
      </c>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row>
    <row r="718" spans="1:56" ht="42" x14ac:dyDescent="0.25">
      <c r="A718" s="11" t="s">
        <v>3894</v>
      </c>
      <c r="B718" s="11" t="s">
        <v>3895</v>
      </c>
      <c r="C718" s="11"/>
      <c r="D718" s="11" t="s">
        <v>91</v>
      </c>
      <c r="E718" s="11"/>
      <c r="F718" s="11" t="s">
        <v>601</v>
      </c>
      <c r="G718" s="11" t="s">
        <v>3896</v>
      </c>
      <c r="H718" s="11" t="s">
        <v>94</v>
      </c>
      <c r="I718" s="11" t="s">
        <v>121</v>
      </c>
      <c r="J718" s="11" t="s">
        <v>971</v>
      </c>
      <c r="K718" s="11"/>
      <c r="L718" s="11" t="s">
        <v>3897</v>
      </c>
      <c r="M718" s="11"/>
      <c r="N718" s="11"/>
      <c r="O718" s="11"/>
      <c r="P718" s="11" t="s">
        <v>102</v>
      </c>
      <c r="Q718" s="12">
        <v>113.249664</v>
      </c>
      <c r="R718" s="13">
        <v>23.180311</v>
      </c>
      <c r="S718" s="11" t="s">
        <v>3894</v>
      </c>
      <c r="T718" s="11"/>
      <c r="U718" s="11" t="s">
        <v>104</v>
      </c>
      <c r="V718" s="11" t="s">
        <v>105</v>
      </c>
      <c r="W718" s="11" t="s">
        <v>106</v>
      </c>
      <c r="X718" s="11"/>
      <c r="Y718" s="11"/>
      <c r="Z718" s="11"/>
      <c r="AA718" s="12">
        <v>717</v>
      </c>
      <c r="AB718" s="12"/>
      <c r="AC718" s="11" t="s">
        <v>134</v>
      </c>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row>
    <row r="719" spans="1:56" ht="42" x14ac:dyDescent="0.25">
      <c r="A719" s="11" t="s">
        <v>3898</v>
      </c>
      <c r="B719" s="11" t="s">
        <v>3899</v>
      </c>
      <c r="C719" s="11"/>
      <c r="D719" s="11" t="s">
        <v>91</v>
      </c>
      <c r="E719" s="11"/>
      <c r="F719" s="11" t="s">
        <v>3472</v>
      </c>
      <c r="G719" s="11" t="s">
        <v>3900</v>
      </c>
      <c r="H719" s="11" t="s">
        <v>94</v>
      </c>
      <c r="I719" s="11" t="s">
        <v>121</v>
      </c>
      <c r="J719" s="11" t="s">
        <v>2007</v>
      </c>
      <c r="K719" s="11"/>
      <c r="L719" s="11" t="s">
        <v>3901</v>
      </c>
      <c r="M719" s="11"/>
      <c r="N719" s="11"/>
      <c r="O719" s="11"/>
      <c r="P719" s="11" t="s">
        <v>102</v>
      </c>
      <c r="Q719" s="12">
        <v>113.24182500000001</v>
      </c>
      <c r="R719" s="13">
        <v>23.133568</v>
      </c>
      <c r="S719" s="11" t="s">
        <v>3898</v>
      </c>
      <c r="T719" s="11"/>
      <c r="U719" s="11" t="s">
        <v>104</v>
      </c>
      <c r="V719" s="11" t="s">
        <v>105</v>
      </c>
      <c r="W719" s="11" t="s">
        <v>106</v>
      </c>
      <c r="X719" s="11"/>
      <c r="Y719" s="11"/>
      <c r="Z719" s="11"/>
      <c r="AA719" s="12">
        <v>718</v>
      </c>
      <c r="AB719" s="12"/>
      <c r="AC719" s="11" t="s">
        <v>134</v>
      </c>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row>
    <row r="720" spans="1:56" ht="42" x14ac:dyDescent="0.25">
      <c r="A720" s="11" t="s">
        <v>3902</v>
      </c>
      <c r="B720" s="11" t="s">
        <v>3903</v>
      </c>
      <c r="C720" s="11"/>
      <c r="D720" s="11" t="s">
        <v>91</v>
      </c>
      <c r="E720" s="11"/>
      <c r="F720" s="11" t="s">
        <v>601</v>
      </c>
      <c r="G720" s="11" t="s">
        <v>3904</v>
      </c>
      <c r="H720" s="11" t="s">
        <v>94</v>
      </c>
      <c r="I720" s="11" t="s">
        <v>95</v>
      </c>
      <c r="J720" s="11" t="s">
        <v>96</v>
      </c>
      <c r="K720" s="11"/>
      <c r="L720" s="11" t="s">
        <v>3905</v>
      </c>
      <c r="M720" s="11"/>
      <c r="N720" s="11"/>
      <c r="O720" s="11"/>
      <c r="P720" s="11" t="s">
        <v>102</v>
      </c>
      <c r="Q720" s="12">
        <v>113.20746200000001</v>
      </c>
      <c r="R720" s="13">
        <v>23.131777</v>
      </c>
      <c r="S720" s="11" t="s">
        <v>3902</v>
      </c>
      <c r="T720" s="11"/>
      <c r="U720" s="11" t="s">
        <v>104</v>
      </c>
      <c r="V720" s="11" t="s">
        <v>105</v>
      </c>
      <c r="W720" s="11" t="s">
        <v>106</v>
      </c>
      <c r="X720" s="11"/>
      <c r="Y720" s="11"/>
      <c r="Z720" s="11"/>
      <c r="AA720" s="12">
        <v>719</v>
      </c>
      <c r="AB720" s="12"/>
      <c r="AC720" s="11" t="s">
        <v>134</v>
      </c>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row>
    <row r="721" spans="1:56" ht="42" x14ac:dyDescent="0.25">
      <c r="A721" s="11" t="s">
        <v>3906</v>
      </c>
      <c r="B721" s="11" t="s">
        <v>3907</v>
      </c>
      <c r="C721" s="11"/>
      <c r="D721" s="11" t="s">
        <v>91</v>
      </c>
      <c r="E721" s="11"/>
      <c r="F721" s="11" t="s">
        <v>3883</v>
      </c>
      <c r="G721" s="11" t="s">
        <v>3908</v>
      </c>
      <c r="H721" s="11" t="s">
        <v>94</v>
      </c>
      <c r="I721" s="11" t="s">
        <v>121</v>
      </c>
      <c r="J721" s="11" t="s">
        <v>2285</v>
      </c>
      <c r="K721" s="11"/>
      <c r="L721" s="11" t="s">
        <v>3909</v>
      </c>
      <c r="M721" s="11"/>
      <c r="N721" s="11"/>
      <c r="O721" s="11"/>
      <c r="P721" s="11" t="s">
        <v>102</v>
      </c>
      <c r="Q721" s="12">
        <v>113.275998</v>
      </c>
      <c r="R721" s="13">
        <v>23.085415999999999</v>
      </c>
      <c r="S721" s="11" t="s">
        <v>3906</v>
      </c>
      <c r="T721" s="11"/>
      <c r="U721" s="11" t="s">
        <v>104</v>
      </c>
      <c r="V721" s="11" t="s">
        <v>105</v>
      </c>
      <c r="W721" s="11" t="s">
        <v>106</v>
      </c>
      <c r="X721" s="11"/>
      <c r="Y721" s="11"/>
      <c r="Z721" s="11"/>
      <c r="AA721" s="12">
        <v>720</v>
      </c>
      <c r="AB721" s="12"/>
      <c r="AC721" s="11" t="s">
        <v>134</v>
      </c>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row>
    <row r="722" spans="1:56" ht="42" x14ac:dyDescent="0.25">
      <c r="A722" s="11" t="s">
        <v>3910</v>
      </c>
      <c r="B722" s="11" t="s">
        <v>3911</v>
      </c>
      <c r="C722" s="11"/>
      <c r="D722" s="11" t="s">
        <v>91</v>
      </c>
      <c r="E722" s="11"/>
      <c r="F722" s="11" t="s">
        <v>601</v>
      </c>
      <c r="G722" s="11" t="s">
        <v>3912</v>
      </c>
      <c r="H722" s="11" t="s">
        <v>94</v>
      </c>
      <c r="I722" s="11" t="s">
        <v>121</v>
      </c>
      <c r="J722" s="11" t="s">
        <v>2007</v>
      </c>
      <c r="K722" s="11"/>
      <c r="L722" s="11" t="s">
        <v>3913</v>
      </c>
      <c r="M722" s="11"/>
      <c r="N722" s="11"/>
      <c r="O722" s="11"/>
      <c r="P722" s="11" t="s">
        <v>102</v>
      </c>
      <c r="Q722" s="12">
        <v>113.23804800000001</v>
      </c>
      <c r="R722" s="13">
        <v>23.076416999999999</v>
      </c>
      <c r="S722" s="11" t="s">
        <v>3910</v>
      </c>
      <c r="T722" s="11"/>
      <c r="U722" s="11" t="s">
        <v>104</v>
      </c>
      <c r="V722" s="11" t="s">
        <v>105</v>
      </c>
      <c r="W722" s="11" t="s">
        <v>106</v>
      </c>
      <c r="X722" s="11"/>
      <c r="Y722" s="11"/>
      <c r="Z722" s="11"/>
      <c r="AA722" s="12">
        <v>721</v>
      </c>
      <c r="AB722" s="12"/>
      <c r="AC722" s="11" t="s">
        <v>134</v>
      </c>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row>
    <row r="723" spans="1:56" ht="42" x14ac:dyDescent="0.25">
      <c r="A723" s="11" t="s">
        <v>3914</v>
      </c>
      <c r="B723" s="11" t="s">
        <v>3915</v>
      </c>
      <c r="C723" s="11"/>
      <c r="D723" s="11" t="s">
        <v>91</v>
      </c>
      <c r="E723" s="11"/>
      <c r="F723" s="11" t="s">
        <v>3916</v>
      </c>
      <c r="G723" s="11" t="s">
        <v>3917</v>
      </c>
      <c r="H723" s="11" t="s">
        <v>94</v>
      </c>
      <c r="I723" s="11" t="s">
        <v>121</v>
      </c>
      <c r="J723" s="11" t="s">
        <v>971</v>
      </c>
      <c r="K723" s="11"/>
      <c r="L723" s="11" t="s">
        <v>3918</v>
      </c>
      <c r="M723" s="11"/>
      <c r="N723" s="11"/>
      <c r="O723" s="11"/>
      <c r="P723" s="11" t="s">
        <v>102</v>
      </c>
      <c r="Q723" s="12">
        <v>113.30969</v>
      </c>
      <c r="R723" s="13">
        <v>23.261780000000002</v>
      </c>
      <c r="S723" s="11" t="s">
        <v>3914</v>
      </c>
      <c r="T723" s="11"/>
      <c r="U723" s="11" t="s">
        <v>104</v>
      </c>
      <c r="V723" s="11" t="s">
        <v>105</v>
      </c>
      <c r="W723" s="11" t="s">
        <v>106</v>
      </c>
      <c r="X723" s="11"/>
      <c r="Y723" s="11"/>
      <c r="Z723" s="11"/>
      <c r="AA723" s="12">
        <v>722</v>
      </c>
      <c r="AB723" s="12"/>
      <c r="AC723" s="11" t="s">
        <v>134</v>
      </c>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row>
    <row r="724" spans="1:56" ht="42" x14ac:dyDescent="0.25">
      <c r="A724" s="11" t="s">
        <v>3919</v>
      </c>
      <c r="B724" s="11" t="s">
        <v>3920</v>
      </c>
      <c r="C724" s="11"/>
      <c r="D724" s="11" t="s">
        <v>91</v>
      </c>
      <c r="E724" s="11"/>
      <c r="F724" s="11" t="s">
        <v>3921</v>
      </c>
      <c r="G724" s="11" t="s">
        <v>3922</v>
      </c>
      <c r="H724" s="11" t="s">
        <v>94</v>
      </c>
      <c r="I724" s="11" t="s">
        <v>95</v>
      </c>
      <c r="J724" s="11" t="s">
        <v>96</v>
      </c>
      <c r="K724" s="11"/>
      <c r="L724" s="11" t="s">
        <v>3923</v>
      </c>
      <c r="M724" s="11"/>
      <c r="N724" s="11"/>
      <c r="O724" s="11"/>
      <c r="P724" s="11" t="s">
        <v>102</v>
      </c>
      <c r="Q724" s="12">
        <v>113.165069</v>
      </c>
      <c r="R724" s="13">
        <v>23.047761000000001</v>
      </c>
      <c r="S724" s="11" t="s">
        <v>3919</v>
      </c>
      <c r="T724" s="11"/>
      <c r="U724" s="11" t="s">
        <v>104</v>
      </c>
      <c r="V724" s="11" t="s">
        <v>105</v>
      </c>
      <c r="W724" s="11" t="s">
        <v>106</v>
      </c>
      <c r="X724" s="11"/>
      <c r="Y724" s="11"/>
      <c r="Z724" s="11"/>
      <c r="AA724" s="12">
        <v>723</v>
      </c>
      <c r="AB724" s="12"/>
      <c r="AC724" s="11" t="s">
        <v>134</v>
      </c>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row>
    <row r="725" spans="1:56" ht="42" x14ac:dyDescent="0.25">
      <c r="A725" s="11" t="s">
        <v>3924</v>
      </c>
      <c r="B725" s="11" t="s">
        <v>3925</v>
      </c>
      <c r="C725" s="11"/>
      <c r="D725" s="11" t="s">
        <v>91</v>
      </c>
      <c r="E725" s="11"/>
      <c r="F725" s="11" t="s">
        <v>3926</v>
      </c>
      <c r="G725" s="11" t="s">
        <v>3927</v>
      </c>
      <c r="H725" s="11" t="s">
        <v>94</v>
      </c>
      <c r="I725" s="11" t="s">
        <v>121</v>
      </c>
      <c r="J725" s="11" t="s">
        <v>737</v>
      </c>
      <c r="K725" s="11"/>
      <c r="L725" s="11" t="s">
        <v>3928</v>
      </c>
      <c r="M725" s="11" t="s">
        <v>139</v>
      </c>
      <c r="N725" s="11"/>
      <c r="O725" s="11"/>
      <c r="P725" s="11" t="s">
        <v>102</v>
      </c>
      <c r="Q725" s="12">
        <v>113.31959999999999</v>
      </c>
      <c r="R725" s="13">
        <v>23.026733</v>
      </c>
      <c r="S725" s="11" t="s">
        <v>3924</v>
      </c>
      <c r="T725" s="11"/>
      <c r="U725" s="11" t="s">
        <v>104</v>
      </c>
      <c r="V725" s="11" t="s">
        <v>105</v>
      </c>
      <c r="W725" s="11" t="s">
        <v>106</v>
      </c>
      <c r="X725" s="11"/>
      <c r="Y725" s="11"/>
      <c r="Z725" s="11"/>
      <c r="AA725" s="12">
        <v>724</v>
      </c>
      <c r="AB725" s="12"/>
      <c r="AC725" s="11" t="s">
        <v>134</v>
      </c>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row>
    <row r="726" spans="1:56" ht="56" x14ac:dyDescent="0.25">
      <c r="A726" s="11" t="s">
        <v>3929</v>
      </c>
      <c r="B726" s="11" t="s">
        <v>3930</v>
      </c>
      <c r="C726" s="11"/>
      <c r="D726" s="11" t="s">
        <v>91</v>
      </c>
      <c r="E726" s="11"/>
      <c r="F726" s="11" t="s">
        <v>3931</v>
      </c>
      <c r="G726" s="11" t="s">
        <v>3932</v>
      </c>
      <c r="H726" s="11" t="s">
        <v>94</v>
      </c>
      <c r="I726" s="11" t="s">
        <v>121</v>
      </c>
      <c r="J726" s="11" t="s">
        <v>971</v>
      </c>
      <c r="K726" s="11"/>
      <c r="L726" s="11" t="s">
        <v>3933</v>
      </c>
      <c r="M726" s="11"/>
      <c r="N726" s="11"/>
      <c r="O726" s="11"/>
      <c r="P726" s="11" t="s">
        <v>102</v>
      </c>
      <c r="Q726" s="12">
        <v>113.284046</v>
      </c>
      <c r="R726" s="13">
        <v>23.230643000000001</v>
      </c>
      <c r="S726" s="11" t="s">
        <v>3929</v>
      </c>
      <c r="T726" s="11"/>
      <c r="U726" s="11" t="s">
        <v>104</v>
      </c>
      <c r="V726" s="11" t="s">
        <v>105</v>
      </c>
      <c r="W726" s="11" t="s">
        <v>106</v>
      </c>
      <c r="X726" s="11"/>
      <c r="Y726" s="11"/>
      <c r="Z726" s="11"/>
      <c r="AA726" s="12">
        <v>725</v>
      </c>
      <c r="AB726" s="12"/>
      <c r="AC726" s="11" t="s">
        <v>134</v>
      </c>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row>
    <row r="727" spans="1:56" ht="56" x14ac:dyDescent="0.25">
      <c r="A727" s="11" t="s">
        <v>3934</v>
      </c>
      <c r="B727" s="11" t="s">
        <v>3935</v>
      </c>
      <c r="C727" s="11"/>
      <c r="D727" s="11" t="s">
        <v>91</v>
      </c>
      <c r="E727" s="11"/>
      <c r="F727" s="11" t="s">
        <v>601</v>
      </c>
      <c r="G727" s="11" t="s">
        <v>3936</v>
      </c>
      <c r="H727" s="11" t="s">
        <v>94</v>
      </c>
      <c r="I727" s="11" t="s">
        <v>121</v>
      </c>
      <c r="J727" s="11" t="s">
        <v>2264</v>
      </c>
      <c r="K727" s="11"/>
      <c r="L727" s="11" t="s">
        <v>3937</v>
      </c>
      <c r="M727" s="11"/>
      <c r="N727" s="11"/>
      <c r="O727" s="11"/>
      <c r="P727" s="11" t="s">
        <v>102</v>
      </c>
      <c r="Q727" s="12">
        <v>113.281755</v>
      </c>
      <c r="R727" s="13">
        <v>23.118309</v>
      </c>
      <c r="S727" s="11" t="s">
        <v>3934</v>
      </c>
      <c r="T727" s="11"/>
      <c r="U727" s="11" t="s">
        <v>104</v>
      </c>
      <c r="V727" s="11" t="s">
        <v>105</v>
      </c>
      <c r="W727" s="11" t="s">
        <v>106</v>
      </c>
      <c r="X727" s="11"/>
      <c r="Y727" s="11"/>
      <c r="Z727" s="11"/>
      <c r="AA727" s="12">
        <v>726</v>
      </c>
      <c r="AB727" s="12"/>
      <c r="AC727" s="11" t="s">
        <v>3938</v>
      </c>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row>
    <row r="728" spans="1:56" ht="56" x14ac:dyDescent="0.25">
      <c r="A728" s="11" t="s">
        <v>3939</v>
      </c>
      <c r="B728" s="11" t="s">
        <v>3940</v>
      </c>
      <c r="C728" s="11"/>
      <c r="D728" s="11" t="s">
        <v>91</v>
      </c>
      <c r="E728" s="11"/>
      <c r="F728" s="11" t="s">
        <v>3883</v>
      </c>
      <c r="G728" s="11" t="s">
        <v>3941</v>
      </c>
      <c r="H728" s="11" t="s">
        <v>94</v>
      </c>
      <c r="I728" s="11" t="s">
        <v>121</v>
      </c>
      <c r="J728" s="11" t="s">
        <v>737</v>
      </c>
      <c r="K728" s="11"/>
      <c r="L728" s="11" t="s">
        <v>3942</v>
      </c>
      <c r="M728" s="11"/>
      <c r="N728" s="11"/>
      <c r="O728" s="11"/>
      <c r="P728" s="11" t="s">
        <v>102</v>
      </c>
      <c r="Q728" s="12">
        <v>113.315926</v>
      </c>
      <c r="R728" s="13">
        <v>22.97381</v>
      </c>
      <c r="S728" s="11" t="s">
        <v>3939</v>
      </c>
      <c r="T728" s="11"/>
      <c r="U728" s="11" t="s">
        <v>104</v>
      </c>
      <c r="V728" s="11" t="s">
        <v>105</v>
      </c>
      <c r="W728" s="11" t="s">
        <v>106</v>
      </c>
      <c r="X728" s="11"/>
      <c r="Y728" s="11"/>
      <c r="Z728" s="11"/>
      <c r="AA728" s="12">
        <v>727</v>
      </c>
      <c r="AB728" s="12"/>
      <c r="AC728" s="11" t="s">
        <v>3938</v>
      </c>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row>
    <row r="729" spans="1:56" ht="70" x14ac:dyDescent="0.25">
      <c r="A729" s="11" t="s">
        <v>3943</v>
      </c>
      <c r="B729" s="11" t="s">
        <v>3944</v>
      </c>
      <c r="C729" s="11"/>
      <c r="D729" s="11" t="s">
        <v>91</v>
      </c>
      <c r="E729" s="11"/>
      <c r="F729" s="11" t="s">
        <v>3883</v>
      </c>
      <c r="G729" s="11" t="s">
        <v>3945</v>
      </c>
      <c r="H729" s="11" t="s">
        <v>94</v>
      </c>
      <c r="I729" s="11" t="s">
        <v>121</v>
      </c>
      <c r="J729" s="11" t="s">
        <v>737</v>
      </c>
      <c r="K729" s="11"/>
      <c r="L729" s="11" t="s">
        <v>3946</v>
      </c>
      <c r="M729" s="11"/>
      <c r="N729" s="11"/>
      <c r="O729" s="11"/>
      <c r="P729" s="11" t="s">
        <v>102</v>
      </c>
      <c r="Q729" s="12">
        <v>113.34426000000001</v>
      </c>
      <c r="R729" s="13">
        <v>23.013172999999998</v>
      </c>
      <c r="S729" s="11" t="s">
        <v>3943</v>
      </c>
      <c r="T729" s="11"/>
      <c r="U729" s="11" t="s">
        <v>104</v>
      </c>
      <c r="V729" s="11" t="s">
        <v>105</v>
      </c>
      <c r="W729" s="11" t="s">
        <v>106</v>
      </c>
      <c r="X729" s="11"/>
      <c r="Y729" s="11"/>
      <c r="Z729" s="11"/>
      <c r="AA729" s="12">
        <v>728</v>
      </c>
      <c r="AB729" s="12"/>
      <c r="AC729" s="11" t="s">
        <v>3938</v>
      </c>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row>
    <row r="730" spans="1:56" ht="70" x14ac:dyDescent="0.25">
      <c r="A730" s="11" t="s">
        <v>3947</v>
      </c>
      <c r="B730" s="11" t="s">
        <v>3948</v>
      </c>
      <c r="C730" s="11"/>
      <c r="D730" s="11" t="s">
        <v>91</v>
      </c>
      <c r="E730" s="11"/>
      <c r="F730" s="11" t="s">
        <v>601</v>
      </c>
      <c r="G730" s="11" t="s">
        <v>3949</v>
      </c>
      <c r="H730" s="11" t="s">
        <v>94</v>
      </c>
      <c r="I730" s="11" t="s">
        <v>121</v>
      </c>
      <c r="J730" s="11" t="s">
        <v>737</v>
      </c>
      <c r="K730" s="11"/>
      <c r="L730" s="11" t="s">
        <v>3950</v>
      </c>
      <c r="M730" s="11"/>
      <c r="N730" s="11"/>
      <c r="O730" s="11"/>
      <c r="P730" s="11" t="s">
        <v>102</v>
      </c>
      <c r="Q730" s="12">
        <v>113.367242</v>
      </c>
      <c r="R730" s="13">
        <v>22.952090999999999</v>
      </c>
      <c r="S730" s="11" t="s">
        <v>3947</v>
      </c>
      <c r="T730" s="11"/>
      <c r="U730" s="11" t="s">
        <v>104</v>
      </c>
      <c r="V730" s="11" t="s">
        <v>105</v>
      </c>
      <c r="W730" s="11" t="s">
        <v>106</v>
      </c>
      <c r="X730" s="11"/>
      <c r="Y730" s="11"/>
      <c r="Z730" s="11"/>
      <c r="AA730" s="12">
        <v>729</v>
      </c>
      <c r="AB730" s="12"/>
      <c r="AC730" s="11" t="s">
        <v>3938</v>
      </c>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row>
    <row r="731" spans="1:56" ht="42" x14ac:dyDescent="0.25">
      <c r="A731" s="11" t="s">
        <v>3951</v>
      </c>
      <c r="B731" s="11" t="s">
        <v>3952</v>
      </c>
      <c r="C731" s="11"/>
      <c r="D731" s="11" t="s">
        <v>91</v>
      </c>
      <c r="E731" s="11"/>
      <c r="F731" s="11" t="s">
        <v>3953</v>
      </c>
      <c r="G731" s="11" t="s">
        <v>3954</v>
      </c>
      <c r="H731" s="11" t="s">
        <v>94</v>
      </c>
      <c r="I731" s="11" t="s">
        <v>180</v>
      </c>
      <c r="J731" s="11" t="s">
        <v>2218</v>
      </c>
      <c r="K731" s="11"/>
      <c r="L731" s="11" t="s">
        <v>123</v>
      </c>
      <c r="M731" s="11"/>
      <c r="N731" s="11"/>
      <c r="O731" s="11"/>
      <c r="P731" s="11" t="s">
        <v>102</v>
      </c>
      <c r="Q731" s="12">
        <v>114.13161100000001</v>
      </c>
      <c r="R731" s="13">
        <v>22.548309</v>
      </c>
      <c r="S731" s="11" t="s">
        <v>3951</v>
      </c>
      <c r="T731" s="11"/>
      <c r="U731" s="11" t="s">
        <v>104</v>
      </c>
      <c r="V731" s="11" t="s">
        <v>105</v>
      </c>
      <c r="W731" s="11" t="s">
        <v>106</v>
      </c>
      <c r="X731" s="11"/>
      <c r="Y731" s="11"/>
      <c r="Z731" s="11"/>
      <c r="AA731" s="12">
        <v>730</v>
      </c>
      <c r="AB731" s="12"/>
      <c r="AC731" s="11" t="s">
        <v>107</v>
      </c>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row>
    <row r="732" spans="1:56" ht="70" x14ac:dyDescent="0.25">
      <c r="A732" s="11" t="s">
        <v>3955</v>
      </c>
      <c r="B732" s="11" t="s">
        <v>3956</v>
      </c>
      <c r="C732" s="11"/>
      <c r="D732" s="11" t="s">
        <v>91</v>
      </c>
      <c r="E732" s="11"/>
      <c r="F732" s="11" t="s">
        <v>3957</v>
      </c>
      <c r="G732" s="11" t="s">
        <v>3958</v>
      </c>
      <c r="H732" s="11" t="s">
        <v>94</v>
      </c>
      <c r="I732" s="11" t="s">
        <v>121</v>
      </c>
      <c r="J732" s="11" t="s">
        <v>971</v>
      </c>
      <c r="K732" s="11"/>
      <c r="L732" s="11" t="s">
        <v>3959</v>
      </c>
      <c r="M732" s="11" t="s">
        <v>183</v>
      </c>
      <c r="N732" s="11" t="s">
        <v>174</v>
      </c>
      <c r="O732" s="11" t="s">
        <v>101</v>
      </c>
      <c r="P732" s="11" t="s">
        <v>102</v>
      </c>
      <c r="Q732" s="12">
        <v>113.278704</v>
      </c>
      <c r="R732" s="13">
        <v>23.207288999999999</v>
      </c>
      <c r="S732" s="11" t="s">
        <v>3955</v>
      </c>
      <c r="T732" s="11"/>
      <c r="U732" s="11" t="s">
        <v>104</v>
      </c>
      <c r="V732" s="11" t="s">
        <v>105</v>
      </c>
      <c r="W732" s="11" t="s">
        <v>106</v>
      </c>
      <c r="X732" s="11"/>
      <c r="Y732" s="11"/>
      <c r="Z732" s="11"/>
      <c r="AA732" s="12">
        <v>731</v>
      </c>
      <c r="AB732" s="12"/>
      <c r="AC732" s="11" t="s">
        <v>107</v>
      </c>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row>
    <row r="733" spans="1:56" ht="56" x14ac:dyDescent="0.25">
      <c r="A733" s="11" t="s">
        <v>3960</v>
      </c>
      <c r="B733" s="11" t="s">
        <v>3961</v>
      </c>
      <c r="C733" s="11"/>
      <c r="D733" s="11" t="s">
        <v>91</v>
      </c>
      <c r="E733" s="11"/>
      <c r="F733" s="11" t="s">
        <v>3962</v>
      </c>
      <c r="G733" s="11" t="s">
        <v>3963</v>
      </c>
      <c r="H733" s="11" t="s">
        <v>94</v>
      </c>
      <c r="I733" s="11" t="s">
        <v>121</v>
      </c>
      <c r="J733" s="11" t="s">
        <v>737</v>
      </c>
      <c r="K733" s="11"/>
      <c r="L733" s="11" t="s">
        <v>3964</v>
      </c>
      <c r="M733" s="11" t="s">
        <v>99</v>
      </c>
      <c r="N733" s="11" t="s">
        <v>174</v>
      </c>
      <c r="O733" s="11" t="s">
        <v>101</v>
      </c>
      <c r="P733" s="11" t="s">
        <v>102</v>
      </c>
      <c r="Q733" s="12">
        <v>113.36357</v>
      </c>
      <c r="R733" s="13">
        <v>22.95065</v>
      </c>
      <c r="S733" s="11" t="s">
        <v>3960</v>
      </c>
      <c r="T733" s="11"/>
      <c r="U733" s="11" t="s">
        <v>104</v>
      </c>
      <c r="V733" s="11" t="s">
        <v>105</v>
      </c>
      <c r="W733" s="11" t="s">
        <v>106</v>
      </c>
      <c r="X733" s="11"/>
      <c r="Y733" s="11"/>
      <c r="Z733" s="11"/>
      <c r="AA733" s="12">
        <v>732</v>
      </c>
      <c r="AB733" s="12"/>
      <c r="AC733" s="11" t="s">
        <v>107</v>
      </c>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row>
    <row r="734" spans="1:56" ht="140" x14ac:dyDescent="0.25">
      <c r="A734" s="11" t="s">
        <v>3965</v>
      </c>
      <c r="B734" s="11" t="s">
        <v>3966</v>
      </c>
      <c r="C734" s="11"/>
      <c r="D734" s="11" t="s">
        <v>91</v>
      </c>
      <c r="E734" s="11" t="s">
        <v>92</v>
      </c>
      <c r="F734" s="11" t="s">
        <v>3967</v>
      </c>
      <c r="G734" s="11" t="s">
        <v>3968</v>
      </c>
      <c r="H734" s="11" t="s">
        <v>94</v>
      </c>
      <c r="I734" s="11" t="s">
        <v>121</v>
      </c>
      <c r="J734" s="11" t="s">
        <v>122</v>
      </c>
      <c r="K734" s="11"/>
      <c r="L734" s="11" t="s">
        <v>3969</v>
      </c>
      <c r="M734" s="11" t="s">
        <v>99</v>
      </c>
      <c r="N734" s="11" t="s">
        <v>174</v>
      </c>
      <c r="O734" s="11" t="s">
        <v>101</v>
      </c>
      <c r="P734" s="11" t="s">
        <v>102</v>
      </c>
      <c r="Q734" s="12">
        <v>113.33247900000001</v>
      </c>
      <c r="R734" s="13">
        <v>23.134218000000001</v>
      </c>
      <c r="S734" s="11" t="s">
        <v>3965</v>
      </c>
      <c r="T734" s="11"/>
      <c r="U734" s="11" t="s">
        <v>104</v>
      </c>
      <c r="V734" s="11" t="s">
        <v>105</v>
      </c>
      <c r="W734" s="11" t="s">
        <v>106</v>
      </c>
      <c r="X734" s="11"/>
      <c r="Y734" s="11"/>
      <c r="Z734" s="11"/>
      <c r="AA734" s="12">
        <v>733</v>
      </c>
      <c r="AB734" s="12"/>
      <c r="AC734" s="11" t="s">
        <v>107</v>
      </c>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row>
    <row r="735" spans="1:56" ht="42" x14ac:dyDescent="0.25">
      <c r="A735" s="11" t="s">
        <v>3970</v>
      </c>
      <c r="B735" s="11" t="s">
        <v>3971</v>
      </c>
      <c r="C735" s="11"/>
      <c r="D735" s="11" t="s">
        <v>91</v>
      </c>
      <c r="E735" s="11"/>
      <c r="F735" s="11" t="s">
        <v>3972</v>
      </c>
      <c r="G735" s="11" t="s">
        <v>3973</v>
      </c>
      <c r="H735" s="11" t="s">
        <v>94</v>
      </c>
      <c r="I735" s="11" t="s">
        <v>95</v>
      </c>
      <c r="J735" s="11" t="s">
        <v>749</v>
      </c>
      <c r="K735" s="11"/>
      <c r="L735" s="11" t="s">
        <v>3974</v>
      </c>
      <c r="M735" s="11"/>
      <c r="N735" s="11"/>
      <c r="O735" s="11"/>
      <c r="P735" s="11" t="s">
        <v>102</v>
      </c>
      <c r="Q735" s="12">
        <v>113.237587</v>
      </c>
      <c r="R735" s="13">
        <v>22.962256</v>
      </c>
      <c r="S735" s="11" t="s">
        <v>3970</v>
      </c>
      <c r="T735" s="11"/>
      <c r="U735" s="11" t="s">
        <v>104</v>
      </c>
      <c r="V735" s="11" t="s">
        <v>105</v>
      </c>
      <c r="W735" s="11" t="s">
        <v>106</v>
      </c>
      <c r="X735" s="11"/>
      <c r="Y735" s="11"/>
      <c r="Z735" s="11"/>
      <c r="AA735" s="12">
        <v>734</v>
      </c>
      <c r="AB735" s="12"/>
      <c r="AC735" s="11" t="s">
        <v>3975</v>
      </c>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row>
    <row r="736" spans="1:56" ht="56" x14ac:dyDescent="0.25">
      <c r="A736" s="11" t="s">
        <v>3976</v>
      </c>
      <c r="B736" s="11" t="s">
        <v>3977</v>
      </c>
      <c r="C736" s="11"/>
      <c r="D736" s="11" t="s">
        <v>91</v>
      </c>
      <c r="E736" s="11"/>
      <c r="F736" s="11" t="s">
        <v>3978</v>
      </c>
      <c r="G736" s="11" t="s">
        <v>3979</v>
      </c>
      <c r="H736" s="11" t="s">
        <v>94</v>
      </c>
      <c r="I736" s="11" t="s">
        <v>95</v>
      </c>
      <c r="J736" s="11" t="s">
        <v>96</v>
      </c>
      <c r="K736" s="11"/>
      <c r="L736" s="11" t="s">
        <v>3980</v>
      </c>
      <c r="M736" s="11"/>
      <c r="N736" s="11"/>
      <c r="O736" s="11"/>
      <c r="P736" s="11" t="s">
        <v>102</v>
      </c>
      <c r="Q736" s="12">
        <v>113.046166</v>
      </c>
      <c r="R736" s="13">
        <v>23.056224</v>
      </c>
      <c r="S736" s="11" t="s">
        <v>3976</v>
      </c>
      <c r="T736" s="11"/>
      <c r="U736" s="11" t="s">
        <v>104</v>
      </c>
      <c r="V736" s="11" t="s">
        <v>105</v>
      </c>
      <c r="W736" s="11" t="s">
        <v>106</v>
      </c>
      <c r="X736" s="11"/>
      <c r="Y736" s="11"/>
      <c r="Z736" s="11"/>
      <c r="AA736" s="12">
        <v>735</v>
      </c>
      <c r="AB736" s="12"/>
      <c r="AC736" s="11" t="s">
        <v>3975</v>
      </c>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row>
    <row r="737" spans="1:56" ht="42" x14ac:dyDescent="0.25">
      <c r="A737" s="11" t="s">
        <v>3981</v>
      </c>
      <c r="B737" s="11" t="s">
        <v>3982</v>
      </c>
      <c r="C737" s="11"/>
      <c r="D737" s="11" t="s">
        <v>91</v>
      </c>
      <c r="E737" s="11"/>
      <c r="F737" s="11" t="s">
        <v>3983</v>
      </c>
      <c r="G737" s="11" t="s">
        <v>3984</v>
      </c>
      <c r="H737" s="11" t="s">
        <v>94</v>
      </c>
      <c r="I737" s="11" t="s">
        <v>121</v>
      </c>
      <c r="J737" s="11" t="s">
        <v>792</v>
      </c>
      <c r="K737" s="11"/>
      <c r="L737" s="11" t="s">
        <v>3985</v>
      </c>
      <c r="M737" s="11"/>
      <c r="N737" s="11"/>
      <c r="O737" s="11"/>
      <c r="P737" s="11" t="s">
        <v>102</v>
      </c>
      <c r="Q737" s="12">
        <v>113.458411</v>
      </c>
      <c r="R737" s="13">
        <v>23.168220999999999</v>
      </c>
      <c r="S737" s="11" t="s">
        <v>3981</v>
      </c>
      <c r="T737" s="11"/>
      <c r="U737" s="11" t="s">
        <v>104</v>
      </c>
      <c r="V737" s="11" t="s">
        <v>105</v>
      </c>
      <c r="W737" s="11" t="s">
        <v>106</v>
      </c>
      <c r="X737" s="11"/>
      <c r="Y737" s="11"/>
      <c r="Z737" s="11"/>
      <c r="AA737" s="12">
        <v>736</v>
      </c>
      <c r="AB737" s="12"/>
      <c r="AC737" s="11" t="s">
        <v>3975</v>
      </c>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row>
    <row r="738" spans="1:56" ht="42" x14ac:dyDescent="0.25">
      <c r="A738" s="11" t="s">
        <v>3986</v>
      </c>
      <c r="B738" s="11" t="s">
        <v>3987</v>
      </c>
      <c r="C738" s="11"/>
      <c r="D738" s="11" t="s">
        <v>91</v>
      </c>
      <c r="E738" s="11"/>
      <c r="F738" s="11" t="s">
        <v>3988</v>
      </c>
      <c r="G738" s="11" t="s">
        <v>3989</v>
      </c>
      <c r="H738" s="11" t="s">
        <v>94</v>
      </c>
      <c r="I738" s="11" t="s">
        <v>95</v>
      </c>
      <c r="J738" s="11" t="s">
        <v>96</v>
      </c>
      <c r="K738" s="11"/>
      <c r="L738" s="11" t="s">
        <v>3990</v>
      </c>
      <c r="M738" s="11"/>
      <c r="N738" s="11"/>
      <c r="O738" s="11"/>
      <c r="P738" s="11" t="s">
        <v>102</v>
      </c>
      <c r="Q738" s="12">
        <v>113.156853</v>
      </c>
      <c r="R738" s="13">
        <v>23.200092999999999</v>
      </c>
      <c r="S738" s="11" t="s">
        <v>3986</v>
      </c>
      <c r="T738" s="11"/>
      <c r="U738" s="11" t="s">
        <v>104</v>
      </c>
      <c r="V738" s="11" t="s">
        <v>105</v>
      </c>
      <c r="W738" s="11" t="s">
        <v>106</v>
      </c>
      <c r="X738" s="11"/>
      <c r="Y738" s="11"/>
      <c r="Z738" s="11"/>
      <c r="AA738" s="12">
        <v>737</v>
      </c>
      <c r="AB738" s="12"/>
      <c r="AC738" s="11" t="s">
        <v>3975</v>
      </c>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row>
    <row r="739" spans="1:56" ht="70" x14ac:dyDescent="0.25">
      <c r="A739" s="11" t="s">
        <v>3991</v>
      </c>
      <c r="B739" s="11" t="s">
        <v>3992</v>
      </c>
      <c r="C739" s="11"/>
      <c r="D739" s="11" t="s">
        <v>91</v>
      </c>
      <c r="E739" s="11"/>
      <c r="F739" s="11" t="s">
        <v>3993</v>
      </c>
      <c r="G739" s="11" t="s">
        <v>3994</v>
      </c>
      <c r="H739" s="11" t="s">
        <v>94</v>
      </c>
      <c r="I739" s="11" t="s">
        <v>121</v>
      </c>
      <c r="J739" s="11" t="s">
        <v>792</v>
      </c>
      <c r="K739" s="11"/>
      <c r="L739" s="11" t="s">
        <v>3995</v>
      </c>
      <c r="M739" s="11" t="s">
        <v>99</v>
      </c>
      <c r="N739" s="11"/>
      <c r="O739" s="11"/>
      <c r="P739" s="11" t="s">
        <v>102</v>
      </c>
      <c r="Q739" s="12">
        <v>113.508898</v>
      </c>
      <c r="R739" s="13">
        <v>23.174569000000002</v>
      </c>
      <c r="S739" s="11" t="s">
        <v>3991</v>
      </c>
      <c r="T739" s="11"/>
      <c r="U739" s="11" t="s">
        <v>104</v>
      </c>
      <c r="V739" s="11" t="s">
        <v>105</v>
      </c>
      <c r="W739" s="11" t="s">
        <v>106</v>
      </c>
      <c r="X739" s="11"/>
      <c r="Y739" s="11"/>
      <c r="Z739" s="11"/>
      <c r="AA739" s="12">
        <v>738</v>
      </c>
      <c r="AB739" s="12"/>
      <c r="AC739" s="11" t="s">
        <v>3975</v>
      </c>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row>
    <row r="740" spans="1:56" ht="42" x14ac:dyDescent="0.25">
      <c r="A740" s="11" t="s">
        <v>3996</v>
      </c>
      <c r="B740" s="11" t="s">
        <v>3997</v>
      </c>
      <c r="C740" s="11"/>
      <c r="D740" s="11" t="s">
        <v>91</v>
      </c>
      <c r="E740" s="11"/>
      <c r="F740" s="11" t="s">
        <v>3998</v>
      </c>
      <c r="G740" s="11" t="s">
        <v>3999</v>
      </c>
      <c r="H740" s="11" t="s">
        <v>94</v>
      </c>
      <c r="I740" s="11" t="s">
        <v>95</v>
      </c>
      <c r="J740" s="11" t="s">
        <v>96</v>
      </c>
      <c r="K740" s="11"/>
      <c r="L740" s="11" t="s">
        <v>4000</v>
      </c>
      <c r="M740" s="11"/>
      <c r="N740" s="11"/>
      <c r="O740" s="11"/>
      <c r="P740" s="11" t="s">
        <v>102</v>
      </c>
      <c r="Q740" s="12">
        <v>113.128843</v>
      </c>
      <c r="R740" s="13">
        <v>23.047982000000001</v>
      </c>
      <c r="S740" s="11" t="s">
        <v>3996</v>
      </c>
      <c r="T740" s="11"/>
      <c r="U740" s="11" t="s">
        <v>104</v>
      </c>
      <c r="V740" s="11" t="s">
        <v>105</v>
      </c>
      <c r="W740" s="11" t="s">
        <v>106</v>
      </c>
      <c r="X740" s="11"/>
      <c r="Y740" s="11"/>
      <c r="Z740" s="11"/>
      <c r="AA740" s="12">
        <v>739</v>
      </c>
      <c r="AB740" s="12"/>
      <c r="AC740" s="11" t="s">
        <v>3975</v>
      </c>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row>
    <row r="741" spans="1:56" ht="42" x14ac:dyDescent="0.25">
      <c r="A741" s="11" t="s">
        <v>4001</v>
      </c>
      <c r="B741" s="11" t="s">
        <v>4002</v>
      </c>
      <c r="C741" s="11"/>
      <c r="D741" s="11" t="s">
        <v>91</v>
      </c>
      <c r="E741" s="11"/>
      <c r="F741" s="11" t="s">
        <v>4003</v>
      </c>
      <c r="G741" s="11" t="s">
        <v>4004</v>
      </c>
      <c r="H741" s="11" t="s">
        <v>94</v>
      </c>
      <c r="I741" s="11" t="s">
        <v>95</v>
      </c>
      <c r="J741" s="11" t="s">
        <v>96</v>
      </c>
      <c r="K741" s="11"/>
      <c r="L741" s="11" t="s">
        <v>4005</v>
      </c>
      <c r="M741" s="11"/>
      <c r="N741" s="11"/>
      <c r="O741" s="11"/>
      <c r="P741" s="11" t="s">
        <v>102</v>
      </c>
      <c r="Q741" s="12">
        <v>113.12635899999999</v>
      </c>
      <c r="R741" s="13">
        <v>23.108514</v>
      </c>
      <c r="S741" s="11" t="s">
        <v>4001</v>
      </c>
      <c r="T741" s="11"/>
      <c r="U741" s="11" t="s">
        <v>104</v>
      </c>
      <c r="V741" s="11" t="s">
        <v>105</v>
      </c>
      <c r="W741" s="11" t="s">
        <v>106</v>
      </c>
      <c r="X741" s="11"/>
      <c r="Y741" s="11"/>
      <c r="Z741" s="11"/>
      <c r="AA741" s="12">
        <v>740</v>
      </c>
      <c r="AB741" s="12"/>
      <c r="AC741" s="11" t="s">
        <v>3975</v>
      </c>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row>
    <row r="742" spans="1:56" ht="42" x14ac:dyDescent="0.25">
      <c r="A742" s="11" t="s">
        <v>4006</v>
      </c>
      <c r="B742" s="11" t="s">
        <v>4007</v>
      </c>
      <c r="C742" s="11"/>
      <c r="D742" s="11" t="s">
        <v>91</v>
      </c>
      <c r="E742" s="11"/>
      <c r="F742" s="11" t="s">
        <v>4008</v>
      </c>
      <c r="G742" s="11" t="s">
        <v>4009</v>
      </c>
      <c r="H742" s="11" t="s">
        <v>94</v>
      </c>
      <c r="I742" s="11" t="s">
        <v>95</v>
      </c>
      <c r="J742" s="11" t="s">
        <v>96</v>
      </c>
      <c r="K742" s="11"/>
      <c r="L742" s="11" t="s">
        <v>4010</v>
      </c>
      <c r="M742" s="11"/>
      <c r="N742" s="11"/>
      <c r="O742" s="11"/>
      <c r="P742" s="11" t="s">
        <v>102</v>
      </c>
      <c r="Q742" s="12">
        <v>113.162301</v>
      </c>
      <c r="R742" s="13">
        <v>23.141026</v>
      </c>
      <c r="S742" s="11" t="s">
        <v>4006</v>
      </c>
      <c r="T742" s="11"/>
      <c r="U742" s="11" t="s">
        <v>104</v>
      </c>
      <c r="V742" s="11" t="s">
        <v>105</v>
      </c>
      <c r="W742" s="11" t="s">
        <v>106</v>
      </c>
      <c r="X742" s="11"/>
      <c r="Y742" s="11"/>
      <c r="Z742" s="11"/>
      <c r="AA742" s="12">
        <v>741</v>
      </c>
      <c r="AB742" s="12"/>
      <c r="AC742" s="11" t="s">
        <v>3975</v>
      </c>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row>
    <row r="743" spans="1:56" ht="42" x14ac:dyDescent="0.25">
      <c r="A743" s="11" t="s">
        <v>4011</v>
      </c>
      <c r="B743" s="11" t="s">
        <v>4012</v>
      </c>
      <c r="C743" s="11"/>
      <c r="D743" s="11" t="s">
        <v>91</v>
      </c>
      <c r="E743" s="11"/>
      <c r="F743" s="11" t="s">
        <v>4013</v>
      </c>
      <c r="G743" s="11" t="s">
        <v>4014</v>
      </c>
      <c r="H743" s="11" t="s">
        <v>94</v>
      </c>
      <c r="I743" s="11" t="s">
        <v>95</v>
      </c>
      <c r="J743" s="11" t="s">
        <v>96</v>
      </c>
      <c r="K743" s="11"/>
      <c r="L743" s="11" t="s">
        <v>4015</v>
      </c>
      <c r="M743" s="11"/>
      <c r="N743" s="11"/>
      <c r="O743" s="11"/>
      <c r="P743" s="11" t="s">
        <v>102</v>
      </c>
      <c r="Q743" s="12">
        <v>113.18525</v>
      </c>
      <c r="R743" s="13">
        <v>23.027887</v>
      </c>
      <c r="S743" s="11" t="s">
        <v>4011</v>
      </c>
      <c r="T743" s="11"/>
      <c r="U743" s="11" t="s">
        <v>104</v>
      </c>
      <c r="V743" s="11" t="s">
        <v>105</v>
      </c>
      <c r="W743" s="11" t="s">
        <v>106</v>
      </c>
      <c r="X743" s="11"/>
      <c r="Y743" s="11"/>
      <c r="Z743" s="11"/>
      <c r="AA743" s="12">
        <v>742</v>
      </c>
      <c r="AB743" s="12"/>
      <c r="AC743" s="11" t="s">
        <v>3975</v>
      </c>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row>
    <row r="744" spans="1:56" ht="42" x14ac:dyDescent="0.25">
      <c r="A744" s="11" t="s">
        <v>4016</v>
      </c>
      <c r="B744" s="11" t="s">
        <v>4017</v>
      </c>
      <c r="C744" s="11"/>
      <c r="D744" s="11" t="s">
        <v>91</v>
      </c>
      <c r="E744" s="11"/>
      <c r="F744" s="11" t="s">
        <v>4018</v>
      </c>
      <c r="G744" s="11" t="s">
        <v>4019</v>
      </c>
      <c r="H744" s="11" t="s">
        <v>94</v>
      </c>
      <c r="I744" s="11" t="s">
        <v>121</v>
      </c>
      <c r="J744" s="11" t="s">
        <v>971</v>
      </c>
      <c r="K744" s="11"/>
      <c r="L744" s="11" t="s">
        <v>4020</v>
      </c>
      <c r="M744" s="11"/>
      <c r="N744" s="11"/>
      <c r="O744" s="11"/>
      <c r="P744" s="11" t="s">
        <v>102</v>
      </c>
      <c r="Q744" s="12">
        <v>113.297889</v>
      </c>
      <c r="R744" s="13">
        <v>23.231017000000001</v>
      </c>
      <c r="S744" s="11" t="s">
        <v>4016</v>
      </c>
      <c r="T744" s="11"/>
      <c r="U744" s="11" t="s">
        <v>104</v>
      </c>
      <c r="V744" s="11" t="s">
        <v>105</v>
      </c>
      <c r="W744" s="11" t="s">
        <v>106</v>
      </c>
      <c r="X744" s="11"/>
      <c r="Y744" s="11"/>
      <c r="Z744" s="11"/>
      <c r="AA744" s="12">
        <v>743</v>
      </c>
      <c r="AB744" s="12"/>
      <c r="AC744" s="11" t="s">
        <v>3975</v>
      </c>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row>
    <row r="745" spans="1:56" ht="42" x14ac:dyDescent="0.25">
      <c r="A745" s="11" t="s">
        <v>4021</v>
      </c>
      <c r="B745" s="11" t="s">
        <v>4022</v>
      </c>
      <c r="C745" s="11"/>
      <c r="D745" s="11" t="s">
        <v>91</v>
      </c>
      <c r="E745" s="11"/>
      <c r="F745" s="11" t="s">
        <v>4023</v>
      </c>
      <c r="G745" s="11" t="s">
        <v>4024</v>
      </c>
      <c r="H745" s="11" t="s">
        <v>94</v>
      </c>
      <c r="I745" s="11" t="s">
        <v>121</v>
      </c>
      <c r="J745" s="11" t="s">
        <v>122</v>
      </c>
      <c r="K745" s="11"/>
      <c r="L745" s="11" t="s">
        <v>4025</v>
      </c>
      <c r="M745" s="11"/>
      <c r="N745" s="11"/>
      <c r="O745" s="11"/>
      <c r="P745" s="11" t="s">
        <v>102</v>
      </c>
      <c r="Q745" s="12">
        <v>113.401628</v>
      </c>
      <c r="R745" s="13">
        <v>23.117457000000002</v>
      </c>
      <c r="S745" s="11" t="s">
        <v>4021</v>
      </c>
      <c r="T745" s="11"/>
      <c r="U745" s="11" t="s">
        <v>104</v>
      </c>
      <c r="V745" s="11" t="s">
        <v>105</v>
      </c>
      <c r="W745" s="11" t="s">
        <v>106</v>
      </c>
      <c r="X745" s="11"/>
      <c r="Y745" s="11"/>
      <c r="Z745" s="11"/>
      <c r="AA745" s="12">
        <v>744</v>
      </c>
      <c r="AB745" s="12"/>
      <c r="AC745" s="11" t="s">
        <v>3975</v>
      </c>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row>
    <row r="746" spans="1:56" ht="42" x14ac:dyDescent="0.25">
      <c r="A746" s="11" t="s">
        <v>4026</v>
      </c>
      <c r="B746" s="11" t="s">
        <v>4027</v>
      </c>
      <c r="C746" s="11"/>
      <c r="D746" s="11" t="s">
        <v>91</v>
      </c>
      <c r="E746" s="11"/>
      <c r="F746" s="11" t="s">
        <v>4028</v>
      </c>
      <c r="G746" s="11" t="s">
        <v>4029</v>
      </c>
      <c r="H746" s="11" t="s">
        <v>94</v>
      </c>
      <c r="I746" s="11" t="s">
        <v>121</v>
      </c>
      <c r="J746" s="11" t="s">
        <v>131</v>
      </c>
      <c r="K746" s="11"/>
      <c r="L746" s="11" t="s">
        <v>4030</v>
      </c>
      <c r="M746" s="11"/>
      <c r="N746" s="11"/>
      <c r="O746" s="11"/>
      <c r="P746" s="11" t="s">
        <v>102</v>
      </c>
      <c r="Q746" s="12">
        <v>113.607899</v>
      </c>
      <c r="R746" s="13">
        <v>23.117524</v>
      </c>
      <c r="S746" s="11" t="s">
        <v>4026</v>
      </c>
      <c r="T746" s="11"/>
      <c r="U746" s="11" t="s">
        <v>104</v>
      </c>
      <c r="V746" s="11" t="s">
        <v>105</v>
      </c>
      <c r="W746" s="11" t="s">
        <v>106</v>
      </c>
      <c r="X746" s="11"/>
      <c r="Y746" s="11"/>
      <c r="Z746" s="11"/>
      <c r="AA746" s="12">
        <v>745</v>
      </c>
      <c r="AB746" s="12"/>
      <c r="AC746" s="11" t="s">
        <v>3975</v>
      </c>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row>
    <row r="747" spans="1:56" ht="42" x14ac:dyDescent="0.25">
      <c r="A747" s="11" t="s">
        <v>4031</v>
      </c>
      <c r="B747" s="11" t="s">
        <v>4032</v>
      </c>
      <c r="C747" s="11"/>
      <c r="D747" s="11" t="s">
        <v>91</v>
      </c>
      <c r="E747" s="11" t="s">
        <v>92</v>
      </c>
      <c r="F747" s="11" t="s">
        <v>4033</v>
      </c>
      <c r="G747" s="11" t="s">
        <v>4034</v>
      </c>
      <c r="H747" s="11" t="s">
        <v>94</v>
      </c>
      <c r="I747" s="11" t="s">
        <v>121</v>
      </c>
      <c r="J747" s="11" t="s">
        <v>792</v>
      </c>
      <c r="K747" s="11"/>
      <c r="L747" s="11" t="s">
        <v>4035</v>
      </c>
      <c r="M747" s="11" t="s">
        <v>133</v>
      </c>
      <c r="N747" s="11" t="s">
        <v>100</v>
      </c>
      <c r="O747" s="11" t="s">
        <v>101</v>
      </c>
      <c r="P747" s="11" t="s">
        <v>102</v>
      </c>
      <c r="Q747" s="12">
        <v>113.542079</v>
      </c>
      <c r="R747" s="13">
        <v>23.094532999999998</v>
      </c>
      <c r="S747" s="11" t="s">
        <v>4031</v>
      </c>
      <c r="T747" s="11"/>
      <c r="U747" s="11" t="s">
        <v>104</v>
      </c>
      <c r="V747" s="11" t="s">
        <v>105</v>
      </c>
      <c r="W747" s="11" t="s">
        <v>106</v>
      </c>
      <c r="X747" s="11"/>
      <c r="Y747" s="11"/>
      <c r="Z747" s="11"/>
      <c r="AA747" s="12">
        <v>746</v>
      </c>
      <c r="AB747" s="12"/>
      <c r="AC747" s="11" t="s">
        <v>3975</v>
      </c>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row>
    <row r="748" spans="1:56" ht="56" x14ac:dyDescent="0.25">
      <c r="A748" s="11" t="s">
        <v>4036</v>
      </c>
      <c r="B748" s="11" t="s">
        <v>4037</v>
      </c>
      <c r="C748" s="11"/>
      <c r="D748" s="11" t="s">
        <v>91</v>
      </c>
      <c r="E748" s="11"/>
      <c r="F748" s="11" t="s">
        <v>4038</v>
      </c>
      <c r="G748" s="11" t="s">
        <v>4039</v>
      </c>
      <c r="H748" s="11" t="s">
        <v>94</v>
      </c>
      <c r="I748" s="11" t="s">
        <v>121</v>
      </c>
      <c r="J748" s="11" t="s">
        <v>792</v>
      </c>
      <c r="K748" s="11"/>
      <c r="L748" s="11" t="s">
        <v>4040</v>
      </c>
      <c r="M748" s="11"/>
      <c r="N748" s="11"/>
      <c r="O748" s="11"/>
      <c r="P748" s="11" t="s">
        <v>102</v>
      </c>
      <c r="Q748" s="12">
        <v>113.540164</v>
      </c>
      <c r="R748" s="13">
        <v>23.332277999999999</v>
      </c>
      <c r="S748" s="11" t="s">
        <v>4036</v>
      </c>
      <c r="T748" s="11"/>
      <c r="U748" s="11" t="s">
        <v>104</v>
      </c>
      <c r="V748" s="11" t="s">
        <v>105</v>
      </c>
      <c r="W748" s="11" t="s">
        <v>106</v>
      </c>
      <c r="X748" s="11"/>
      <c r="Y748" s="11"/>
      <c r="Z748" s="11"/>
      <c r="AA748" s="12">
        <v>747</v>
      </c>
      <c r="AB748" s="12"/>
      <c r="AC748" s="11" t="s">
        <v>3975</v>
      </c>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row>
    <row r="749" spans="1:56" ht="42" x14ac:dyDescent="0.25">
      <c r="A749" s="11" t="s">
        <v>4041</v>
      </c>
      <c r="B749" s="11" t="s">
        <v>4042</v>
      </c>
      <c r="C749" s="11"/>
      <c r="D749" s="11" t="s">
        <v>91</v>
      </c>
      <c r="E749" s="11"/>
      <c r="F749" s="11" t="s">
        <v>498</v>
      </c>
      <c r="G749" s="11" t="s">
        <v>4043</v>
      </c>
      <c r="H749" s="11" t="s">
        <v>94</v>
      </c>
      <c r="I749" s="11" t="s">
        <v>121</v>
      </c>
      <c r="J749" s="11" t="s">
        <v>792</v>
      </c>
      <c r="K749" s="11"/>
      <c r="L749" s="11" t="s">
        <v>4044</v>
      </c>
      <c r="M749" s="11"/>
      <c r="N749" s="11"/>
      <c r="O749" s="11"/>
      <c r="P749" s="11" t="s">
        <v>102</v>
      </c>
      <c r="Q749" s="12">
        <v>113.542079</v>
      </c>
      <c r="R749" s="13">
        <v>23.094532999999998</v>
      </c>
      <c r="S749" s="11" t="s">
        <v>4041</v>
      </c>
      <c r="T749" s="11"/>
      <c r="U749" s="11" t="s">
        <v>104</v>
      </c>
      <c r="V749" s="11" t="s">
        <v>105</v>
      </c>
      <c r="W749" s="11" t="s">
        <v>106</v>
      </c>
      <c r="X749" s="11"/>
      <c r="Y749" s="11"/>
      <c r="Z749" s="11"/>
      <c r="AA749" s="12">
        <v>748</v>
      </c>
      <c r="AB749" s="12"/>
      <c r="AC749" s="11" t="s">
        <v>4045</v>
      </c>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row>
    <row r="750" spans="1:56" ht="56" x14ac:dyDescent="0.25">
      <c r="A750" s="11" t="s">
        <v>4046</v>
      </c>
      <c r="B750" s="11" t="s">
        <v>4047</v>
      </c>
      <c r="C750" s="11"/>
      <c r="D750" s="11" t="s">
        <v>91</v>
      </c>
      <c r="E750" s="11"/>
      <c r="F750" s="11" t="s">
        <v>4048</v>
      </c>
      <c r="G750" s="11" t="s">
        <v>4049</v>
      </c>
      <c r="H750" s="11" t="s">
        <v>94</v>
      </c>
      <c r="I750" s="11" t="s">
        <v>121</v>
      </c>
      <c r="J750" s="11" t="s">
        <v>122</v>
      </c>
      <c r="K750" s="11"/>
      <c r="L750" s="11" t="s">
        <v>4050</v>
      </c>
      <c r="M750" s="11"/>
      <c r="N750" s="11"/>
      <c r="O750" s="11"/>
      <c r="P750" s="11" t="s">
        <v>102</v>
      </c>
      <c r="Q750" s="12">
        <v>113.42632999999999</v>
      </c>
      <c r="R750" s="13">
        <v>23.122085999999999</v>
      </c>
      <c r="S750" s="11" t="s">
        <v>4046</v>
      </c>
      <c r="T750" s="11"/>
      <c r="U750" s="11" t="s">
        <v>104</v>
      </c>
      <c r="V750" s="11" t="s">
        <v>105</v>
      </c>
      <c r="W750" s="11" t="s">
        <v>106</v>
      </c>
      <c r="X750" s="11"/>
      <c r="Y750" s="11"/>
      <c r="Z750" s="11"/>
      <c r="AA750" s="12">
        <v>749</v>
      </c>
      <c r="AB750" s="12"/>
      <c r="AC750" s="11" t="s">
        <v>3000</v>
      </c>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row>
    <row r="751" spans="1:56" ht="56" x14ac:dyDescent="0.25">
      <c r="A751" s="11" t="s">
        <v>4051</v>
      </c>
      <c r="B751" s="11" t="s">
        <v>4052</v>
      </c>
      <c r="C751" s="11"/>
      <c r="D751" s="11" t="s">
        <v>91</v>
      </c>
      <c r="E751" s="11"/>
      <c r="F751" s="11" t="s">
        <v>4053</v>
      </c>
      <c r="G751" s="11" t="s">
        <v>4054</v>
      </c>
      <c r="H751" s="11" t="s">
        <v>94</v>
      </c>
      <c r="I751" s="11" t="s">
        <v>121</v>
      </c>
      <c r="J751" s="11" t="s">
        <v>737</v>
      </c>
      <c r="K751" s="11"/>
      <c r="L751" s="11" t="s">
        <v>4055</v>
      </c>
      <c r="M751" s="11"/>
      <c r="N751" s="11"/>
      <c r="O751" s="11"/>
      <c r="P751" s="11" t="s">
        <v>102</v>
      </c>
      <c r="Q751" s="12">
        <v>113.311723</v>
      </c>
      <c r="R751" s="13">
        <v>22.97766</v>
      </c>
      <c r="S751" s="11" t="s">
        <v>4051</v>
      </c>
      <c r="T751" s="11"/>
      <c r="U751" s="11" t="s">
        <v>104</v>
      </c>
      <c r="V751" s="11" t="s">
        <v>105</v>
      </c>
      <c r="W751" s="11" t="s">
        <v>106</v>
      </c>
      <c r="X751" s="11"/>
      <c r="Y751" s="11"/>
      <c r="Z751" s="11"/>
      <c r="AA751" s="12">
        <v>750</v>
      </c>
      <c r="AB751" s="12"/>
      <c r="AC751" s="11" t="s">
        <v>3000</v>
      </c>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row>
    <row r="752" spans="1:56" ht="56" x14ac:dyDescent="0.25">
      <c r="A752" s="11" t="s">
        <v>4056</v>
      </c>
      <c r="B752" s="11" t="s">
        <v>4057</v>
      </c>
      <c r="C752" s="11"/>
      <c r="D752" s="11" t="s">
        <v>91</v>
      </c>
      <c r="E752" s="11"/>
      <c r="F752" s="11" t="s">
        <v>4058</v>
      </c>
      <c r="G752" s="11" t="s">
        <v>4059</v>
      </c>
      <c r="H752" s="11" t="s">
        <v>94</v>
      </c>
      <c r="I752" s="11" t="s">
        <v>121</v>
      </c>
      <c r="J752" s="11" t="s">
        <v>122</v>
      </c>
      <c r="K752" s="11"/>
      <c r="L752" s="11" t="s">
        <v>4060</v>
      </c>
      <c r="M752" s="11"/>
      <c r="N752" s="11"/>
      <c r="O752" s="11"/>
      <c r="P752" s="11" t="s">
        <v>102</v>
      </c>
      <c r="Q752" s="12">
        <v>113.356415</v>
      </c>
      <c r="R752" s="13">
        <v>23.116192000000002</v>
      </c>
      <c r="S752" s="11" t="s">
        <v>4056</v>
      </c>
      <c r="T752" s="11"/>
      <c r="U752" s="11" t="s">
        <v>104</v>
      </c>
      <c r="V752" s="11" t="s">
        <v>105</v>
      </c>
      <c r="W752" s="11" t="s">
        <v>106</v>
      </c>
      <c r="X752" s="11"/>
      <c r="Y752" s="11"/>
      <c r="Z752" s="11"/>
      <c r="AA752" s="12">
        <v>751</v>
      </c>
      <c r="AB752" s="12"/>
      <c r="AC752" s="11" t="s">
        <v>3000</v>
      </c>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row>
    <row r="753" spans="1:56" ht="56" x14ac:dyDescent="0.25">
      <c r="A753" s="11" t="s">
        <v>4061</v>
      </c>
      <c r="B753" s="11" t="s">
        <v>4062</v>
      </c>
      <c r="C753" s="11"/>
      <c r="D753" s="11" t="s">
        <v>91</v>
      </c>
      <c r="E753" s="11"/>
      <c r="F753" s="11" t="s">
        <v>4063</v>
      </c>
      <c r="G753" s="11" t="s">
        <v>4064</v>
      </c>
      <c r="H753" s="11" t="s">
        <v>94</v>
      </c>
      <c r="I753" s="11" t="s">
        <v>121</v>
      </c>
      <c r="J753" s="11" t="s">
        <v>122</v>
      </c>
      <c r="K753" s="11"/>
      <c r="L753" s="11" t="s">
        <v>4065</v>
      </c>
      <c r="M753" s="11"/>
      <c r="N753" s="11"/>
      <c r="O753" s="11"/>
      <c r="P753" s="11" t="s">
        <v>102</v>
      </c>
      <c r="Q753" s="12">
        <v>113.334788</v>
      </c>
      <c r="R753" s="13">
        <v>23.155684999999998</v>
      </c>
      <c r="S753" s="11" t="s">
        <v>4061</v>
      </c>
      <c r="T753" s="11"/>
      <c r="U753" s="11" t="s">
        <v>104</v>
      </c>
      <c r="V753" s="11" t="s">
        <v>105</v>
      </c>
      <c r="W753" s="11" t="s">
        <v>106</v>
      </c>
      <c r="X753" s="11"/>
      <c r="Y753" s="11"/>
      <c r="Z753" s="11"/>
      <c r="AA753" s="12">
        <v>752</v>
      </c>
      <c r="AB753" s="12"/>
      <c r="AC753" s="11" t="s">
        <v>3000</v>
      </c>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row>
    <row r="754" spans="1:56" ht="70" x14ac:dyDescent="0.25">
      <c r="A754" s="11" t="s">
        <v>4066</v>
      </c>
      <c r="B754" s="11" t="s">
        <v>4067</v>
      </c>
      <c r="C754" s="11"/>
      <c r="D754" s="11" t="s">
        <v>91</v>
      </c>
      <c r="E754" s="11"/>
      <c r="F754" s="11" t="s">
        <v>4068</v>
      </c>
      <c r="G754" s="11" t="s">
        <v>4069</v>
      </c>
      <c r="H754" s="11" t="s">
        <v>94</v>
      </c>
      <c r="I754" s="11" t="s">
        <v>95</v>
      </c>
      <c r="J754" s="11" t="s">
        <v>1087</v>
      </c>
      <c r="K754" s="11"/>
      <c r="L754" s="11" t="s">
        <v>4070</v>
      </c>
      <c r="M754" s="11"/>
      <c r="N754" s="11"/>
      <c r="O754" s="11"/>
      <c r="P754" s="11" t="s">
        <v>102</v>
      </c>
      <c r="Q754" s="12">
        <v>113.141139</v>
      </c>
      <c r="R754" s="13">
        <v>23.005402</v>
      </c>
      <c r="S754" s="11" t="s">
        <v>4066</v>
      </c>
      <c r="T754" s="11"/>
      <c r="U754" s="11" t="s">
        <v>104</v>
      </c>
      <c r="V754" s="11" t="s">
        <v>105</v>
      </c>
      <c r="W754" s="11" t="s">
        <v>106</v>
      </c>
      <c r="X754" s="11"/>
      <c r="Y754" s="11"/>
      <c r="Z754" s="11"/>
      <c r="AA754" s="12">
        <v>753</v>
      </c>
      <c r="AB754" s="12"/>
      <c r="AC754" s="11" t="s">
        <v>3000</v>
      </c>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row>
    <row r="755" spans="1:56" ht="56" x14ac:dyDescent="0.25">
      <c r="A755" s="11" t="s">
        <v>4071</v>
      </c>
      <c r="B755" s="11" t="s">
        <v>4072</v>
      </c>
      <c r="C755" s="11"/>
      <c r="D755" s="11" t="s">
        <v>91</v>
      </c>
      <c r="E755" s="11"/>
      <c r="F755" s="11" t="s">
        <v>4073</v>
      </c>
      <c r="G755" s="11" t="s">
        <v>4074</v>
      </c>
      <c r="H755" s="11" t="s">
        <v>94</v>
      </c>
      <c r="I755" s="11" t="s">
        <v>121</v>
      </c>
      <c r="J755" s="11" t="s">
        <v>131</v>
      </c>
      <c r="K755" s="11"/>
      <c r="L755" s="11" t="s">
        <v>4075</v>
      </c>
      <c r="M755" s="11"/>
      <c r="N755" s="11"/>
      <c r="O755" s="11"/>
      <c r="P755" s="11" t="s">
        <v>102</v>
      </c>
      <c r="Q755" s="12">
        <v>113.63374</v>
      </c>
      <c r="R755" s="13">
        <v>23.131356</v>
      </c>
      <c r="S755" s="11" t="s">
        <v>4071</v>
      </c>
      <c r="T755" s="11"/>
      <c r="U755" s="11" t="s">
        <v>104</v>
      </c>
      <c r="V755" s="11" t="s">
        <v>105</v>
      </c>
      <c r="W755" s="11" t="s">
        <v>106</v>
      </c>
      <c r="X755" s="11"/>
      <c r="Y755" s="11"/>
      <c r="Z755" s="11"/>
      <c r="AA755" s="12">
        <v>754</v>
      </c>
      <c r="AB755" s="12"/>
      <c r="AC755" s="11" t="s">
        <v>3000</v>
      </c>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row>
    <row r="756" spans="1:56" ht="56" x14ac:dyDescent="0.25">
      <c r="A756" s="11" t="s">
        <v>4076</v>
      </c>
      <c r="B756" s="11" t="s">
        <v>4077</v>
      </c>
      <c r="C756" s="11"/>
      <c r="D756" s="11" t="s">
        <v>91</v>
      </c>
      <c r="E756" s="11"/>
      <c r="F756" s="11" t="s">
        <v>4078</v>
      </c>
      <c r="G756" s="11" t="s">
        <v>4079</v>
      </c>
      <c r="H756" s="11" t="s">
        <v>94</v>
      </c>
      <c r="I756" s="11" t="s">
        <v>121</v>
      </c>
      <c r="J756" s="11" t="s">
        <v>737</v>
      </c>
      <c r="K756" s="11"/>
      <c r="L756" s="11" t="s">
        <v>4080</v>
      </c>
      <c r="M756" s="11"/>
      <c r="N756" s="11"/>
      <c r="O756" s="11"/>
      <c r="P756" s="11" t="s">
        <v>102</v>
      </c>
      <c r="Q756" s="12">
        <v>113.349323</v>
      </c>
      <c r="R756" s="13">
        <v>23.009786999999999</v>
      </c>
      <c r="S756" s="11" t="s">
        <v>4076</v>
      </c>
      <c r="T756" s="11"/>
      <c r="U756" s="11" t="s">
        <v>104</v>
      </c>
      <c r="V756" s="11" t="s">
        <v>105</v>
      </c>
      <c r="W756" s="11" t="s">
        <v>106</v>
      </c>
      <c r="X756" s="11"/>
      <c r="Y756" s="11"/>
      <c r="Z756" s="11"/>
      <c r="AA756" s="12">
        <v>755</v>
      </c>
      <c r="AB756" s="12"/>
      <c r="AC756" s="11" t="s">
        <v>3000</v>
      </c>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row>
    <row r="757" spans="1:56" ht="56" x14ac:dyDescent="0.25">
      <c r="A757" s="11" t="s">
        <v>4081</v>
      </c>
      <c r="B757" s="11" t="s">
        <v>4082</v>
      </c>
      <c r="C757" s="11"/>
      <c r="D757" s="11" t="s">
        <v>91</v>
      </c>
      <c r="E757" s="11"/>
      <c r="F757" s="11" t="s">
        <v>601</v>
      </c>
      <c r="G757" s="11" t="s">
        <v>4083</v>
      </c>
      <c r="H757" s="11" t="s">
        <v>94</v>
      </c>
      <c r="I757" s="11" t="s">
        <v>121</v>
      </c>
      <c r="J757" s="11" t="s">
        <v>122</v>
      </c>
      <c r="K757" s="11"/>
      <c r="L757" s="11" t="s">
        <v>4084</v>
      </c>
      <c r="M757" s="11"/>
      <c r="N757" s="11"/>
      <c r="O757" s="11"/>
      <c r="P757" s="11" t="s">
        <v>102</v>
      </c>
      <c r="Q757" s="12">
        <v>113.34064600000001</v>
      </c>
      <c r="R757" s="13">
        <v>23.132318000000001</v>
      </c>
      <c r="S757" s="11" t="s">
        <v>4081</v>
      </c>
      <c r="T757" s="11"/>
      <c r="U757" s="11" t="s">
        <v>104</v>
      </c>
      <c r="V757" s="11" t="s">
        <v>105</v>
      </c>
      <c r="W757" s="11" t="s">
        <v>106</v>
      </c>
      <c r="X757" s="11"/>
      <c r="Y757" s="11"/>
      <c r="Z757" s="11"/>
      <c r="AA757" s="12">
        <v>756</v>
      </c>
      <c r="AB757" s="12"/>
      <c r="AC757" s="11" t="s">
        <v>3000</v>
      </c>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row>
    <row r="758" spans="1:56" ht="56" x14ac:dyDescent="0.25">
      <c r="A758" s="11" t="s">
        <v>4085</v>
      </c>
      <c r="B758" s="11" t="s">
        <v>4086</v>
      </c>
      <c r="C758" s="11"/>
      <c r="D758" s="11" t="s">
        <v>91</v>
      </c>
      <c r="E758" s="11"/>
      <c r="F758" s="11" t="s">
        <v>4087</v>
      </c>
      <c r="G758" s="11" t="s">
        <v>4088</v>
      </c>
      <c r="H758" s="11" t="s">
        <v>94</v>
      </c>
      <c r="I758" s="11" t="s">
        <v>121</v>
      </c>
      <c r="J758" s="11" t="s">
        <v>971</v>
      </c>
      <c r="K758" s="11"/>
      <c r="L758" s="11" t="s">
        <v>4089</v>
      </c>
      <c r="M758" s="11" t="s">
        <v>183</v>
      </c>
      <c r="N758" s="11"/>
      <c r="O758" s="11"/>
      <c r="P758" s="11" t="s">
        <v>102</v>
      </c>
      <c r="Q758" s="12">
        <v>113.25447800000001</v>
      </c>
      <c r="R758" s="13">
        <v>23.209624999999999</v>
      </c>
      <c r="S758" s="11" t="s">
        <v>4085</v>
      </c>
      <c r="T758" s="11"/>
      <c r="U758" s="11" t="s">
        <v>104</v>
      </c>
      <c r="V758" s="11" t="s">
        <v>105</v>
      </c>
      <c r="W758" s="11" t="s">
        <v>106</v>
      </c>
      <c r="X758" s="11"/>
      <c r="Y758" s="11"/>
      <c r="Z758" s="11"/>
      <c r="AA758" s="12">
        <v>757</v>
      </c>
      <c r="AB758" s="12"/>
      <c r="AC758" s="11" t="s">
        <v>3000</v>
      </c>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row>
    <row r="759" spans="1:56" ht="56" x14ac:dyDescent="0.25">
      <c r="A759" s="11" t="s">
        <v>4090</v>
      </c>
      <c r="B759" s="11" t="s">
        <v>4091</v>
      </c>
      <c r="C759" s="11"/>
      <c r="D759" s="11" t="s">
        <v>91</v>
      </c>
      <c r="E759" s="11"/>
      <c r="F759" s="11" t="s">
        <v>4092</v>
      </c>
      <c r="G759" s="11" t="s">
        <v>4093</v>
      </c>
      <c r="H759" s="11" t="s">
        <v>94</v>
      </c>
      <c r="I759" s="11" t="s">
        <v>121</v>
      </c>
      <c r="J759" s="11" t="s">
        <v>971</v>
      </c>
      <c r="K759" s="11"/>
      <c r="L759" s="11" t="s">
        <v>4094</v>
      </c>
      <c r="M759" s="11"/>
      <c r="N759" s="11"/>
      <c r="O759" s="11"/>
      <c r="P759" s="11" t="s">
        <v>102</v>
      </c>
      <c r="Q759" s="12">
        <v>113.252129</v>
      </c>
      <c r="R759" s="13">
        <v>23.178948999999999</v>
      </c>
      <c r="S759" s="11" t="s">
        <v>4090</v>
      </c>
      <c r="T759" s="11"/>
      <c r="U759" s="11" t="s">
        <v>104</v>
      </c>
      <c r="V759" s="11" t="s">
        <v>105</v>
      </c>
      <c r="W759" s="11" t="s">
        <v>106</v>
      </c>
      <c r="X759" s="11"/>
      <c r="Y759" s="11"/>
      <c r="Z759" s="11"/>
      <c r="AA759" s="12">
        <v>758</v>
      </c>
      <c r="AB759" s="12"/>
      <c r="AC759" s="11" t="s">
        <v>3000</v>
      </c>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row>
    <row r="760" spans="1:56" ht="56" x14ac:dyDescent="0.25">
      <c r="A760" s="11" t="s">
        <v>4095</v>
      </c>
      <c r="B760" s="11" t="s">
        <v>4096</v>
      </c>
      <c r="C760" s="11"/>
      <c r="D760" s="11" t="s">
        <v>91</v>
      </c>
      <c r="E760" s="11"/>
      <c r="F760" s="11" t="s">
        <v>4097</v>
      </c>
      <c r="G760" s="11" t="s">
        <v>4098</v>
      </c>
      <c r="H760" s="11" t="s">
        <v>94</v>
      </c>
      <c r="I760" s="11" t="s">
        <v>95</v>
      </c>
      <c r="J760" s="11" t="s">
        <v>749</v>
      </c>
      <c r="K760" s="11"/>
      <c r="L760" s="11" t="s">
        <v>4099</v>
      </c>
      <c r="M760" s="11"/>
      <c r="N760" s="11"/>
      <c r="O760" s="11"/>
      <c r="P760" s="11" t="s">
        <v>102</v>
      </c>
      <c r="Q760" s="12">
        <v>113.279552</v>
      </c>
      <c r="R760" s="13">
        <v>22.767900999999998</v>
      </c>
      <c r="S760" s="11" t="s">
        <v>4095</v>
      </c>
      <c r="T760" s="11"/>
      <c r="U760" s="11" t="s">
        <v>104</v>
      </c>
      <c r="V760" s="11" t="s">
        <v>105</v>
      </c>
      <c r="W760" s="11" t="s">
        <v>106</v>
      </c>
      <c r="X760" s="11"/>
      <c r="Y760" s="11"/>
      <c r="Z760" s="11"/>
      <c r="AA760" s="12">
        <v>759</v>
      </c>
      <c r="AB760" s="12"/>
      <c r="AC760" s="11" t="s">
        <v>3000</v>
      </c>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row>
    <row r="761" spans="1:56" ht="56" x14ac:dyDescent="0.25">
      <c r="A761" s="11" t="s">
        <v>4100</v>
      </c>
      <c r="B761" s="11" t="s">
        <v>4101</v>
      </c>
      <c r="C761" s="11"/>
      <c r="D761" s="11" t="s">
        <v>91</v>
      </c>
      <c r="E761" s="11"/>
      <c r="F761" s="11" t="s">
        <v>4102</v>
      </c>
      <c r="G761" s="11" t="s">
        <v>4103</v>
      </c>
      <c r="H761" s="11" t="s">
        <v>94</v>
      </c>
      <c r="I761" s="11" t="s">
        <v>121</v>
      </c>
      <c r="J761" s="11" t="s">
        <v>2264</v>
      </c>
      <c r="K761" s="11"/>
      <c r="L761" s="11" t="s">
        <v>4104</v>
      </c>
      <c r="M761" s="11"/>
      <c r="N761" s="11"/>
      <c r="O761" s="11"/>
      <c r="P761" s="11" t="s">
        <v>102</v>
      </c>
      <c r="Q761" s="12">
        <v>113.296494</v>
      </c>
      <c r="R761" s="13">
        <v>23.131323999999999</v>
      </c>
      <c r="S761" s="11" t="s">
        <v>4100</v>
      </c>
      <c r="T761" s="11"/>
      <c r="U761" s="11" t="s">
        <v>104</v>
      </c>
      <c r="V761" s="11" t="s">
        <v>105</v>
      </c>
      <c r="W761" s="11" t="s">
        <v>106</v>
      </c>
      <c r="X761" s="11"/>
      <c r="Y761" s="11"/>
      <c r="Z761" s="11"/>
      <c r="AA761" s="12">
        <v>760</v>
      </c>
      <c r="AB761" s="12"/>
      <c r="AC761" s="11" t="s">
        <v>3000</v>
      </c>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row>
    <row r="762" spans="1:56" ht="56" x14ac:dyDescent="0.25">
      <c r="A762" s="11" t="s">
        <v>4105</v>
      </c>
      <c r="B762" s="11" t="s">
        <v>4106</v>
      </c>
      <c r="C762" s="11"/>
      <c r="D762" s="11" t="s">
        <v>91</v>
      </c>
      <c r="E762" s="11"/>
      <c r="F762" s="11" t="s">
        <v>4107</v>
      </c>
      <c r="G762" s="11" t="s">
        <v>4108</v>
      </c>
      <c r="H762" s="11" t="s">
        <v>94</v>
      </c>
      <c r="I762" s="11" t="s">
        <v>95</v>
      </c>
      <c r="J762" s="11" t="s">
        <v>96</v>
      </c>
      <c r="K762" s="11"/>
      <c r="L762" s="11" t="s">
        <v>4109</v>
      </c>
      <c r="M762" s="11"/>
      <c r="N762" s="11"/>
      <c r="O762" s="11"/>
      <c r="P762" s="11" t="s">
        <v>102</v>
      </c>
      <c r="Q762" s="12">
        <v>113.156069</v>
      </c>
      <c r="R762" s="13">
        <v>23.062106</v>
      </c>
      <c r="S762" s="11" t="s">
        <v>4105</v>
      </c>
      <c r="T762" s="11"/>
      <c r="U762" s="11" t="s">
        <v>104</v>
      </c>
      <c r="V762" s="11" t="s">
        <v>105</v>
      </c>
      <c r="W762" s="11" t="s">
        <v>106</v>
      </c>
      <c r="X762" s="11"/>
      <c r="Y762" s="11"/>
      <c r="Z762" s="11"/>
      <c r="AA762" s="12">
        <v>761</v>
      </c>
      <c r="AB762" s="12"/>
      <c r="AC762" s="11" t="s">
        <v>3000</v>
      </c>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row>
    <row r="763" spans="1:56" ht="56" x14ac:dyDescent="0.25">
      <c r="A763" s="11" t="s">
        <v>4110</v>
      </c>
      <c r="B763" s="11" t="s">
        <v>4111</v>
      </c>
      <c r="C763" s="11"/>
      <c r="D763" s="11" t="s">
        <v>91</v>
      </c>
      <c r="E763" s="11"/>
      <c r="F763" s="11" t="s">
        <v>4112</v>
      </c>
      <c r="G763" s="11" t="s">
        <v>4113</v>
      </c>
      <c r="H763" s="11" t="s">
        <v>94</v>
      </c>
      <c r="I763" s="11" t="s">
        <v>121</v>
      </c>
      <c r="J763" s="11" t="s">
        <v>2285</v>
      </c>
      <c r="K763" s="11"/>
      <c r="L763" s="11" t="s">
        <v>4114</v>
      </c>
      <c r="M763" s="11"/>
      <c r="N763" s="11"/>
      <c r="O763" s="11"/>
      <c r="P763" s="11" t="s">
        <v>102</v>
      </c>
      <c r="Q763" s="12">
        <v>113.304165</v>
      </c>
      <c r="R763" s="13">
        <v>23.069969</v>
      </c>
      <c r="S763" s="11" t="s">
        <v>4110</v>
      </c>
      <c r="T763" s="11"/>
      <c r="U763" s="11" t="s">
        <v>104</v>
      </c>
      <c r="V763" s="11" t="s">
        <v>105</v>
      </c>
      <c r="W763" s="11" t="s">
        <v>106</v>
      </c>
      <c r="X763" s="11"/>
      <c r="Y763" s="11"/>
      <c r="Z763" s="11"/>
      <c r="AA763" s="12">
        <v>762</v>
      </c>
      <c r="AB763" s="12"/>
      <c r="AC763" s="11" t="s">
        <v>3000</v>
      </c>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row>
    <row r="764" spans="1:56" ht="56" x14ac:dyDescent="0.25">
      <c r="A764" s="11" t="s">
        <v>4115</v>
      </c>
      <c r="B764" s="11" t="s">
        <v>4116</v>
      </c>
      <c r="C764" s="11"/>
      <c r="D764" s="11" t="s">
        <v>91</v>
      </c>
      <c r="E764" s="11"/>
      <c r="F764" s="11" t="s">
        <v>4117</v>
      </c>
      <c r="G764" s="11" t="s">
        <v>4118</v>
      </c>
      <c r="H764" s="11" t="s">
        <v>94</v>
      </c>
      <c r="I764" s="11" t="s">
        <v>95</v>
      </c>
      <c r="J764" s="11" t="s">
        <v>96</v>
      </c>
      <c r="K764" s="11"/>
      <c r="L764" s="11" t="s">
        <v>4119</v>
      </c>
      <c r="M764" s="11"/>
      <c r="N764" s="11"/>
      <c r="O764" s="11"/>
      <c r="P764" s="11" t="s">
        <v>102</v>
      </c>
      <c r="Q764" s="12">
        <v>113.13931599999999</v>
      </c>
      <c r="R764" s="13">
        <v>23.031169999999999</v>
      </c>
      <c r="S764" s="11" t="s">
        <v>4115</v>
      </c>
      <c r="T764" s="11"/>
      <c r="U764" s="11" t="s">
        <v>104</v>
      </c>
      <c r="V764" s="11" t="s">
        <v>105</v>
      </c>
      <c r="W764" s="11" t="s">
        <v>106</v>
      </c>
      <c r="X764" s="11"/>
      <c r="Y764" s="11"/>
      <c r="Z764" s="11"/>
      <c r="AA764" s="12">
        <v>763</v>
      </c>
      <c r="AB764" s="12"/>
      <c r="AC764" s="11" t="s">
        <v>3000</v>
      </c>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row>
    <row r="765" spans="1:56" ht="56" x14ac:dyDescent="0.25">
      <c r="A765" s="11" t="s">
        <v>4120</v>
      </c>
      <c r="B765" s="11" t="s">
        <v>4121</v>
      </c>
      <c r="C765" s="11"/>
      <c r="D765" s="11" t="s">
        <v>91</v>
      </c>
      <c r="E765" s="11"/>
      <c r="F765" s="11" t="s">
        <v>4122</v>
      </c>
      <c r="G765" s="11" t="s">
        <v>4123</v>
      </c>
      <c r="H765" s="11" t="s">
        <v>94</v>
      </c>
      <c r="I765" s="11" t="s">
        <v>121</v>
      </c>
      <c r="J765" s="11" t="s">
        <v>2285</v>
      </c>
      <c r="K765" s="11"/>
      <c r="L765" s="11" t="s">
        <v>4124</v>
      </c>
      <c r="M765" s="11"/>
      <c r="N765" s="11"/>
      <c r="O765" s="11"/>
      <c r="P765" s="11" t="s">
        <v>102</v>
      </c>
      <c r="Q765" s="12">
        <v>113.306871</v>
      </c>
      <c r="R765" s="13">
        <v>23.094018999999999</v>
      </c>
      <c r="S765" s="11" t="s">
        <v>4120</v>
      </c>
      <c r="T765" s="11"/>
      <c r="U765" s="11" t="s">
        <v>104</v>
      </c>
      <c r="V765" s="11" t="s">
        <v>105</v>
      </c>
      <c r="W765" s="11" t="s">
        <v>106</v>
      </c>
      <c r="X765" s="11"/>
      <c r="Y765" s="11"/>
      <c r="Z765" s="11"/>
      <c r="AA765" s="12">
        <v>764</v>
      </c>
      <c r="AB765" s="12"/>
      <c r="AC765" s="11" t="s">
        <v>3000</v>
      </c>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row>
    <row r="766" spans="1:56" ht="70" x14ac:dyDescent="0.25">
      <c r="A766" s="11" t="s">
        <v>4125</v>
      </c>
      <c r="B766" s="11" t="s">
        <v>4126</v>
      </c>
      <c r="C766" s="11"/>
      <c r="D766" s="11" t="s">
        <v>91</v>
      </c>
      <c r="E766" s="11" t="s">
        <v>92</v>
      </c>
      <c r="F766" s="11" t="s">
        <v>4127</v>
      </c>
      <c r="G766" s="11" t="s">
        <v>4128</v>
      </c>
      <c r="H766" s="11" t="s">
        <v>94</v>
      </c>
      <c r="I766" s="11" t="s">
        <v>121</v>
      </c>
      <c r="J766" s="11" t="s">
        <v>2007</v>
      </c>
      <c r="K766" s="11"/>
      <c r="L766" s="11" t="s">
        <v>4129</v>
      </c>
      <c r="M766" s="11" t="s">
        <v>183</v>
      </c>
      <c r="N766" s="11" t="s">
        <v>174</v>
      </c>
      <c r="O766" s="11" t="s">
        <v>101</v>
      </c>
      <c r="P766" s="11" t="s">
        <v>102</v>
      </c>
      <c r="Q766" s="12">
        <v>113.245103</v>
      </c>
      <c r="R766" s="13">
        <v>23.127804000000001</v>
      </c>
      <c r="S766" s="11" t="s">
        <v>4125</v>
      </c>
      <c r="T766" s="11"/>
      <c r="U766" s="11" t="s">
        <v>104</v>
      </c>
      <c r="V766" s="11" t="s">
        <v>105</v>
      </c>
      <c r="W766" s="11" t="s">
        <v>106</v>
      </c>
      <c r="X766" s="11"/>
      <c r="Y766" s="11"/>
      <c r="Z766" s="11"/>
      <c r="AA766" s="12">
        <v>765</v>
      </c>
      <c r="AB766" s="12"/>
      <c r="AC766" s="11" t="s">
        <v>3000</v>
      </c>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row>
    <row r="767" spans="1:56" ht="56" x14ac:dyDescent="0.25">
      <c r="A767" s="11" t="s">
        <v>4130</v>
      </c>
      <c r="B767" s="11" t="s">
        <v>4131</v>
      </c>
      <c r="C767" s="11"/>
      <c r="D767" s="11" t="s">
        <v>91</v>
      </c>
      <c r="E767" s="11"/>
      <c r="F767" s="11" t="s">
        <v>4132</v>
      </c>
      <c r="G767" s="11" t="s">
        <v>4133</v>
      </c>
      <c r="H767" s="11" t="s">
        <v>94</v>
      </c>
      <c r="I767" s="11" t="s">
        <v>121</v>
      </c>
      <c r="J767" s="11" t="s">
        <v>971</v>
      </c>
      <c r="K767" s="11"/>
      <c r="L767" s="11" t="s">
        <v>4134</v>
      </c>
      <c r="M767" s="11"/>
      <c r="N767" s="11"/>
      <c r="O767" s="11"/>
      <c r="P767" s="11" t="s">
        <v>102</v>
      </c>
      <c r="Q767" s="12">
        <v>113.337149</v>
      </c>
      <c r="R767" s="13">
        <v>23.185116000000001</v>
      </c>
      <c r="S767" s="11" t="s">
        <v>4130</v>
      </c>
      <c r="T767" s="11"/>
      <c r="U767" s="11" t="s">
        <v>104</v>
      </c>
      <c r="V767" s="11" t="s">
        <v>105</v>
      </c>
      <c r="W767" s="11" t="s">
        <v>106</v>
      </c>
      <c r="X767" s="11"/>
      <c r="Y767" s="11"/>
      <c r="Z767" s="11"/>
      <c r="AA767" s="12">
        <v>766</v>
      </c>
      <c r="AB767" s="12"/>
      <c r="AC767" s="11" t="s">
        <v>3000</v>
      </c>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row>
    <row r="768" spans="1:56" ht="56" x14ac:dyDescent="0.25">
      <c r="A768" s="11" t="s">
        <v>4135</v>
      </c>
      <c r="B768" s="11" t="s">
        <v>4136</v>
      </c>
      <c r="C768" s="11"/>
      <c r="D768" s="11" t="s">
        <v>91</v>
      </c>
      <c r="E768" s="11"/>
      <c r="F768" s="11" t="s">
        <v>4137</v>
      </c>
      <c r="G768" s="11" t="s">
        <v>4138</v>
      </c>
      <c r="H768" s="11" t="s">
        <v>94</v>
      </c>
      <c r="I768" s="11" t="s">
        <v>121</v>
      </c>
      <c r="J768" s="11" t="s">
        <v>971</v>
      </c>
      <c r="K768" s="11"/>
      <c r="L768" s="11" t="s">
        <v>4139</v>
      </c>
      <c r="M768" s="11"/>
      <c r="N768" s="11"/>
      <c r="O768" s="11"/>
      <c r="P768" s="11" t="s">
        <v>102</v>
      </c>
      <c r="Q768" s="12">
        <v>113.196584</v>
      </c>
      <c r="R768" s="13">
        <v>23.148177</v>
      </c>
      <c r="S768" s="11" t="s">
        <v>4135</v>
      </c>
      <c r="T768" s="11"/>
      <c r="U768" s="11" t="s">
        <v>104</v>
      </c>
      <c r="V768" s="11" t="s">
        <v>105</v>
      </c>
      <c r="W768" s="11" t="s">
        <v>106</v>
      </c>
      <c r="X768" s="11"/>
      <c r="Y768" s="11"/>
      <c r="Z768" s="11"/>
      <c r="AA768" s="12">
        <v>767</v>
      </c>
      <c r="AB768" s="12"/>
      <c r="AC768" s="11" t="s">
        <v>3000</v>
      </c>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row>
    <row r="769" spans="1:56" ht="56" x14ac:dyDescent="0.25">
      <c r="A769" s="11" t="s">
        <v>4140</v>
      </c>
      <c r="B769" s="11" t="s">
        <v>4141</v>
      </c>
      <c r="C769" s="11"/>
      <c r="D769" s="11" t="s">
        <v>91</v>
      </c>
      <c r="E769" s="11"/>
      <c r="F769" s="11" t="s">
        <v>4142</v>
      </c>
      <c r="G769" s="11" t="s">
        <v>4143</v>
      </c>
      <c r="H769" s="11" t="s">
        <v>94</v>
      </c>
      <c r="I769" s="11" t="s">
        <v>121</v>
      </c>
      <c r="J769" s="11" t="s">
        <v>2285</v>
      </c>
      <c r="K769" s="11"/>
      <c r="L769" s="11" t="s">
        <v>4144</v>
      </c>
      <c r="M769" s="11"/>
      <c r="N769" s="11"/>
      <c r="O769" s="11"/>
      <c r="P769" s="11" t="s">
        <v>102</v>
      </c>
      <c r="Q769" s="12">
        <v>113.283157</v>
      </c>
      <c r="R769" s="13">
        <v>23.076346999999998</v>
      </c>
      <c r="S769" s="11" t="s">
        <v>4140</v>
      </c>
      <c r="T769" s="11"/>
      <c r="U769" s="11" t="s">
        <v>104</v>
      </c>
      <c r="V769" s="11" t="s">
        <v>105</v>
      </c>
      <c r="W769" s="11" t="s">
        <v>106</v>
      </c>
      <c r="X769" s="11"/>
      <c r="Y769" s="11"/>
      <c r="Z769" s="11"/>
      <c r="AA769" s="12">
        <v>768</v>
      </c>
      <c r="AB769" s="12"/>
      <c r="AC769" s="11" t="s">
        <v>3000</v>
      </c>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row>
    <row r="770" spans="1:56" ht="56" x14ac:dyDescent="0.25">
      <c r="A770" s="11" t="s">
        <v>4145</v>
      </c>
      <c r="B770" s="11" t="s">
        <v>4146</v>
      </c>
      <c r="C770" s="11"/>
      <c r="D770" s="11" t="s">
        <v>91</v>
      </c>
      <c r="E770" s="11"/>
      <c r="F770" s="11" t="s">
        <v>4147</v>
      </c>
      <c r="G770" s="11" t="s">
        <v>4148</v>
      </c>
      <c r="H770" s="11" t="s">
        <v>94</v>
      </c>
      <c r="I770" s="11" t="s">
        <v>121</v>
      </c>
      <c r="J770" s="11" t="s">
        <v>971</v>
      </c>
      <c r="K770" s="11"/>
      <c r="L770" s="11" t="s">
        <v>4149</v>
      </c>
      <c r="M770" s="11"/>
      <c r="N770" s="11"/>
      <c r="O770" s="11"/>
      <c r="P770" s="11" t="s">
        <v>102</v>
      </c>
      <c r="Q770" s="12">
        <v>113.282284</v>
      </c>
      <c r="R770" s="13">
        <v>23.231862</v>
      </c>
      <c r="S770" s="11" t="s">
        <v>4145</v>
      </c>
      <c r="T770" s="11"/>
      <c r="U770" s="11" t="s">
        <v>104</v>
      </c>
      <c r="V770" s="11" t="s">
        <v>105</v>
      </c>
      <c r="W770" s="11" t="s">
        <v>106</v>
      </c>
      <c r="X770" s="11"/>
      <c r="Y770" s="11"/>
      <c r="Z770" s="11"/>
      <c r="AA770" s="12">
        <v>769</v>
      </c>
      <c r="AB770" s="12"/>
      <c r="AC770" s="11" t="s">
        <v>3000</v>
      </c>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row>
    <row r="771" spans="1:56" ht="56" x14ac:dyDescent="0.25">
      <c r="A771" s="11" t="s">
        <v>4150</v>
      </c>
      <c r="B771" s="11" t="s">
        <v>4151</v>
      </c>
      <c r="C771" s="11"/>
      <c r="D771" s="11" t="s">
        <v>91</v>
      </c>
      <c r="E771" s="11"/>
      <c r="F771" s="11" t="s">
        <v>4152</v>
      </c>
      <c r="G771" s="11" t="s">
        <v>4153</v>
      </c>
      <c r="H771" s="11" t="s">
        <v>94</v>
      </c>
      <c r="I771" s="11" t="s">
        <v>95</v>
      </c>
      <c r="J771" s="11" t="s">
        <v>1087</v>
      </c>
      <c r="K771" s="11"/>
      <c r="L771" s="11" t="s">
        <v>4154</v>
      </c>
      <c r="M771" s="11"/>
      <c r="N771" s="11"/>
      <c r="O771" s="11"/>
      <c r="P771" s="11" t="s">
        <v>102</v>
      </c>
      <c r="Q771" s="12">
        <v>113.10659699999999</v>
      </c>
      <c r="R771" s="13">
        <v>23.005808999999999</v>
      </c>
      <c r="S771" s="11" t="s">
        <v>4150</v>
      </c>
      <c r="T771" s="11"/>
      <c r="U771" s="11" t="s">
        <v>104</v>
      </c>
      <c r="V771" s="11" t="s">
        <v>105</v>
      </c>
      <c r="W771" s="11" t="s">
        <v>106</v>
      </c>
      <c r="X771" s="11"/>
      <c r="Y771" s="11"/>
      <c r="Z771" s="11"/>
      <c r="AA771" s="12">
        <v>770</v>
      </c>
      <c r="AB771" s="12"/>
      <c r="AC771" s="11" t="s">
        <v>3000</v>
      </c>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row>
    <row r="772" spans="1:56" ht="56" x14ac:dyDescent="0.25">
      <c r="A772" s="11" t="s">
        <v>4155</v>
      </c>
      <c r="B772" s="11" t="s">
        <v>4156</v>
      </c>
      <c r="C772" s="11"/>
      <c r="D772" s="11" t="s">
        <v>91</v>
      </c>
      <c r="E772" s="11"/>
      <c r="F772" s="11" t="s">
        <v>4157</v>
      </c>
      <c r="G772" s="11" t="s">
        <v>4158</v>
      </c>
      <c r="H772" s="11" t="s">
        <v>94</v>
      </c>
      <c r="I772" s="11" t="s">
        <v>112</v>
      </c>
      <c r="J772" s="11" t="s">
        <v>112</v>
      </c>
      <c r="K772" s="11"/>
      <c r="L772" s="11" t="s">
        <v>4159</v>
      </c>
      <c r="M772" s="11"/>
      <c r="N772" s="11"/>
      <c r="O772" s="11"/>
      <c r="P772" s="11" t="s">
        <v>102</v>
      </c>
      <c r="Q772" s="12">
        <v>113.662175</v>
      </c>
      <c r="R772" s="13">
        <v>22.934837999999999</v>
      </c>
      <c r="S772" s="11" t="s">
        <v>4155</v>
      </c>
      <c r="T772" s="11"/>
      <c r="U772" s="11" t="s">
        <v>104</v>
      </c>
      <c r="V772" s="11" t="s">
        <v>105</v>
      </c>
      <c r="W772" s="11" t="s">
        <v>106</v>
      </c>
      <c r="X772" s="11"/>
      <c r="Y772" s="11"/>
      <c r="Z772" s="11"/>
      <c r="AA772" s="12">
        <v>771</v>
      </c>
      <c r="AB772" s="12"/>
      <c r="AC772" s="11" t="s">
        <v>3000</v>
      </c>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row>
    <row r="773" spans="1:56" ht="56" x14ac:dyDescent="0.25">
      <c r="A773" s="11" t="s">
        <v>4160</v>
      </c>
      <c r="B773" s="11" t="s">
        <v>4161</v>
      </c>
      <c r="C773" s="11"/>
      <c r="D773" s="11" t="s">
        <v>91</v>
      </c>
      <c r="E773" s="11"/>
      <c r="F773" s="11" t="s">
        <v>4162</v>
      </c>
      <c r="G773" s="11" t="s">
        <v>4163</v>
      </c>
      <c r="H773" s="11" t="s">
        <v>94</v>
      </c>
      <c r="I773" s="11" t="s">
        <v>121</v>
      </c>
      <c r="J773" s="11" t="s">
        <v>122</v>
      </c>
      <c r="K773" s="11"/>
      <c r="L773" s="11" t="s">
        <v>4164</v>
      </c>
      <c r="M773" s="11"/>
      <c r="N773" s="11"/>
      <c r="O773" s="11"/>
      <c r="P773" s="11" t="s">
        <v>102</v>
      </c>
      <c r="Q773" s="12">
        <v>113.36099</v>
      </c>
      <c r="R773" s="13">
        <v>23.139137000000002</v>
      </c>
      <c r="S773" s="11" t="s">
        <v>4160</v>
      </c>
      <c r="T773" s="11"/>
      <c r="U773" s="11" t="s">
        <v>104</v>
      </c>
      <c r="V773" s="11" t="s">
        <v>105</v>
      </c>
      <c r="W773" s="11" t="s">
        <v>106</v>
      </c>
      <c r="X773" s="11"/>
      <c r="Y773" s="11"/>
      <c r="Z773" s="11"/>
      <c r="AA773" s="12">
        <v>772</v>
      </c>
      <c r="AB773" s="12"/>
      <c r="AC773" s="11" t="s">
        <v>3000</v>
      </c>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row>
    <row r="774" spans="1:56" ht="56" x14ac:dyDescent="0.25">
      <c r="A774" s="11" t="s">
        <v>4165</v>
      </c>
      <c r="B774" s="11" t="s">
        <v>4166</v>
      </c>
      <c r="C774" s="11"/>
      <c r="D774" s="11" t="s">
        <v>91</v>
      </c>
      <c r="E774" s="11"/>
      <c r="F774" s="11" t="s">
        <v>4167</v>
      </c>
      <c r="G774" s="11" t="s">
        <v>4168</v>
      </c>
      <c r="H774" s="11" t="s">
        <v>94</v>
      </c>
      <c r="I774" s="11" t="s">
        <v>121</v>
      </c>
      <c r="J774" s="11" t="s">
        <v>799</v>
      </c>
      <c r="K774" s="11"/>
      <c r="L774" s="11" t="s">
        <v>4169</v>
      </c>
      <c r="M774" s="11"/>
      <c r="N774" s="11"/>
      <c r="O774" s="11"/>
      <c r="P774" s="11" t="s">
        <v>102</v>
      </c>
      <c r="Q774" s="12">
        <v>113.211517</v>
      </c>
      <c r="R774" s="13">
        <v>23.384619000000001</v>
      </c>
      <c r="S774" s="11" t="s">
        <v>4165</v>
      </c>
      <c r="T774" s="11"/>
      <c r="U774" s="11" t="s">
        <v>104</v>
      </c>
      <c r="V774" s="11" t="s">
        <v>105</v>
      </c>
      <c r="W774" s="11" t="s">
        <v>106</v>
      </c>
      <c r="X774" s="11"/>
      <c r="Y774" s="11"/>
      <c r="Z774" s="11"/>
      <c r="AA774" s="12">
        <v>773</v>
      </c>
      <c r="AB774" s="12"/>
      <c r="AC774" s="11" t="s">
        <v>3000</v>
      </c>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row>
    <row r="775" spans="1:56" ht="56" x14ac:dyDescent="0.25">
      <c r="A775" s="11" t="s">
        <v>4170</v>
      </c>
      <c r="B775" s="11" t="s">
        <v>4171</v>
      </c>
      <c r="C775" s="11"/>
      <c r="D775" s="11" t="s">
        <v>91</v>
      </c>
      <c r="E775" s="11"/>
      <c r="F775" s="11" t="s">
        <v>4172</v>
      </c>
      <c r="G775" s="11" t="s">
        <v>4173</v>
      </c>
      <c r="H775" s="11" t="s">
        <v>94</v>
      </c>
      <c r="I775" s="11" t="s">
        <v>121</v>
      </c>
      <c r="J775" s="11" t="s">
        <v>2285</v>
      </c>
      <c r="K775" s="11"/>
      <c r="L775" s="11" t="s">
        <v>4174</v>
      </c>
      <c r="M775" s="11"/>
      <c r="N775" s="11"/>
      <c r="O775" s="11"/>
      <c r="P775" s="11" t="s">
        <v>102</v>
      </c>
      <c r="Q775" s="12">
        <v>113.270036</v>
      </c>
      <c r="R775" s="13">
        <v>23.094956</v>
      </c>
      <c r="S775" s="11" t="s">
        <v>4170</v>
      </c>
      <c r="T775" s="11"/>
      <c r="U775" s="11" t="s">
        <v>104</v>
      </c>
      <c r="V775" s="11" t="s">
        <v>105</v>
      </c>
      <c r="W775" s="11" t="s">
        <v>106</v>
      </c>
      <c r="X775" s="11"/>
      <c r="Y775" s="11"/>
      <c r="Z775" s="11"/>
      <c r="AA775" s="12">
        <v>774</v>
      </c>
      <c r="AB775" s="12"/>
      <c r="AC775" s="11" t="s">
        <v>3000</v>
      </c>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row>
    <row r="776" spans="1:56" ht="56" x14ac:dyDescent="0.25">
      <c r="A776" s="11" t="s">
        <v>4175</v>
      </c>
      <c r="B776" s="11" t="s">
        <v>4176</v>
      </c>
      <c r="C776" s="11"/>
      <c r="D776" s="11" t="s">
        <v>91</v>
      </c>
      <c r="E776" s="11"/>
      <c r="F776" s="11" t="s">
        <v>4177</v>
      </c>
      <c r="G776" s="11" t="s">
        <v>4178</v>
      </c>
      <c r="H776" s="11" t="s">
        <v>94</v>
      </c>
      <c r="I776" s="11" t="s">
        <v>121</v>
      </c>
      <c r="J776" s="11" t="s">
        <v>737</v>
      </c>
      <c r="K776" s="11"/>
      <c r="L776" s="11" t="s">
        <v>4179</v>
      </c>
      <c r="M776" s="11"/>
      <c r="N776" s="11"/>
      <c r="O776" s="11"/>
      <c r="P776" s="11" t="s">
        <v>102</v>
      </c>
      <c r="Q776" s="12">
        <v>113.363349</v>
      </c>
      <c r="R776" s="13">
        <v>22.941074</v>
      </c>
      <c r="S776" s="11" t="s">
        <v>4175</v>
      </c>
      <c r="T776" s="11"/>
      <c r="U776" s="11" t="s">
        <v>104</v>
      </c>
      <c r="V776" s="11" t="s">
        <v>105</v>
      </c>
      <c r="W776" s="11" t="s">
        <v>106</v>
      </c>
      <c r="X776" s="11"/>
      <c r="Y776" s="11"/>
      <c r="Z776" s="11"/>
      <c r="AA776" s="12">
        <v>775</v>
      </c>
      <c r="AB776" s="12"/>
      <c r="AC776" s="11" t="s">
        <v>3000</v>
      </c>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row>
    <row r="777" spans="1:56" ht="56" x14ac:dyDescent="0.25">
      <c r="A777" s="11" t="s">
        <v>4180</v>
      </c>
      <c r="B777" s="11" t="s">
        <v>4181</v>
      </c>
      <c r="C777" s="11"/>
      <c r="D777" s="11" t="s">
        <v>91</v>
      </c>
      <c r="E777" s="11"/>
      <c r="F777" s="11" t="s">
        <v>4182</v>
      </c>
      <c r="G777" s="11" t="s">
        <v>4183</v>
      </c>
      <c r="H777" s="11" t="s">
        <v>94</v>
      </c>
      <c r="I777" s="11" t="s">
        <v>121</v>
      </c>
      <c r="J777" s="11" t="s">
        <v>971</v>
      </c>
      <c r="K777" s="11"/>
      <c r="L777" s="11" t="s">
        <v>4184</v>
      </c>
      <c r="M777" s="11"/>
      <c r="N777" s="11"/>
      <c r="O777" s="11"/>
      <c r="P777" s="11" t="s">
        <v>102</v>
      </c>
      <c r="Q777" s="12">
        <v>113.309386</v>
      </c>
      <c r="R777" s="13">
        <v>23.261082999999999</v>
      </c>
      <c r="S777" s="11" t="s">
        <v>4180</v>
      </c>
      <c r="T777" s="11"/>
      <c r="U777" s="11" t="s">
        <v>104</v>
      </c>
      <c r="V777" s="11" t="s">
        <v>105</v>
      </c>
      <c r="W777" s="11" t="s">
        <v>106</v>
      </c>
      <c r="X777" s="11"/>
      <c r="Y777" s="11"/>
      <c r="Z777" s="11"/>
      <c r="AA777" s="12">
        <v>776</v>
      </c>
      <c r="AB777" s="12"/>
      <c r="AC777" s="11" t="s">
        <v>3000</v>
      </c>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row>
    <row r="778" spans="1:56" ht="56" x14ac:dyDescent="0.25">
      <c r="A778" s="11" t="s">
        <v>4185</v>
      </c>
      <c r="B778" s="11" t="s">
        <v>4186</v>
      </c>
      <c r="C778" s="11"/>
      <c r="D778" s="11" t="s">
        <v>91</v>
      </c>
      <c r="E778" s="11"/>
      <c r="F778" s="11" t="s">
        <v>4187</v>
      </c>
      <c r="G778" s="11" t="s">
        <v>4188</v>
      </c>
      <c r="H778" s="11" t="s">
        <v>94</v>
      </c>
      <c r="I778" s="11" t="s">
        <v>121</v>
      </c>
      <c r="J778" s="11" t="s">
        <v>737</v>
      </c>
      <c r="K778" s="11"/>
      <c r="L778" s="11" t="s">
        <v>4189</v>
      </c>
      <c r="M778" s="11"/>
      <c r="N778" s="11"/>
      <c r="O778" s="11"/>
      <c r="P778" s="11" t="s">
        <v>102</v>
      </c>
      <c r="Q778" s="12">
        <v>113.320598</v>
      </c>
      <c r="R778" s="13">
        <v>23.028531000000001</v>
      </c>
      <c r="S778" s="11" t="s">
        <v>4185</v>
      </c>
      <c r="T778" s="11"/>
      <c r="U778" s="11" t="s">
        <v>104</v>
      </c>
      <c r="V778" s="11" t="s">
        <v>105</v>
      </c>
      <c r="W778" s="11" t="s">
        <v>106</v>
      </c>
      <c r="X778" s="11"/>
      <c r="Y778" s="11"/>
      <c r="Z778" s="11"/>
      <c r="AA778" s="12">
        <v>777</v>
      </c>
      <c r="AB778" s="12"/>
      <c r="AC778" s="11" t="s">
        <v>3000</v>
      </c>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row>
    <row r="779" spans="1:56" ht="56" x14ac:dyDescent="0.25">
      <c r="A779" s="11" t="s">
        <v>4190</v>
      </c>
      <c r="B779" s="11" t="s">
        <v>4191</v>
      </c>
      <c r="C779" s="11"/>
      <c r="D779" s="11" t="s">
        <v>91</v>
      </c>
      <c r="E779" s="11"/>
      <c r="F779" s="11" t="s">
        <v>4192</v>
      </c>
      <c r="G779" s="11" t="s">
        <v>4193</v>
      </c>
      <c r="H779" s="11" t="s">
        <v>94</v>
      </c>
      <c r="I779" s="11" t="s">
        <v>121</v>
      </c>
      <c r="J779" s="11" t="s">
        <v>122</v>
      </c>
      <c r="K779" s="11"/>
      <c r="L779" s="11" t="s">
        <v>4194</v>
      </c>
      <c r="M779" s="11"/>
      <c r="N779" s="11"/>
      <c r="O779" s="11"/>
      <c r="P779" s="11" t="s">
        <v>102</v>
      </c>
      <c r="Q779" s="12">
        <v>113.388541</v>
      </c>
      <c r="R779" s="13">
        <v>23.120795000000001</v>
      </c>
      <c r="S779" s="11" t="s">
        <v>4190</v>
      </c>
      <c r="T779" s="11"/>
      <c r="U779" s="11" t="s">
        <v>104</v>
      </c>
      <c r="V779" s="11" t="s">
        <v>105</v>
      </c>
      <c r="W779" s="11" t="s">
        <v>106</v>
      </c>
      <c r="X779" s="11"/>
      <c r="Y779" s="11"/>
      <c r="Z779" s="11"/>
      <c r="AA779" s="12">
        <v>778</v>
      </c>
      <c r="AB779" s="12"/>
      <c r="AC779" s="11" t="s">
        <v>3000</v>
      </c>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row>
    <row r="780" spans="1:56" ht="56" x14ac:dyDescent="0.25">
      <c r="A780" s="11" t="s">
        <v>4195</v>
      </c>
      <c r="B780" s="11" t="s">
        <v>4196</v>
      </c>
      <c r="C780" s="11"/>
      <c r="D780" s="11" t="s">
        <v>91</v>
      </c>
      <c r="E780" s="11"/>
      <c r="F780" s="11" t="s">
        <v>4197</v>
      </c>
      <c r="G780" s="11" t="s">
        <v>4198</v>
      </c>
      <c r="H780" s="11" t="s">
        <v>94</v>
      </c>
      <c r="I780" s="11" t="s">
        <v>95</v>
      </c>
      <c r="J780" s="11" t="s">
        <v>749</v>
      </c>
      <c r="K780" s="11"/>
      <c r="L780" s="11" t="s">
        <v>4199</v>
      </c>
      <c r="M780" s="11"/>
      <c r="N780" s="11"/>
      <c r="O780" s="11"/>
      <c r="P780" s="11" t="s">
        <v>102</v>
      </c>
      <c r="Q780" s="12">
        <v>113.209687</v>
      </c>
      <c r="R780" s="13">
        <v>22.915782</v>
      </c>
      <c r="S780" s="11" t="s">
        <v>4195</v>
      </c>
      <c r="T780" s="11"/>
      <c r="U780" s="11" t="s">
        <v>104</v>
      </c>
      <c r="V780" s="11" t="s">
        <v>105</v>
      </c>
      <c r="W780" s="11" t="s">
        <v>106</v>
      </c>
      <c r="X780" s="11"/>
      <c r="Y780" s="11"/>
      <c r="Z780" s="11"/>
      <c r="AA780" s="12">
        <v>779</v>
      </c>
      <c r="AB780" s="12"/>
      <c r="AC780" s="11" t="s">
        <v>3000</v>
      </c>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row>
    <row r="781" spans="1:56" ht="56" x14ac:dyDescent="0.25">
      <c r="A781" s="11" t="s">
        <v>4200</v>
      </c>
      <c r="B781" s="11" t="s">
        <v>4201</v>
      </c>
      <c r="C781" s="11"/>
      <c r="D781" s="11" t="s">
        <v>91</v>
      </c>
      <c r="E781" s="11"/>
      <c r="F781" s="11" t="s">
        <v>4202</v>
      </c>
      <c r="G781" s="11" t="s">
        <v>4203</v>
      </c>
      <c r="H781" s="11" t="s">
        <v>94</v>
      </c>
      <c r="I781" s="11" t="s">
        <v>121</v>
      </c>
      <c r="J781" s="11" t="s">
        <v>122</v>
      </c>
      <c r="K781" s="11"/>
      <c r="L781" s="11" t="s">
        <v>4204</v>
      </c>
      <c r="M781" s="11"/>
      <c r="N781" s="11"/>
      <c r="O781" s="11"/>
      <c r="P781" s="11" t="s">
        <v>102</v>
      </c>
      <c r="Q781" s="12">
        <v>113.369518</v>
      </c>
      <c r="R781" s="13">
        <v>23.193767999999999</v>
      </c>
      <c r="S781" s="11" t="s">
        <v>4200</v>
      </c>
      <c r="T781" s="11"/>
      <c r="U781" s="11" t="s">
        <v>104</v>
      </c>
      <c r="V781" s="11" t="s">
        <v>105</v>
      </c>
      <c r="W781" s="11" t="s">
        <v>106</v>
      </c>
      <c r="X781" s="11"/>
      <c r="Y781" s="11"/>
      <c r="Z781" s="11"/>
      <c r="AA781" s="12">
        <v>780</v>
      </c>
      <c r="AB781" s="12"/>
      <c r="AC781" s="11" t="s">
        <v>3000</v>
      </c>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row>
    <row r="782" spans="1:56" ht="56" x14ac:dyDescent="0.25">
      <c r="A782" s="11" t="s">
        <v>4205</v>
      </c>
      <c r="B782" s="11" t="s">
        <v>4206</v>
      </c>
      <c r="C782" s="11"/>
      <c r="D782" s="11" t="s">
        <v>91</v>
      </c>
      <c r="E782" s="11"/>
      <c r="F782" s="11" t="s">
        <v>4207</v>
      </c>
      <c r="G782" s="11" t="s">
        <v>4208</v>
      </c>
      <c r="H782" s="11" t="s">
        <v>94</v>
      </c>
      <c r="I782" s="11" t="s">
        <v>121</v>
      </c>
      <c r="J782" s="11" t="s">
        <v>145</v>
      </c>
      <c r="K782" s="11"/>
      <c r="L782" s="11" t="s">
        <v>4209</v>
      </c>
      <c r="M782" s="11" t="s">
        <v>183</v>
      </c>
      <c r="N782" s="11"/>
      <c r="O782" s="11"/>
      <c r="P782" s="11" t="s">
        <v>102</v>
      </c>
      <c r="Q782" s="12">
        <v>113.54558</v>
      </c>
      <c r="R782" s="13">
        <v>22.799488</v>
      </c>
      <c r="S782" s="11" t="s">
        <v>4205</v>
      </c>
      <c r="T782" s="11"/>
      <c r="U782" s="11" t="s">
        <v>104</v>
      </c>
      <c r="V782" s="11" t="s">
        <v>105</v>
      </c>
      <c r="W782" s="11" t="s">
        <v>106</v>
      </c>
      <c r="X782" s="11"/>
      <c r="Y782" s="11"/>
      <c r="Z782" s="11"/>
      <c r="AA782" s="12">
        <v>781</v>
      </c>
      <c r="AB782" s="12"/>
      <c r="AC782" s="11" t="s">
        <v>3000</v>
      </c>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row>
    <row r="783" spans="1:56" ht="42" x14ac:dyDescent="0.25">
      <c r="A783" s="11" t="s">
        <v>4210</v>
      </c>
      <c r="B783" s="11" t="s">
        <v>4211</v>
      </c>
      <c r="C783" s="11"/>
      <c r="D783" s="11" t="s">
        <v>91</v>
      </c>
      <c r="E783" s="11"/>
      <c r="F783" s="11" t="s">
        <v>473</v>
      </c>
      <c r="G783" s="11" t="s">
        <v>4212</v>
      </c>
      <c r="H783" s="11" t="s">
        <v>94</v>
      </c>
      <c r="I783" s="11" t="s">
        <v>121</v>
      </c>
      <c r="J783" s="11" t="s">
        <v>971</v>
      </c>
      <c r="K783" s="11"/>
      <c r="L783" s="11" t="s">
        <v>4213</v>
      </c>
      <c r="M783" s="11"/>
      <c r="N783" s="11"/>
      <c r="O783" s="11"/>
      <c r="P783" s="11" t="s">
        <v>102</v>
      </c>
      <c r="Q783" s="12">
        <v>113.28413999999999</v>
      </c>
      <c r="R783" s="13">
        <v>23.231442999999999</v>
      </c>
      <c r="S783" s="11" t="s">
        <v>4210</v>
      </c>
      <c r="T783" s="11"/>
      <c r="U783" s="11" t="s">
        <v>104</v>
      </c>
      <c r="V783" s="11" t="s">
        <v>105</v>
      </c>
      <c r="W783" s="11" t="s">
        <v>106</v>
      </c>
      <c r="X783" s="11"/>
      <c r="Y783" s="11"/>
      <c r="Z783" s="11"/>
      <c r="AA783" s="12">
        <v>782</v>
      </c>
      <c r="AB783" s="12"/>
      <c r="AC783" s="11" t="s">
        <v>107</v>
      </c>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row>
    <row r="784" spans="1:56" ht="42" x14ac:dyDescent="0.25">
      <c r="A784" s="11" t="s">
        <v>4214</v>
      </c>
      <c r="B784" s="11" t="s">
        <v>4215</v>
      </c>
      <c r="C784" s="11"/>
      <c r="D784" s="11" t="s">
        <v>91</v>
      </c>
      <c r="E784" s="11"/>
      <c r="F784" s="11" t="s">
        <v>473</v>
      </c>
      <c r="G784" s="11" t="s">
        <v>4212</v>
      </c>
      <c r="H784" s="11" t="s">
        <v>94</v>
      </c>
      <c r="I784" s="11" t="s">
        <v>121</v>
      </c>
      <c r="J784" s="11" t="s">
        <v>2007</v>
      </c>
      <c r="K784" s="11"/>
      <c r="L784" s="11" t="s">
        <v>4216</v>
      </c>
      <c r="M784" s="11"/>
      <c r="N784" s="11"/>
      <c r="O784" s="11"/>
      <c r="P784" s="11" t="s">
        <v>102</v>
      </c>
      <c r="Q784" s="12">
        <v>113.23657799999999</v>
      </c>
      <c r="R784" s="13">
        <v>23.076886999999999</v>
      </c>
      <c r="S784" s="11" t="s">
        <v>4214</v>
      </c>
      <c r="T784" s="11"/>
      <c r="U784" s="11" t="s">
        <v>104</v>
      </c>
      <c r="V784" s="11" t="s">
        <v>105</v>
      </c>
      <c r="W784" s="11" t="s">
        <v>106</v>
      </c>
      <c r="X784" s="11"/>
      <c r="Y784" s="11"/>
      <c r="Z784" s="11"/>
      <c r="AA784" s="12">
        <v>783</v>
      </c>
      <c r="AB784" s="12"/>
      <c r="AC784" s="11" t="s">
        <v>107</v>
      </c>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row>
    <row r="785" spans="1:56" ht="42" x14ac:dyDescent="0.25">
      <c r="A785" s="11" t="s">
        <v>4217</v>
      </c>
      <c r="B785" s="11" t="s">
        <v>4218</v>
      </c>
      <c r="C785" s="11"/>
      <c r="D785" s="11" t="s">
        <v>91</v>
      </c>
      <c r="E785" s="11"/>
      <c r="F785" s="11" t="s">
        <v>473</v>
      </c>
      <c r="G785" s="11" t="s">
        <v>4212</v>
      </c>
      <c r="H785" s="11" t="s">
        <v>94</v>
      </c>
      <c r="I785" s="11" t="s">
        <v>121</v>
      </c>
      <c r="J785" s="11" t="s">
        <v>2007</v>
      </c>
      <c r="K785" s="11"/>
      <c r="L785" s="11" t="s">
        <v>4219</v>
      </c>
      <c r="M785" s="11"/>
      <c r="N785" s="11"/>
      <c r="O785" s="11"/>
      <c r="P785" s="11" t="s">
        <v>102</v>
      </c>
      <c r="Q785" s="12">
        <v>113.254237</v>
      </c>
      <c r="R785" s="13">
        <v>23.127509</v>
      </c>
      <c r="S785" s="11" t="s">
        <v>4217</v>
      </c>
      <c r="T785" s="11"/>
      <c r="U785" s="11" t="s">
        <v>104</v>
      </c>
      <c r="V785" s="11" t="s">
        <v>105</v>
      </c>
      <c r="W785" s="11" t="s">
        <v>106</v>
      </c>
      <c r="X785" s="11"/>
      <c r="Y785" s="11"/>
      <c r="Z785" s="11"/>
      <c r="AA785" s="12">
        <v>784</v>
      </c>
      <c r="AB785" s="12"/>
      <c r="AC785" s="11" t="s">
        <v>107</v>
      </c>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row>
    <row r="786" spans="1:56" ht="42" x14ac:dyDescent="0.25">
      <c r="A786" s="11" t="s">
        <v>4220</v>
      </c>
      <c r="B786" s="11" t="s">
        <v>4221</v>
      </c>
      <c r="C786" s="11"/>
      <c r="D786" s="11" t="s">
        <v>91</v>
      </c>
      <c r="E786" s="11"/>
      <c r="F786" s="11" t="s">
        <v>473</v>
      </c>
      <c r="G786" s="11" t="s">
        <v>4212</v>
      </c>
      <c r="H786" s="11" t="s">
        <v>94</v>
      </c>
      <c r="I786" s="11" t="s">
        <v>121</v>
      </c>
      <c r="J786" s="11" t="s">
        <v>122</v>
      </c>
      <c r="K786" s="11"/>
      <c r="L786" s="11" t="s">
        <v>4222</v>
      </c>
      <c r="M786" s="11"/>
      <c r="N786" s="11"/>
      <c r="O786" s="11"/>
      <c r="P786" s="11" t="s">
        <v>102</v>
      </c>
      <c r="Q786" s="12">
        <v>113.30678399999999</v>
      </c>
      <c r="R786" s="13">
        <v>23.146079</v>
      </c>
      <c r="S786" s="11" t="s">
        <v>4220</v>
      </c>
      <c r="T786" s="11"/>
      <c r="U786" s="11" t="s">
        <v>104</v>
      </c>
      <c r="V786" s="11" t="s">
        <v>105</v>
      </c>
      <c r="W786" s="11" t="s">
        <v>106</v>
      </c>
      <c r="X786" s="11"/>
      <c r="Y786" s="11"/>
      <c r="Z786" s="11"/>
      <c r="AA786" s="12">
        <v>785</v>
      </c>
      <c r="AB786" s="12"/>
      <c r="AC786" s="11" t="s">
        <v>107</v>
      </c>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row>
    <row r="787" spans="1:56" ht="42" x14ac:dyDescent="0.25">
      <c r="A787" s="11" t="s">
        <v>4223</v>
      </c>
      <c r="B787" s="11" t="s">
        <v>4224</v>
      </c>
      <c r="C787" s="11"/>
      <c r="D787" s="11" t="s">
        <v>91</v>
      </c>
      <c r="E787" s="11"/>
      <c r="F787" s="11" t="s">
        <v>473</v>
      </c>
      <c r="G787" s="11" t="s">
        <v>4212</v>
      </c>
      <c r="H787" s="11" t="s">
        <v>94</v>
      </c>
      <c r="I787" s="11" t="s">
        <v>121</v>
      </c>
      <c r="J787" s="11" t="s">
        <v>122</v>
      </c>
      <c r="K787" s="11"/>
      <c r="L787" s="11" t="s">
        <v>4225</v>
      </c>
      <c r="M787" s="11"/>
      <c r="N787" s="11"/>
      <c r="O787" s="11"/>
      <c r="P787" s="11" t="s">
        <v>102</v>
      </c>
      <c r="Q787" s="12">
        <v>113.384642</v>
      </c>
      <c r="R787" s="13">
        <v>23.126056999999999</v>
      </c>
      <c r="S787" s="11" t="s">
        <v>4223</v>
      </c>
      <c r="T787" s="11"/>
      <c r="U787" s="11" t="s">
        <v>104</v>
      </c>
      <c r="V787" s="11" t="s">
        <v>105</v>
      </c>
      <c r="W787" s="11" t="s">
        <v>106</v>
      </c>
      <c r="X787" s="11"/>
      <c r="Y787" s="11"/>
      <c r="Z787" s="11"/>
      <c r="AA787" s="12">
        <v>786</v>
      </c>
      <c r="AB787" s="12"/>
      <c r="AC787" s="11" t="s">
        <v>107</v>
      </c>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row>
    <row r="788" spans="1:56" ht="42" x14ac:dyDescent="0.25">
      <c r="A788" s="11" t="s">
        <v>4226</v>
      </c>
      <c r="B788" s="11" t="s">
        <v>4227</v>
      </c>
      <c r="C788" s="11"/>
      <c r="D788" s="11" t="s">
        <v>91</v>
      </c>
      <c r="E788" s="11"/>
      <c r="F788" s="11" t="s">
        <v>473</v>
      </c>
      <c r="G788" s="11" t="s">
        <v>4212</v>
      </c>
      <c r="H788" s="11" t="s">
        <v>94</v>
      </c>
      <c r="I788" s="11" t="s">
        <v>121</v>
      </c>
      <c r="J788" s="11" t="s">
        <v>971</v>
      </c>
      <c r="K788" s="11"/>
      <c r="L788" s="11" t="s">
        <v>4228</v>
      </c>
      <c r="M788" s="11"/>
      <c r="N788" s="11"/>
      <c r="O788" s="11"/>
      <c r="P788" s="11" t="s">
        <v>102</v>
      </c>
      <c r="Q788" s="12">
        <v>113.33211300000001</v>
      </c>
      <c r="R788" s="13">
        <v>23.175125000000001</v>
      </c>
      <c r="S788" s="11" t="s">
        <v>4226</v>
      </c>
      <c r="T788" s="11"/>
      <c r="U788" s="11" t="s">
        <v>104</v>
      </c>
      <c r="V788" s="11" t="s">
        <v>105</v>
      </c>
      <c r="W788" s="11" t="s">
        <v>106</v>
      </c>
      <c r="X788" s="11"/>
      <c r="Y788" s="11"/>
      <c r="Z788" s="11"/>
      <c r="AA788" s="12">
        <v>787</v>
      </c>
      <c r="AB788" s="12"/>
      <c r="AC788" s="11" t="s">
        <v>107</v>
      </c>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row>
    <row r="789" spans="1:56" ht="42" x14ac:dyDescent="0.25">
      <c r="A789" s="11" t="s">
        <v>4229</v>
      </c>
      <c r="B789" s="11" t="s">
        <v>4230</v>
      </c>
      <c r="C789" s="11"/>
      <c r="D789" s="11" t="s">
        <v>91</v>
      </c>
      <c r="E789" s="11"/>
      <c r="F789" s="11" t="s">
        <v>473</v>
      </c>
      <c r="G789" s="11" t="s">
        <v>4212</v>
      </c>
      <c r="H789" s="11" t="s">
        <v>94</v>
      </c>
      <c r="I789" s="11" t="s">
        <v>121</v>
      </c>
      <c r="J789" s="11" t="s">
        <v>2285</v>
      </c>
      <c r="K789" s="11"/>
      <c r="L789" s="11" t="s">
        <v>4231</v>
      </c>
      <c r="M789" s="11"/>
      <c r="N789" s="11"/>
      <c r="O789" s="11"/>
      <c r="P789" s="11" t="s">
        <v>102</v>
      </c>
      <c r="Q789" s="12">
        <v>113.26948400000001</v>
      </c>
      <c r="R789" s="13">
        <v>23.111326999999999</v>
      </c>
      <c r="S789" s="11" t="s">
        <v>4229</v>
      </c>
      <c r="T789" s="11"/>
      <c r="U789" s="11" t="s">
        <v>104</v>
      </c>
      <c r="V789" s="11" t="s">
        <v>105</v>
      </c>
      <c r="W789" s="11" t="s">
        <v>106</v>
      </c>
      <c r="X789" s="11"/>
      <c r="Y789" s="11"/>
      <c r="Z789" s="11"/>
      <c r="AA789" s="12">
        <v>788</v>
      </c>
      <c r="AB789" s="12"/>
      <c r="AC789" s="11" t="s">
        <v>107</v>
      </c>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row>
    <row r="790" spans="1:56" ht="42" x14ac:dyDescent="0.25">
      <c r="A790" s="11" t="s">
        <v>4232</v>
      </c>
      <c r="B790" s="11" t="s">
        <v>4233</v>
      </c>
      <c r="C790" s="11"/>
      <c r="D790" s="11" t="s">
        <v>91</v>
      </c>
      <c r="E790" s="11"/>
      <c r="F790" s="11" t="s">
        <v>473</v>
      </c>
      <c r="G790" s="11" t="s">
        <v>4212</v>
      </c>
      <c r="H790" s="11" t="s">
        <v>94</v>
      </c>
      <c r="I790" s="11" t="s">
        <v>121</v>
      </c>
      <c r="J790" s="11" t="s">
        <v>2285</v>
      </c>
      <c r="K790" s="11"/>
      <c r="L790" s="11" t="s">
        <v>4234</v>
      </c>
      <c r="M790" s="11"/>
      <c r="N790" s="11"/>
      <c r="O790" s="11"/>
      <c r="P790" s="11" t="s">
        <v>102</v>
      </c>
      <c r="Q790" s="12">
        <v>113.314063</v>
      </c>
      <c r="R790" s="13">
        <v>23.099812</v>
      </c>
      <c r="S790" s="11" t="s">
        <v>4232</v>
      </c>
      <c r="T790" s="11"/>
      <c r="U790" s="11" t="s">
        <v>104</v>
      </c>
      <c r="V790" s="11" t="s">
        <v>105</v>
      </c>
      <c r="W790" s="11" t="s">
        <v>106</v>
      </c>
      <c r="X790" s="11"/>
      <c r="Y790" s="11"/>
      <c r="Z790" s="11"/>
      <c r="AA790" s="12">
        <v>789</v>
      </c>
      <c r="AB790" s="12"/>
      <c r="AC790" s="11" t="s">
        <v>107</v>
      </c>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row>
    <row r="791" spans="1:56" ht="42" x14ac:dyDescent="0.25">
      <c r="A791" s="11" t="s">
        <v>4235</v>
      </c>
      <c r="B791" s="11" t="s">
        <v>4236</v>
      </c>
      <c r="C791" s="11"/>
      <c r="D791" s="11" t="s">
        <v>91</v>
      </c>
      <c r="E791" s="11"/>
      <c r="F791" s="11" t="s">
        <v>473</v>
      </c>
      <c r="G791" s="11" t="s">
        <v>4212</v>
      </c>
      <c r="H791" s="11" t="s">
        <v>94</v>
      </c>
      <c r="I791" s="11" t="s">
        <v>121</v>
      </c>
      <c r="J791" s="11" t="s">
        <v>737</v>
      </c>
      <c r="K791" s="11"/>
      <c r="L791" s="11" t="s">
        <v>4237</v>
      </c>
      <c r="M791" s="11"/>
      <c r="N791" s="11"/>
      <c r="O791" s="11"/>
      <c r="P791" s="11" t="s">
        <v>102</v>
      </c>
      <c r="Q791" s="12">
        <v>113.35109199999999</v>
      </c>
      <c r="R791" s="13">
        <v>23.001303</v>
      </c>
      <c r="S791" s="11" t="s">
        <v>4235</v>
      </c>
      <c r="T791" s="11"/>
      <c r="U791" s="11" t="s">
        <v>104</v>
      </c>
      <c r="V791" s="11" t="s">
        <v>105</v>
      </c>
      <c r="W791" s="11" t="s">
        <v>106</v>
      </c>
      <c r="X791" s="11"/>
      <c r="Y791" s="11"/>
      <c r="Z791" s="11"/>
      <c r="AA791" s="12">
        <v>790</v>
      </c>
      <c r="AB791" s="12"/>
      <c r="AC791" s="11" t="s">
        <v>107</v>
      </c>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row>
    <row r="792" spans="1:56" ht="42" x14ac:dyDescent="0.25">
      <c r="A792" s="11" t="s">
        <v>4238</v>
      </c>
      <c r="B792" s="11" t="s">
        <v>4239</v>
      </c>
      <c r="C792" s="11"/>
      <c r="D792" s="11" t="s">
        <v>91</v>
      </c>
      <c r="E792" s="11"/>
      <c r="F792" s="11" t="s">
        <v>473</v>
      </c>
      <c r="G792" s="11" t="s">
        <v>4212</v>
      </c>
      <c r="H792" s="11" t="s">
        <v>94</v>
      </c>
      <c r="I792" s="11" t="s">
        <v>121</v>
      </c>
      <c r="J792" s="11" t="s">
        <v>737</v>
      </c>
      <c r="K792" s="11"/>
      <c r="L792" s="11" t="s">
        <v>4240</v>
      </c>
      <c r="M792" s="11"/>
      <c r="N792" s="11"/>
      <c r="O792" s="11"/>
      <c r="P792" s="11" t="s">
        <v>102</v>
      </c>
      <c r="Q792" s="12">
        <v>113.317443</v>
      </c>
      <c r="R792" s="13">
        <v>23.022373999999999</v>
      </c>
      <c r="S792" s="11" t="s">
        <v>4238</v>
      </c>
      <c r="T792" s="11"/>
      <c r="U792" s="11" t="s">
        <v>104</v>
      </c>
      <c r="V792" s="11" t="s">
        <v>105</v>
      </c>
      <c r="W792" s="11" t="s">
        <v>106</v>
      </c>
      <c r="X792" s="11"/>
      <c r="Y792" s="11"/>
      <c r="Z792" s="11"/>
      <c r="AA792" s="12">
        <v>791</v>
      </c>
      <c r="AB792" s="12"/>
      <c r="AC792" s="11" t="s">
        <v>107</v>
      </c>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row>
    <row r="793" spans="1:56" ht="42" x14ac:dyDescent="0.25">
      <c r="A793" s="11" t="s">
        <v>4241</v>
      </c>
      <c r="B793" s="11" t="s">
        <v>4242</v>
      </c>
      <c r="C793" s="11"/>
      <c r="D793" s="11" t="s">
        <v>91</v>
      </c>
      <c r="E793" s="11"/>
      <c r="F793" s="11" t="s">
        <v>473</v>
      </c>
      <c r="G793" s="11" t="s">
        <v>4212</v>
      </c>
      <c r="H793" s="11" t="s">
        <v>94</v>
      </c>
      <c r="I793" s="11" t="s">
        <v>121</v>
      </c>
      <c r="J793" s="11" t="s">
        <v>737</v>
      </c>
      <c r="K793" s="11"/>
      <c r="L793" s="11" t="s">
        <v>4243</v>
      </c>
      <c r="M793" s="11"/>
      <c r="N793" s="11"/>
      <c r="O793" s="11"/>
      <c r="P793" s="11" t="s">
        <v>102</v>
      </c>
      <c r="Q793" s="12">
        <v>113.370802</v>
      </c>
      <c r="R793" s="13">
        <v>22.92625</v>
      </c>
      <c r="S793" s="11" t="s">
        <v>4241</v>
      </c>
      <c r="T793" s="11"/>
      <c r="U793" s="11" t="s">
        <v>104</v>
      </c>
      <c r="V793" s="11" t="s">
        <v>105</v>
      </c>
      <c r="W793" s="11" t="s">
        <v>106</v>
      </c>
      <c r="X793" s="11"/>
      <c r="Y793" s="11"/>
      <c r="Z793" s="11"/>
      <c r="AA793" s="12">
        <v>792</v>
      </c>
      <c r="AB793" s="12"/>
      <c r="AC793" s="11" t="s">
        <v>107</v>
      </c>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row>
    <row r="794" spans="1:56" ht="42" x14ac:dyDescent="0.25">
      <c r="A794" s="11" t="s">
        <v>4244</v>
      </c>
      <c r="B794" s="11" t="s">
        <v>4245</v>
      </c>
      <c r="C794" s="11"/>
      <c r="D794" s="11" t="s">
        <v>91</v>
      </c>
      <c r="E794" s="11"/>
      <c r="F794" s="11" t="s">
        <v>473</v>
      </c>
      <c r="G794" s="11" t="s">
        <v>4212</v>
      </c>
      <c r="H794" s="11" t="s">
        <v>94</v>
      </c>
      <c r="I794" s="11" t="s">
        <v>121</v>
      </c>
      <c r="J794" s="11" t="s">
        <v>971</v>
      </c>
      <c r="K794" s="11"/>
      <c r="L794" s="11" t="s">
        <v>4246</v>
      </c>
      <c r="M794" s="11"/>
      <c r="N794" s="11"/>
      <c r="O794" s="11"/>
      <c r="P794" s="11" t="s">
        <v>102</v>
      </c>
      <c r="Q794" s="12">
        <v>113.267617</v>
      </c>
      <c r="R794" s="13">
        <v>23.193049999999999</v>
      </c>
      <c r="S794" s="11" t="s">
        <v>4244</v>
      </c>
      <c r="T794" s="11"/>
      <c r="U794" s="11" t="s">
        <v>104</v>
      </c>
      <c r="V794" s="11" t="s">
        <v>105</v>
      </c>
      <c r="W794" s="11" t="s">
        <v>106</v>
      </c>
      <c r="X794" s="11"/>
      <c r="Y794" s="11"/>
      <c r="Z794" s="11"/>
      <c r="AA794" s="12">
        <v>793</v>
      </c>
      <c r="AB794" s="12"/>
      <c r="AC794" s="11" t="s">
        <v>107</v>
      </c>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row>
    <row r="795" spans="1:56" ht="42" x14ac:dyDescent="0.25">
      <c r="A795" s="11" t="s">
        <v>4247</v>
      </c>
      <c r="B795" s="11" t="s">
        <v>4248</v>
      </c>
      <c r="C795" s="11"/>
      <c r="D795" s="11" t="s">
        <v>91</v>
      </c>
      <c r="E795" s="11"/>
      <c r="F795" s="11" t="s">
        <v>473</v>
      </c>
      <c r="G795" s="11" t="s">
        <v>4249</v>
      </c>
      <c r="H795" s="11" t="s">
        <v>94</v>
      </c>
      <c r="I795" s="11" t="s">
        <v>121</v>
      </c>
      <c r="J795" s="11" t="s">
        <v>737</v>
      </c>
      <c r="K795" s="11"/>
      <c r="L795" s="11" t="s">
        <v>4250</v>
      </c>
      <c r="M795" s="11"/>
      <c r="N795" s="11"/>
      <c r="O795" s="11"/>
      <c r="P795" s="11" t="s">
        <v>102</v>
      </c>
      <c r="Q795" s="12">
        <v>113.320222</v>
      </c>
      <c r="R795" s="13">
        <v>22.968434999999999</v>
      </c>
      <c r="S795" s="11" t="s">
        <v>4247</v>
      </c>
      <c r="T795" s="11"/>
      <c r="U795" s="11" t="s">
        <v>104</v>
      </c>
      <c r="V795" s="11" t="s">
        <v>105</v>
      </c>
      <c r="W795" s="11" t="s">
        <v>106</v>
      </c>
      <c r="X795" s="11"/>
      <c r="Y795" s="11"/>
      <c r="Z795" s="11"/>
      <c r="AA795" s="12">
        <v>794</v>
      </c>
      <c r="AB795" s="12"/>
      <c r="AC795" s="11" t="s">
        <v>107</v>
      </c>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row>
    <row r="796" spans="1:56" ht="42" x14ac:dyDescent="0.25">
      <c r="A796" s="11" t="s">
        <v>4251</v>
      </c>
      <c r="B796" s="11" t="s">
        <v>4252</v>
      </c>
      <c r="C796" s="11"/>
      <c r="D796" s="11" t="s">
        <v>91</v>
      </c>
      <c r="E796" s="11"/>
      <c r="F796" s="11" t="s">
        <v>473</v>
      </c>
      <c r="G796" s="11" t="s">
        <v>4212</v>
      </c>
      <c r="H796" s="11" t="s">
        <v>94</v>
      </c>
      <c r="I796" s="11" t="s">
        <v>121</v>
      </c>
      <c r="J796" s="11" t="s">
        <v>737</v>
      </c>
      <c r="K796" s="11"/>
      <c r="L796" s="11" t="s">
        <v>4253</v>
      </c>
      <c r="M796" s="11"/>
      <c r="N796" s="11"/>
      <c r="O796" s="11"/>
      <c r="P796" s="11" t="s">
        <v>102</v>
      </c>
      <c r="Q796" s="12">
        <v>113.269632</v>
      </c>
      <c r="R796" s="13">
        <v>22.999141999999999</v>
      </c>
      <c r="S796" s="11" t="s">
        <v>4251</v>
      </c>
      <c r="T796" s="11"/>
      <c r="U796" s="11" t="s">
        <v>104</v>
      </c>
      <c r="V796" s="11" t="s">
        <v>105</v>
      </c>
      <c r="W796" s="11" t="s">
        <v>106</v>
      </c>
      <c r="X796" s="11"/>
      <c r="Y796" s="11"/>
      <c r="Z796" s="11"/>
      <c r="AA796" s="12">
        <v>795</v>
      </c>
      <c r="AB796" s="12"/>
      <c r="AC796" s="11" t="s">
        <v>107</v>
      </c>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row>
    <row r="797" spans="1:56" ht="42" x14ac:dyDescent="0.25">
      <c r="A797" s="11" t="s">
        <v>4254</v>
      </c>
      <c r="B797" s="11" t="s">
        <v>4255</v>
      </c>
      <c r="C797" s="11"/>
      <c r="D797" s="11" t="s">
        <v>91</v>
      </c>
      <c r="E797" s="11"/>
      <c r="F797" s="11" t="s">
        <v>473</v>
      </c>
      <c r="G797" s="11" t="s">
        <v>4212</v>
      </c>
      <c r="H797" s="11" t="s">
        <v>94</v>
      </c>
      <c r="I797" s="11" t="s">
        <v>121</v>
      </c>
      <c r="J797" s="11" t="s">
        <v>737</v>
      </c>
      <c r="K797" s="11"/>
      <c r="L797" s="11" t="s">
        <v>4256</v>
      </c>
      <c r="M797" s="11"/>
      <c r="N797" s="11"/>
      <c r="O797" s="11"/>
      <c r="P797" s="11" t="s">
        <v>102</v>
      </c>
      <c r="Q797" s="12">
        <v>113.387934</v>
      </c>
      <c r="R797" s="13">
        <v>23.009784</v>
      </c>
      <c r="S797" s="11" t="s">
        <v>4254</v>
      </c>
      <c r="T797" s="11"/>
      <c r="U797" s="11" t="s">
        <v>104</v>
      </c>
      <c r="V797" s="11" t="s">
        <v>105</v>
      </c>
      <c r="W797" s="11" t="s">
        <v>106</v>
      </c>
      <c r="X797" s="11"/>
      <c r="Y797" s="11"/>
      <c r="Z797" s="11"/>
      <c r="AA797" s="12">
        <v>796</v>
      </c>
      <c r="AB797" s="12"/>
      <c r="AC797" s="11" t="s">
        <v>107</v>
      </c>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row>
    <row r="798" spans="1:56" ht="42" x14ac:dyDescent="0.25">
      <c r="A798" s="11" t="s">
        <v>4257</v>
      </c>
      <c r="B798" s="11" t="s">
        <v>4258</v>
      </c>
      <c r="C798" s="11"/>
      <c r="D798" s="11" t="s">
        <v>91</v>
      </c>
      <c r="E798" s="11"/>
      <c r="F798" s="11" t="s">
        <v>473</v>
      </c>
      <c r="G798" s="11" t="s">
        <v>4212</v>
      </c>
      <c r="H798" s="11" t="s">
        <v>94</v>
      </c>
      <c r="I798" s="11" t="s">
        <v>121</v>
      </c>
      <c r="J798" s="11" t="s">
        <v>971</v>
      </c>
      <c r="K798" s="11"/>
      <c r="L798" s="11" t="s">
        <v>4259</v>
      </c>
      <c r="M798" s="11"/>
      <c r="N798" s="11"/>
      <c r="O798" s="11"/>
      <c r="P798" s="11" t="s">
        <v>102</v>
      </c>
      <c r="Q798" s="12">
        <v>113.2557</v>
      </c>
      <c r="R798" s="13">
        <v>23.163851999999999</v>
      </c>
      <c r="S798" s="11" t="s">
        <v>4257</v>
      </c>
      <c r="T798" s="11"/>
      <c r="U798" s="11" t="s">
        <v>104</v>
      </c>
      <c r="V798" s="11" t="s">
        <v>105</v>
      </c>
      <c r="W798" s="11" t="s">
        <v>106</v>
      </c>
      <c r="X798" s="11"/>
      <c r="Y798" s="11"/>
      <c r="Z798" s="11"/>
      <c r="AA798" s="12">
        <v>797</v>
      </c>
      <c r="AB798" s="12"/>
      <c r="AC798" s="11" t="s">
        <v>107</v>
      </c>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row>
    <row r="799" spans="1:56" ht="42" x14ac:dyDescent="0.25">
      <c r="A799" s="11" t="s">
        <v>4260</v>
      </c>
      <c r="B799" s="11" t="s">
        <v>4261</v>
      </c>
      <c r="C799" s="11"/>
      <c r="D799" s="11" t="s">
        <v>91</v>
      </c>
      <c r="E799" s="11"/>
      <c r="F799" s="11" t="s">
        <v>4262</v>
      </c>
      <c r="G799" s="11" t="s">
        <v>4212</v>
      </c>
      <c r="H799" s="11" t="s">
        <v>94</v>
      </c>
      <c r="I799" s="11" t="s">
        <v>121</v>
      </c>
      <c r="J799" s="11" t="s">
        <v>737</v>
      </c>
      <c r="K799" s="11"/>
      <c r="L799" s="11" t="s">
        <v>4263</v>
      </c>
      <c r="M799" s="11"/>
      <c r="N799" s="11"/>
      <c r="O799" s="11"/>
      <c r="P799" s="11" t="s">
        <v>102</v>
      </c>
      <c r="Q799" s="12">
        <v>113.36526000000001</v>
      </c>
      <c r="R799" s="13">
        <v>22.950240000000001</v>
      </c>
      <c r="S799" s="11" t="s">
        <v>4260</v>
      </c>
      <c r="T799" s="11"/>
      <c r="U799" s="11" t="s">
        <v>104</v>
      </c>
      <c r="V799" s="11" t="s">
        <v>105</v>
      </c>
      <c r="W799" s="11" t="s">
        <v>106</v>
      </c>
      <c r="X799" s="11"/>
      <c r="Y799" s="11"/>
      <c r="Z799" s="11"/>
      <c r="AA799" s="12">
        <v>798</v>
      </c>
      <c r="AB799" s="12"/>
      <c r="AC799" s="11" t="s">
        <v>107</v>
      </c>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row>
    <row r="800" spans="1:56" ht="70" x14ac:dyDescent="0.25">
      <c r="A800" s="11" t="s">
        <v>4264</v>
      </c>
      <c r="B800" s="11" t="s">
        <v>4265</v>
      </c>
      <c r="C800" s="11"/>
      <c r="D800" s="11" t="s">
        <v>91</v>
      </c>
      <c r="E800" s="11"/>
      <c r="F800" s="11" t="s">
        <v>4266</v>
      </c>
      <c r="G800" s="11" t="s">
        <v>4267</v>
      </c>
      <c r="H800" s="11" t="s">
        <v>94</v>
      </c>
      <c r="I800" s="11" t="s">
        <v>121</v>
      </c>
      <c r="J800" s="11" t="s">
        <v>145</v>
      </c>
      <c r="K800" s="11"/>
      <c r="L800" s="11" t="s">
        <v>4268</v>
      </c>
      <c r="M800" s="11"/>
      <c r="N800" s="11"/>
      <c r="O800" s="11"/>
      <c r="P800" s="11" t="s">
        <v>102</v>
      </c>
      <c r="Q800" s="12">
        <v>113.46422699999999</v>
      </c>
      <c r="R800" s="13">
        <v>22.885005</v>
      </c>
      <c r="S800" s="11" t="s">
        <v>4264</v>
      </c>
      <c r="T800" s="11"/>
      <c r="U800" s="11" t="s">
        <v>104</v>
      </c>
      <c r="V800" s="11" t="s">
        <v>105</v>
      </c>
      <c r="W800" s="11" t="s">
        <v>106</v>
      </c>
      <c r="X800" s="11"/>
      <c r="Y800" s="11"/>
      <c r="Z800" s="11"/>
      <c r="AA800" s="12">
        <v>799</v>
      </c>
      <c r="AB800" s="12"/>
      <c r="AC800" s="11" t="s">
        <v>143</v>
      </c>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row>
    <row r="801" spans="1:56" ht="70" x14ac:dyDescent="0.25">
      <c r="A801" s="11" t="s">
        <v>4269</v>
      </c>
      <c r="B801" s="11" t="s">
        <v>4270</v>
      </c>
      <c r="C801" s="11"/>
      <c r="D801" s="11" t="s">
        <v>91</v>
      </c>
      <c r="E801" s="11"/>
      <c r="F801" s="11" t="s">
        <v>4271</v>
      </c>
      <c r="G801" s="11" t="s">
        <v>2713</v>
      </c>
      <c r="H801" s="11" t="s">
        <v>94</v>
      </c>
      <c r="I801" s="11" t="s">
        <v>121</v>
      </c>
      <c r="J801" s="11" t="s">
        <v>122</v>
      </c>
      <c r="K801" s="11"/>
      <c r="L801" s="11" t="s">
        <v>4272</v>
      </c>
      <c r="M801" s="11"/>
      <c r="N801" s="11"/>
      <c r="O801" s="11"/>
      <c r="P801" s="11" t="s">
        <v>102</v>
      </c>
      <c r="Q801" s="12">
        <v>113.306603</v>
      </c>
      <c r="R801" s="13">
        <v>23.134218000000001</v>
      </c>
      <c r="S801" s="11" t="s">
        <v>4269</v>
      </c>
      <c r="T801" s="11"/>
      <c r="U801" s="11" t="s">
        <v>104</v>
      </c>
      <c r="V801" s="11" t="s">
        <v>105</v>
      </c>
      <c r="W801" s="11" t="s">
        <v>106</v>
      </c>
      <c r="X801" s="11"/>
      <c r="Y801" s="11"/>
      <c r="Z801" s="11"/>
      <c r="AA801" s="12">
        <v>800</v>
      </c>
      <c r="AB801" s="12"/>
      <c r="AC801" s="11" t="s">
        <v>107</v>
      </c>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row>
    <row r="802" spans="1:56" ht="70" x14ac:dyDescent="0.25">
      <c r="A802" s="11" t="s">
        <v>4273</v>
      </c>
      <c r="B802" s="11" t="s">
        <v>4274</v>
      </c>
      <c r="C802" s="11"/>
      <c r="D802" s="11" t="s">
        <v>91</v>
      </c>
      <c r="E802" s="11"/>
      <c r="F802" s="11" t="s">
        <v>4275</v>
      </c>
      <c r="G802" s="11" t="s">
        <v>4276</v>
      </c>
      <c r="H802" s="11" t="s">
        <v>94</v>
      </c>
      <c r="I802" s="11" t="s">
        <v>121</v>
      </c>
      <c r="J802" s="11" t="s">
        <v>2007</v>
      </c>
      <c r="K802" s="11"/>
      <c r="L802" s="11" t="s">
        <v>4277</v>
      </c>
      <c r="M802" s="11"/>
      <c r="N802" s="11"/>
      <c r="O802" s="11"/>
      <c r="P802" s="11" t="s">
        <v>102</v>
      </c>
      <c r="Q802" s="12">
        <v>113.229398</v>
      </c>
      <c r="R802" s="13">
        <v>23.081735999999999</v>
      </c>
      <c r="S802" s="11" t="s">
        <v>4273</v>
      </c>
      <c r="T802" s="11"/>
      <c r="U802" s="11" t="s">
        <v>104</v>
      </c>
      <c r="V802" s="11" t="s">
        <v>105</v>
      </c>
      <c r="W802" s="11" t="s">
        <v>106</v>
      </c>
      <c r="X802" s="11"/>
      <c r="Y802" s="11"/>
      <c r="Z802" s="11"/>
      <c r="AA802" s="12">
        <v>801</v>
      </c>
      <c r="AB802" s="12"/>
      <c r="AC802" s="11" t="s">
        <v>107</v>
      </c>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row>
    <row r="803" spans="1:56" ht="84" x14ac:dyDescent="0.25">
      <c r="A803" s="11" t="s">
        <v>4278</v>
      </c>
      <c r="B803" s="11" t="s">
        <v>4279</v>
      </c>
      <c r="C803" s="11"/>
      <c r="D803" s="11" t="s">
        <v>91</v>
      </c>
      <c r="E803" s="11"/>
      <c r="F803" s="11" t="s">
        <v>4280</v>
      </c>
      <c r="G803" s="11" t="s">
        <v>4276</v>
      </c>
      <c r="H803" s="11" t="s">
        <v>94</v>
      </c>
      <c r="I803" s="11" t="s">
        <v>121</v>
      </c>
      <c r="J803" s="11" t="s">
        <v>2285</v>
      </c>
      <c r="K803" s="11"/>
      <c r="L803" s="11" t="s">
        <v>4281</v>
      </c>
      <c r="M803" s="11"/>
      <c r="N803" s="11"/>
      <c r="O803" s="11"/>
      <c r="P803" s="11" t="s">
        <v>102</v>
      </c>
      <c r="Q803" s="12">
        <v>113.27612000000001</v>
      </c>
      <c r="R803" s="13">
        <v>23.091573</v>
      </c>
      <c r="S803" s="11" t="s">
        <v>4278</v>
      </c>
      <c r="T803" s="11"/>
      <c r="U803" s="11" t="s">
        <v>104</v>
      </c>
      <c r="V803" s="11" t="s">
        <v>105</v>
      </c>
      <c r="W803" s="11" t="s">
        <v>106</v>
      </c>
      <c r="X803" s="11"/>
      <c r="Y803" s="11"/>
      <c r="Z803" s="11"/>
      <c r="AA803" s="12">
        <v>802</v>
      </c>
      <c r="AB803" s="12"/>
      <c r="AC803" s="11" t="s">
        <v>107</v>
      </c>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row>
    <row r="804" spans="1:56" ht="84" x14ac:dyDescent="0.25">
      <c r="A804" s="11" t="s">
        <v>4282</v>
      </c>
      <c r="B804" s="11" t="s">
        <v>4283</v>
      </c>
      <c r="C804" s="11"/>
      <c r="D804" s="11" t="s">
        <v>91</v>
      </c>
      <c r="E804" s="11"/>
      <c r="F804" s="11" t="s">
        <v>4284</v>
      </c>
      <c r="G804" s="11" t="s">
        <v>4276</v>
      </c>
      <c r="H804" s="11" t="s">
        <v>94</v>
      </c>
      <c r="I804" s="11" t="s">
        <v>121</v>
      </c>
      <c r="J804" s="11" t="s">
        <v>737</v>
      </c>
      <c r="K804" s="11"/>
      <c r="L804" s="11" t="s">
        <v>4285</v>
      </c>
      <c r="M804" s="11"/>
      <c r="N804" s="11"/>
      <c r="O804" s="11"/>
      <c r="P804" s="11" t="s">
        <v>102</v>
      </c>
      <c r="Q804" s="12">
        <v>113.345963</v>
      </c>
      <c r="R804" s="13">
        <v>23.007781999999999</v>
      </c>
      <c r="S804" s="11" t="s">
        <v>4282</v>
      </c>
      <c r="T804" s="11"/>
      <c r="U804" s="11" t="s">
        <v>104</v>
      </c>
      <c r="V804" s="11" t="s">
        <v>105</v>
      </c>
      <c r="W804" s="11" t="s">
        <v>106</v>
      </c>
      <c r="X804" s="11"/>
      <c r="Y804" s="11"/>
      <c r="Z804" s="11"/>
      <c r="AA804" s="12">
        <v>803</v>
      </c>
      <c r="AB804" s="12"/>
      <c r="AC804" s="11" t="s">
        <v>107</v>
      </c>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row>
    <row r="805" spans="1:56" ht="70" x14ac:dyDescent="0.25">
      <c r="A805" s="11" t="s">
        <v>4286</v>
      </c>
      <c r="B805" s="11" t="s">
        <v>4287</v>
      </c>
      <c r="C805" s="11"/>
      <c r="D805" s="11" t="s">
        <v>91</v>
      </c>
      <c r="E805" s="11"/>
      <c r="F805" s="11" t="s">
        <v>4288</v>
      </c>
      <c r="G805" s="11" t="s">
        <v>4289</v>
      </c>
      <c r="H805" s="11" t="s">
        <v>94</v>
      </c>
      <c r="I805" s="11" t="s">
        <v>121</v>
      </c>
      <c r="J805" s="11" t="s">
        <v>737</v>
      </c>
      <c r="K805" s="11"/>
      <c r="L805" s="11" t="s">
        <v>4290</v>
      </c>
      <c r="M805" s="11"/>
      <c r="N805" s="11"/>
      <c r="O805" s="11"/>
      <c r="P805" s="11" t="s">
        <v>102</v>
      </c>
      <c r="Q805" s="12">
        <v>113.41005800000001</v>
      </c>
      <c r="R805" s="13">
        <v>23.046721999999999</v>
      </c>
      <c r="S805" s="11" t="s">
        <v>4286</v>
      </c>
      <c r="T805" s="11"/>
      <c r="U805" s="11" t="s">
        <v>104</v>
      </c>
      <c r="V805" s="11" t="s">
        <v>105</v>
      </c>
      <c r="W805" s="11" t="s">
        <v>106</v>
      </c>
      <c r="X805" s="11"/>
      <c r="Y805" s="11"/>
      <c r="Z805" s="11"/>
      <c r="AA805" s="12">
        <v>804</v>
      </c>
      <c r="AB805" s="12"/>
      <c r="AC805" s="11" t="s">
        <v>143</v>
      </c>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row>
    <row r="806" spans="1:56" ht="70" x14ac:dyDescent="0.25">
      <c r="A806" s="11" t="s">
        <v>4291</v>
      </c>
      <c r="B806" s="11" t="s">
        <v>4292</v>
      </c>
      <c r="C806" s="11"/>
      <c r="D806" s="11" t="s">
        <v>91</v>
      </c>
      <c r="E806" s="11"/>
      <c r="F806" s="11" t="s">
        <v>4293</v>
      </c>
      <c r="G806" s="11" t="s">
        <v>4294</v>
      </c>
      <c r="H806" s="11" t="s">
        <v>94</v>
      </c>
      <c r="I806" s="11" t="s">
        <v>121</v>
      </c>
      <c r="J806" s="11" t="s">
        <v>792</v>
      </c>
      <c r="K806" s="11"/>
      <c r="L806" s="11" t="s">
        <v>4295</v>
      </c>
      <c r="M806" s="11"/>
      <c r="N806" s="11"/>
      <c r="O806" s="11"/>
      <c r="P806" s="11" t="s">
        <v>102</v>
      </c>
      <c r="Q806" s="12">
        <v>113.55014799999999</v>
      </c>
      <c r="R806" s="13">
        <v>23.330257</v>
      </c>
      <c r="S806" s="11" t="s">
        <v>4291</v>
      </c>
      <c r="T806" s="11"/>
      <c r="U806" s="11" t="s">
        <v>104</v>
      </c>
      <c r="V806" s="11" t="s">
        <v>105</v>
      </c>
      <c r="W806" s="11" t="s">
        <v>106</v>
      </c>
      <c r="X806" s="11"/>
      <c r="Y806" s="11"/>
      <c r="Z806" s="11"/>
      <c r="AA806" s="12">
        <v>805</v>
      </c>
      <c r="AB806" s="12"/>
      <c r="AC806" s="11" t="s">
        <v>143</v>
      </c>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row>
    <row r="807" spans="1:56" ht="70" x14ac:dyDescent="0.25">
      <c r="A807" s="11" t="s">
        <v>4296</v>
      </c>
      <c r="B807" s="11" t="s">
        <v>4297</v>
      </c>
      <c r="C807" s="11"/>
      <c r="D807" s="11" t="s">
        <v>91</v>
      </c>
      <c r="E807" s="11"/>
      <c r="F807" s="11" t="s">
        <v>4298</v>
      </c>
      <c r="G807" s="11" t="s">
        <v>2713</v>
      </c>
      <c r="H807" s="11" t="s">
        <v>94</v>
      </c>
      <c r="I807" s="11" t="s">
        <v>121</v>
      </c>
      <c r="J807" s="11" t="s">
        <v>737</v>
      </c>
      <c r="K807" s="11"/>
      <c r="L807" s="11" t="s">
        <v>4299</v>
      </c>
      <c r="M807" s="11"/>
      <c r="N807" s="11"/>
      <c r="O807" s="11"/>
      <c r="P807" s="11" t="s">
        <v>102</v>
      </c>
      <c r="Q807" s="12">
        <v>113.347459</v>
      </c>
      <c r="R807" s="13">
        <v>22.924043000000001</v>
      </c>
      <c r="S807" s="11" t="s">
        <v>4296</v>
      </c>
      <c r="T807" s="11"/>
      <c r="U807" s="11" t="s">
        <v>104</v>
      </c>
      <c r="V807" s="11" t="s">
        <v>105</v>
      </c>
      <c r="W807" s="11" t="s">
        <v>106</v>
      </c>
      <c r="X807" s="11"/>
      <c r="Y807" s="11"/>
      <c r="Z807" s="11"/>
      <c r="AA807" s="12">
        <v>806</v>
      </c>
      <c r="AB807" s="12"/>
      <c r="AC807" s="11" t="s">
        <v>107</v>
      </c>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row>
    <row r="808" spans="1:56" ht="70" x14ac:dyDescent="0.25">
      <c r="A808" s="11" t="s">
        <v>4300</v>
      </c>
      <c r="B808" s="11" t="s">
        <v>4301</v>
      </c>
      <c r="C808" s="11"/>
      <c r="D808" s="11" t="s">
        <v>91</v>
      </c>
      <c r="E808" s="11"/>
      <c r="F808" s="11" t="s">
        <v>4302</v>
      </c>
      <c r="G808" s="11" t="s">
        <v>4303</v>
      </c>
      <c r="H808" s="11" t="s">
        <v>94</v>
      </c>
      <c r="I808" s="11" t="s">
        <v>343</v>
      </c>
      <c r="J808" s="11" t="s">
        <v>344</v>
      </c>
      <c r="K808" s="11"/>
      <c r="L808" s="11" t="s">
        <v>4304</v>
      </c>
      <c r="M808" s="11"/>
      <c r="N808" s="11"/>
      <c r="O808" s="11"/>
      <c r="P808" s="11" t="s">
        <v>102</v>
      </c>
      <c r="Q808" s="12">
        <v>113.562941</v>
      </c>
      <c r="R808" s="13">
        <v>22.283432000000001</v>
      </c>
      <c r="S808" s="11" t="s">
        <v>4300</v>
      </c>
      <c r="T808" s="11"/>
      <c r="U808" s="11" t="s">
        <v>104</v>
      </c>
      <c r="V808" s="11" t="s">
        <v>105</v>
      </c>
      <c r="W808" s="11" t="s">
        <v>106</v>
      </c>
      <c r="X808" s="11"/>
      <c r="Y808" s="11"/>
      <c r="Z808" s="11"/>
      <c r="AA808" s="12">
        <v>807</v>
      </c>
      <c r="AB808" s="12"/>
      <c r="AC808" s="11" t="s">
        <v>143</v>
      </c>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row>
    <row r="809" spans="1:56" ht="70" x14ac:dyDescent="0.25">
      <c r="A809" s="11" t="s">
        <v>4305</v>
      </c>
      <c r="B809" s="11" t="s">
        <v>4306</v>
      </c>
      <c r="C809" s="11"/>
      <c r="D809" s="11" t="s">
        <v>91</v>
      </c>
      <c r="E809" s="11"/>
      <c r="F809" s="11" t="s">
        <v>601</v>
      </c>
      <c r="G809" s="11" t="s">
        <v>4307</v>
      </c>
      <c r="H809" s="11" t="s">
        <v>94</v>
      </c>
      <c r="I809" s="11" t="s">
        <v>121</v>
      </c>
      <c r="J809" s="11" t="s">
        <v>737</v>
      </c>
      <c r="K809" s="11"/>
      <c r="L809" s="11" t="s">
        <v>4308</v>
      </c>
      <c r="M809" s="11"/>
      <c r="N809" s="11"/>
      <c r="O809" s="11"/>
      <c r="P809" s="11" t="s">
        <v>102</v>
      </c>
      <c r="Q809" s="12">
        <v>113.457407</v>
      </c>
      <c r="R809" s="13">
        <v>23.038217</v>
      </c>
      <c r="S809" s="11" t="s">
        <v>4305</v>
      </c>
      <c r="T809" s="11"/>
      <c r="U809" s="11" t="s">
        <v>104</v>
      </c>
      <c r="V809" s="11" t="s">
        <v>105</v>
      </c>
      <c r="W809" s="11" t="s">
        <v>106</v>
      </c>
      <c r="X809" s="11"/>
      <c r="Y809" s="11"/>
      <c r="Z809" s="11"/>
      <c r="AA809" s="12">
        <v>808</v>
      </c>
      <c r="AB809" s="12"/>
      <c r="AC809" s="11" t="s">
        <v>143</v>
      </c>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row>
    <row r="810" spans="1:56" ht="84" x14ac:dyDescent="0.25">
      <c r="A810" s="11" t="s">
        <v>4309</v>
      </c>
      <c r="B810" s="11" t="s">
        <v>4310</v>
      </c>
      <c r="C810" s="11"/>
      <c r="D810" s="11" t="s">
        <v>91</v>
      </c>
      <c r="E810" s="11"/>
      <c r="F810" s="11" t="s">
        <v>4311</v>
      </c>
      <c r="G810" s="11" t="s">
        <v>4312</v>
      </c>
      <c r="H810" s="11" t="s">
        <v>94</v>
      </c>
      <c r="I810" s="11" t="s">
        <v>121</v>
      </c>
      <c r="J810" s="11" t="s">
        <v>2285</v>
      </c>
      <c r="K810" s="11"/>
      <c r="L810" s="11" t="s">
        <v>4313</v>
      </c>
      <c r="M810" s="11"/>
      <c r="N810" s="11"/>
      <c r="O810" s="11"/>
      <c r="P810" s="11" t="s">
        <v>102</v>
      </c>
      <c r="Q810" s="12">
        <v>113.355997</v>
      </c>
      <c r="R810" s="13">
        <v>23.061028</v>
      </c>
      <c r="S810" s="11" t="s">
        <v>4309</v>
      </c>
      <c r="T810" s="11"/>
      <c r="U810" s="11" t="s">
        <v>104</v>
      </c>
      <c r="V810" s="11" t="s">
        <v>105</v>
      </c>
      <c r="W810" s="11" t="s">
        <v>106</v>
      </c>
      <c r="X810" s="11"/>
      <c r="Y810" s="11"/>
      <c r="Z810" s="11"/>
      <c r="AA810" s="12">
        <v>809</v>
      </c>
      <c r="AB810" s="12"/>
      <c r="AC810" s="11" t="s">
        <v>107</v>
      </c>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row>
    <row r="811" spans="1:56" ht="70" x14ac:dyDescent="0.25">
      <c r="A811" s="11" t="s">
        <v>4314</v>
      </c>
      <c r="B811" s="11" t="s">
        <v>4315</v>
      </c>
      <c r="C811" s="11"/>
      <c r="D811" s="11" t="s">
        <v>91</v>
      </c>
      <c r="E811" s="11"/>
      <c r="F811" s="11" t="s">
        <v>4316</v>
      </c>
      <c r="G811" s="11" t="s">
        <v>2713</v>
      </c>
      <c r="H811" s="11" t="s">
        <v>94</v>
      </c>
      <c r="I811" s="11" t="s">
        <v>121</v>
      </c>
      <c r="J811" s="11" t="s">
        <v>971</v>
      </c>
      <c r="K811" s="11"/>
      <c r="L811" s="11" t="s">
        <v>4317</v>
      </c>
      <c r="M811" s="11"/>
      <c r="N811" s="11"/>
      <c r="O811" s="11"/>
      <c r="P811" s="11" t="s">
        <v>102</v>
      </c>
      <c r="Q811" s="12">
        <v>113.29955099999999</v>
      </c>
      <c r="R811" s="13">
        <v>23.282525</v>
      </c>
      <c r="S811" s="11" t="s">
        <v>4314</v>
      </c>
      <c r="T811" s="11"/>
      <c r="U811" s="11" t="s">
        <v>104</v>
      </c>
      <c r="V811" s="11" t="s">
        <v>105</v>
      </c>
      <c r="W811" s="11" t="s">
        <v>106</v>
      </c>
      <c r="X811" s="11"/>
      <c r="Y811" s="11"/>
      <c r="Z811" s="11"/>
      <c r="AA811" s="12">
        <v>810</v>
      </c>
      <c r="AB811" s="12"/>
      <c r="AC811" s="11" t="s">
        <v>107</v>
      </c>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row>
    <row r="812" spans="1:56" ht="70" x14ac:dyDescent="0.25">
      <c r="A812" s="11" t="s">
        <v>4318</v>
      </c>
      <c r="B812" s="11" t="s">
        <v>4319</v>
      </c>
      <c r="C812" s="11"/>
      <c r="D812" s="11" t="s">
        <v>91</v>
      </c>
      <c r="E812" s="11" t="s">
        <v>92</v>
      </c>
      <c r="F812" s="11" t="s">
        <v>4320</v>
      </c>
      <c r="G812" s="11" t="s">
        <v>4321</v>
      </c>
      <c r="H812" s="11" t="s">
        <v>94</v>
      </c>
      <c r="I812" s="11" t="s">
        <v>121</v>
      </c>
      <c r="J812" s="11" t="s">
        <v>737</v>
      </c>
      <c r="K812" s="11"/>
      <c r="L812" s="11" t="s">
        <v>4322</v>
      </c>
      <c r="M812" s="11" t="s">
        <v>99</v>
      </c>
      <c r="N812" s="11" t="s">
        <v>174</v>
      </c>
      <c r="O812" s="11" t="s">
        <v>101</v>
      </c>
      <c r="P812" s="11" t="s">
        <v>102</v>
      </c>
      <c r="Q812" s="12">
        <v>113.46724399999999</v>
      </c>
      <c r="R812" s="13">
        <v>22.957146999999999</v>
      </c>
      <c r="S812" s="11" t="s">
        <v>4318</v>
      </c>
      <c r="T812" s="11"/>
      <c r="U812" s="11" t="s">
        <v>104</v>
      </c>
      <c r="V812" s="11" t="s">
        <v>105</v>
      </c>
      <c r="W812" s="11" t="s">
        <v>106</v>
      </c>
      <c r="X812" s="11"/>
      <c r="Y812" s="11"/>
      <c r="Z812" s="11"/>
      <c r="AA812" s="12">
        <v>811</v>
      </c>
      <c r="AB812" s="12"/>
      <c r="AC812" s="11" t="s">
        <v>143</v>
      </c>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row>
    <row r="813" spans="1:56" ht="70" x14ac:dyDescent="0.25">
      <c r="A813" s="11" t="s">
        <v>4323</v>
      </c>
      <c r="B813" s="11" t="s">
        <v>4324</v>
      </c>
      <c r="C813" s="11"/>
      <c r="D813" s="11" t="s">
        <v>91</v>
      </c>
      <c r="E813" s="11" t="s">
        <v>92</v>
      </c>
      <c r="F813" s="11" t="s">
        <v>4325</v>
      </c>
      <c r="G813" s="11" t="s">
        <v>4321</v>
      </c>
      <c r="H813" s="11" t="s">
        <v>94</v>
      </c>
      <c r="I813" s="11" t="s">
        <v>95</v>
      </c>
      <c r="J813" s="11" t="s">
        <v>96</v>
      </c>
      <c r="K813" s="11"/>
      <c r="L813" s="11" t="s">
        <v>4326</v>
      </c>
      <c r="M813" s="11" t="s">
        <v>133</v>
      </c>
      <c r="N813" s="11" t="s">
        <v>174</v>
      </c>
      <c r="O813" s="11" t="s">
        <v>101</v>
      </c>
      <c r="P813" s="11" t="s">
        <v>102</v>
      </c>
      <c r="Q813" s="12">
        <v>113.202292</v>
      </c>
      <c r="R813" s="13">
        <v>23.015937000000001</v>
      </c>
      <c r="S813" s="11" t="s">
        <v>4323</v>
      </c>
      <c r="T813" s="11"/>
      <c r="U813" s="11" t="s">
        <v>104</v>
      </c>
      <c r="V813" s="11" t="s">
        <v>105</v>
      </c>
      <c r="W813" s="11" t="s">
        <v>106</v>
      </c>
      <c r="X813" s="11"/>
      <c r="Y813" s="11"/>
      <c r="Z813" s="11"/>
      <c r="AA813" s="12">
        <v>812</v>
      </c>
      <c r="AB813" s="12"/>
      <c r="AC813" s="11" t="s">
        <v>107</v>
      </c>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row>
    <row r="814" spans="1:56" ht="42" x14ac:dyDescent="0.25">
      <c r="A814" s="11" t="s">
        <v>4327</v>
      </c>
      <c r="B814" s="11" t="s">
        <v>4328</v>
      </c>
      <c r="C814" s="11"/>
      <c r="D814" s="11" t="s">
        <v>91</v>
      </c>
      <c r="E814" s="11"/>
      <c r="F814" s="11" t="s">
        <v>349</v>
      </c>
      <c r="G814" s="11" t="s">
        <v>4329</v>
      </c>
      <c r="H814" s="11" t="s">
        <v>94</v>
      </c>
      <c r="I814" s="11" t="s">
        <v>121</v>
      </c>
      <c r="J814" s="11" t="s">
        <v>799</v>
      </c>
      <c r="K814" s="11"/>
      <c r="L814" s="11" t="s">
        <v>4330</v>
      </c>
      <c r="M814" s="11"/>
      <c r="N814" s="11"/>
      <c r="O814" s="11"/>
      <c r="P814" s="11" t="s">
        <v>102</v>
      </c>
      <c r="Q814" s="12">
        <v>113.248582</v>
      </c>
      <c r="R814" s="13">
        <v>23.343769999999999</v>
      </c>
      <c r="S814" s="11" t="s">
        <v>4327</v>
      </c>
      <c r="T814" s="11"/>
      <c r="U814" s="11" t="s">
        <v>104</v>
      </c>
      <c r="V814" s="11" t="s">
        <v>105</v>
      </c>
      <c r="W814" s="11" t="s">
        <v>106</v>
      </c>
      <c r="X814" s="11"/>
      <c r="Y814" s="11"/>
      <c r="Z814" s="11"/>
      <c r="AA814" s="12">
        <v>813</v>
      </c>
      <c r="AB814" s="12"/>
      <c r="AC814" s="11" t="s">
        <v>107</v>
      </c>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row>
    <row r="815" spans="1:56" ht="56" x14ac:dyDescent="0.25">
      <c r="A815" s="11" t="s">
        <v>4331</v>
      </c>
      <c r="B815" s="11" t="s">
        <v>4332</v>
      </c>
      <c r="C815" s="11"/>
      <c r="D815" s="11" t="s">
        <v>91</v>
      </c>
      <c r="E815" s="11"/>
      <c r="F815" s="11" t="s">
        <v>601</v>
      </c>
      <c r="G815" s="11" t="s">
        <v>4333</v>
      </c>
      <c r="H815" s="11" t="s">
        <v>94</v>
      </c>
      <c r="I815" s="11" t="s">
        <v>95</v>
      </c>
      <c r="J815" s="11" t="s">
        <v>1087</v>
      </c>
      <c r="K815" s="11"/>
      <c r="L815" s="11" t="s">
        <v>4334</v>
      </c>
      <c r="M815" s="11"/>
      <c r="N815" s="11"/>
      <c r="O815" s="11"/>
      <c r="P815" s="11" t="s">
        <v>102</v>
      </c>
      <c r="Q815" s="12">
        <v>113.10396299999999</v>
      </c>
      <c r="R815" s="13">
        <v>23.018022999999999</v>
      </c>
      <c r="S815" s="11" t="s">
        <v>4331</v>
      </c>
      <c r="T815" s="11"/>
      <c r="U815" s="11" t="s">
        <v>104</v>
      </c>
      <c r="V815" s="11" t="s">
        <v>105</v>
      </c>
      <c r="W815" s="11" t="s">
        <v>106</v>
      </c>
      <c r="X815" s="11"/>
      <c r="Y815" s="11"/>
      <c r="Z815" s="11"/>
      <c r="AA815" s="12">
        <v>814</v>
      </c>
      <c r="AB815" s="12"/>
      <c r="AC815" s="11" t="s">
        <v>107</v>
      </c>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row>
    <row r="816" spans="1:56" ht="56" x14ac:dyDescent="0.25">
      <c r="A816" s="11" t="s">
        <v>4335</v>
      </c>
      <c r="B816" s="11" t="s">
        <v>4336</v>
      </c>
      <c r="C816" s="11"/>
      <c r="D816" s="11" t="s">
        <v>91</v>
      </c>
      <c r="E816" s="11"/>
      <c r="F816" s="11" t="s">
        <v>601</v>
      </c>
      <c r="G816" s="11" t="s">
        <v>4337</v>
      </c>
      <c r="H816" s="11" t="s">
        <v>94</v>
      </c>
      <c r="I816" s="11" t="s">
        <v>121</v>
      </c>
      <c r="J816" s="11" t="s">
        <v>737</v>
      </c>
      <c r="K816" s="11"/>
      <c r="L816" s="11" t="s">
        <v>4338</v>
      </c>
      <c r="M816" s="11"/>
      <c r="N816" s="11"/>
      <c r="O816" s="11"/>
      <c r="P816" s="11" t="s">
        <v>102</v>
      </c>
      <c r="Q816" s="12">
        <v>113.31013299999999</v>
      </c>
      <c r="R816" s="13">
        <v>22.970310999999999</v>
      </c>
      <c r="S816" s="11" t="s">
        <v>4335</v>
      </c>
      <c r="T816" s="11"/>
      <c r="U816" s="11" t="s">
        <v>104</v>
      </c>
      <c r="V816" s="11" t="s">
        <v>105</v>
      </c>
      <c r="W816" s="11" t="s">
        <v>106</v>
      </c>
      <c r="X816" s="11"/>
      <c r="Y816" s="11"/>
      <c r="Z816" s="11"/>
      <c r="AA816" s="12">
        <v>815</v>
      </c>
      <c r="AB816" s="12"/>
      <c r="AC816" s="11" t="s">
        <v>107</v>
      </c>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row>
    <row r="817" spans="1:56" ht="56" x14ac:dyDescent="0.25">
      <c r="A817" s="11" t="s">
        <v>4339</v>
      </c>
      <c r="B817" s="11" t="s">
        <v>4340</v>
      </c>
      <c r="C817" s="11"/>
      <c r="D817" s="11" t="s">
        <v>91</v>
      </c>
      <c r="E817" s="11"/>
      <c r="F817" s="11" t="s">
        <v>601</v>
      </c>
      <c r="G817" s="11" t="s">
        <v>4341</v>
      </c>
      <c r="H817" s="11" t="s">
        <v>94</v>
      </c>
      <c r="I817" s="11" t="s">
        <v>121</v>
      </c>
      <c r="J817" s="11" t="s">
        <v>122</v>
      </c>
      <c r="K817" s="11"/>
      <c r="L817" s="11" t="s">
        <v>4342</v>
      </c>
      <c r="M817" s="11" t="s">
        <v>99</v>
      </c>
      <c r="N817" s="11"/>
      <c r="O817" s="11"/>
      <c r="P817" s="11" t="s">
        <v>102</v>
      </c>
      <c r="Q817" s="12">
        <v>113.41419</v>
      </c>
      <c r="R817" s="13">
        <v>23.167580999999998</v>
      </c>
      <c r="S817" s="11" t="s">
        <v>4339</v>
      </c>
      <c r="T817" s="11"/>
      <c r="U817" s="11" t="s">
        <v>104</v>
      </c>
      <c r="V817" s="11" t="s">
        <v>105</v>
      </c>
      <c r="W817" s="11" t="s">
        <v>106</v>
      </c>
      <c r="X817" s="11"/>
      <c r="Y817" s="11"/>
      <c r="Z817" s="11"/>
      <c r="AA817" s="12">
        <v>816</v>
      </c>
      <c r="AB817" s="12"/>
      <c r="AC817" s="11" t="s">
        <v>107</v>
      </c>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row>
    <row r="818" spans="1:56" ht="56" x14ac:dyDescent="0.25">
      <c r="A818" s="11" t="s">
        <v>4343</v>
      </c>
      <c r="B818" s="11" t="s">
        <v>4344</v>
      </c>
      <c r="C818" s="11"/>
      <c r="D818" s="11" t="s">
        <v>91</v>
      </c>
      <c r="E818" s="11"/>
      <c r="F818" s="11" t="s">
        <v>601</v>
      </c>
      <c r="G818" s="11" t="s">
        <v>4345</v>
      </c>
      <c r="H818" s="11" t="s">
        <v>94</v>
      </c>
      <c r="I818" s="11" t="s">
        <v>121</v>
      </c>
      <c r="J818" s="11" t="s">
        <v>737</v>
      </c>
      <c r="K818" s="11"/>
      <c r="L818" s="11" t="s">
        <v>4346</v>
      </c>
      <c r="M818" s="11"/>
      <c r="N818" s="11"/>
      <c r="O818" s="11"/>
      <c r="P818" s="11" t="s">
        <v>102</v>
      </c>
      <c r="Q818" s="12">
        <v>113.479556</v>
      </c>
      <c r="R818" s="13">
        <v>22.959982</v>
      </c>
      <c r="S818" s="11" t="s">
        <v>4343</v>
      </c>
      <c r="T818" s="11"/>
      <c r="U818" s="11" t="s">
        <v>104</v>
      </c>
      <c r="V818" s="11" t="s">
        <v>105</v>
      </c>
      <c r="W818" s="11" t="s">
        <v>106</v>
      </c>
      <c r="X818" s="11"/>
      <c r="Y818" s="11"/>
      <c r="Z818" s="11"/>
      <c r="AA818" s="12">
        <v>817</v>
      </c>
      <c r="AB818" s="12"/>
      <c r="AC818" s="11" t="s">
        <v>107</v>
      </c>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row>
    <row r="819" spans="1:56" ht="56" x14ac:dyDescent="0.25">
      <c r="A819" s="11" t="s">
        <v>4347</v>
      </c>
      <c r="B819" s="11" t="s">
        <v>4348</v>
      </c>
      <c r="C819" s="11"/>
      <c r="D819" s="11" t="s">
        <v>91</v>
      </c>
      <c r="E819" s="11"/>
      <c r="F819" s="11" t="s">
        <v>601</v>
      </c>
      <c r="G819" s="11" t="s">
        <v>4349</v>
      </c>
      <c r="H819" s="11" t="s">
        <v>94</v>
      </c>
      <c r="I819" s="11" t="s">
        <v>3494</v>
      </c>
      <c r="J819" s="11" t="s">
        <v>3495</v>
      </c>
      <c r="K819" s="11"/>
      <c r="L819" s="11" t="s">
        <v>4350</v>
      </c>
      <c r="M819" s="11"/>
      <c r="N819" s="11"/>
      <c r="O819" s="11"/>
      <c r="P819" s="11" t="s">
        <v>102</v>
      </c>
      <c r="Q819" s="12">
        <v>113.024967</v>
      </c>
      <c r="R819" s="13">
        <v>23.714328999999999</v>
      </c>
      <c r="S819" s="11" t="s">
        <v>4347</v>
      </c>
      <c r="T819" s="11"/>
      <c r="U819" s="11" t="s">
        <v>104</v>
      </c>
      <c r="V819" s="11" t="s">
        <v>105</v>
      </c>
      <c r="W819" s="11" t="s">
        <v>106</v>
      </c>
      <c r="X819" s="11"/>
      <c r="Y819" s="11"/>
      <c r="Z819" s="11"/>
      <c r="AA819" s="12">
        <v>818</v>
      </c>
      <c r="AB819" s="12"/>
      <c r="AC819" s="11" t="s">
        <v>107</v>
      </c>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row>
    <row r="820" spans="1:56" ht="56" x14ac:dyDescent="0.25">
      <c r="A820" s="11" t="s">
        <v>3682</v>
      </c>
      <c r="B820" s="11" t="s">
        <v>4351</v>
      </c>
      <c r="C820" s="11"/>
      <c r="D820" s="11" t="s">
        <v>91</v>
      </c>
      <c r="E820" s="11"/>
      <c r="F820" s="11" t="s">
        <v>601</v>
      </c>
      <c r="G820" s="11" t="s">
        <v>4352</v>
      </c>
      <c r="H820" s="11" t="s">
        <v>94</v>
      </c>
      <c r="I820" s="11" t="s">
        <v>121</v>
      </c>
      <c r="J820" s="11" t="s">
        <v>122</v>
      </c>
      <c r="K820" s="11"/>
      <c r="L820" s="11" t="s">
        <v>4353</v>
      </c>
      <c r="M820" s="11"/>
      <c r="N820" s="11"/>
      <c r="O820" s="11"/>
      <c r="P820" s="11" t="s">
        <v>102</v>
      </c>
      <c r="Q820" s="12">
        <v>113.387912</v>
      </c>
      <c r="R820" s="13">
        <v>23.125734000000001</v>
      </c>
      <c r="S820" s="11" t="s">
        <v>3682</v>
      </c>
      <c r="T820" s="11"/>
      <c r="U820" s="11" t="s">
        <v>104</v>
      </c>
      <c r="V820" s="11" t="s">
        <v>105</v>
      </c>
      <c r="W820" s="11" t="s">
        <v>106</v>
      </c>
      <c r="X820" s="11"/>
      <c r="Y820" s="11"/>
      <c r="Z820" s="11"/>
      <c r="AA820" s="12">
        <v>819</v>
      </c>
      <c r="AB820" s="12"/>
      <c r="AC820" s="11" t="s">
        <v>107</v>
      </c>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row>
    <row r="821" spans="1:56" ht="56" x14ac:dyDescent="0.25">
      <c r="A821" s="11" t="s">
        <v>4354</v>
      </c>
      <c r="B821" s="11" t="s">
        <v>4355</v>
      </c>
      <c r="C821" s="11"/>
      <c r="D821" s="11" t="s">
        <v>91</v>
      </c>
      <c r="E821" s="11"/>
      <c r="F821" s="11" t="s">
        <v>601</v>
      </c>
      <c r="G821" s="11" t="s">
        <v>4356</v>
      </c>
      <c r="H821" s="11" t="s">
        <v>94</v>
      </c>
      <c r="I821" s="11" t="s">
        <v>121</v>
      </c>
      <c r="J821" s="11" t="s">
        <v>971</v>
      </c>
      <c r="K821" s="11"/>
      <c r="L821" s="11" t="s">
        <v>4357</v>
      </c>
      <c r="M821" s="11"/>
      <c r="N821" s="11"/>
      <c r="O821" s="11"/>
      <c r="P821" s="11" t="s">
        <v>102</v>
      </c>
      <c r="Q821" s="12">
        <v>113.36486600000001</v>
      </c>
      <c r="R821" s="13">
        <v>23.29543</v>
      </c>
      <c r="S821" s="11" t="s">
        <v>4354</v>
      </c>
      <c r="T821" s="11"/>
      <c r="U821" s="11" t="s">
        <v>104</v>
      </c>
      <c r="V821" s="11" t="s">
        <v>105</v>
      </c>
      <c r="W821" s="11" t="s">
        <v>106</v>
      </c>
      <c r="X821" s="11"/>
      <c r="Y821" s="11"/>
      <c r="Z821" s="11"/>
      <c r="AA821" s="12">
        <v>820</v>
      </c>
      <c r="AB821" s="12"/>
      <c r="AC821" s="11" t="s">
        <v>107</v>
      </c>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row>
    <row r="822" spans="1:56" ht="56" x14ac:dyDescent="0.25">
      <c r="A822" s="11" t="s">
        <v>4358</v>
      </c>
      <c r="B822" s="11" t="s">
        <v>4359</v>
      </c>
      <c r="C822" s="11"/>
      <c r="D822" s="11" t="s">
        <v>91</v>
      </c>
      <c r="E822" s="11"/>
      <c r="F822" s="11" t="s">
        <v>601</v>
      </c>
      <c r="G822" s="11" t="s">
        <v>4360</v>
      </c>
      <c r="H822" s="11" t="s">
        <v>94</v>
      </c>
      <c r="I822" s="11" t="s">
        <v>121</v>
      </c>
      <c r="J822" s="11" t="s">
        <v>737</v>
      </c>
      <c r="K822" s="11"/>
      <c r="L822" s="11" t="s">
        <v>4361</v>
      </c>
      <c r="M822" s="11"/>
      <c r="N822" s="11"/>
      <c r="O822" s="11"/>
      <c r="P822" s="11" t="s">
        <v>102</v>
      </c>
      <c r="Q822" s="12">
        <v>113.35619699999999</v>
      </c>
      <c r="R822" s="13">
        <v>22.946192</v>
      </c>
      <c r="S822" s="11" t="s">
        <v>4358</v>
      </c>
      <c r="T822" s="11"/>
      <c r="U822" s="11" t="s">
        <v>104</v>
      </c>
      <c r="V822" s="11" t="s">
        <v>105</v>
      </c>
      <c r="W822" s="11" t="s">
        <v>106</v>
      </c>
      <c r="X822" s="11"/>
      <c r="Y822" s="11"/>
      <c r="Z822" s="11"/>
      <c r="AA822" s="12">
        <v>821</v>
      </c>
      <c r="AB822" s="12"/>
      <c r="AC822" s="11" t="s">
        <v>107</v>
      </c>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row>
    <row r="823" spans="1:56" ht="56" x14ac:dyDescent="0.25">
      <c r="A823" s="11" t="s">
        <v>4362</v>
      </c>
      <c r="B823" s="11" t="s">
        <v>4363</v>
      </c>
      <c r="C823" s="11"/>
      <c r="D823" s="11" t="s">
        <v>91</v>
      </c>
      <c r="E823" s="11"/>
      <c r="F823" s="11" t="s">
        <v>601</v>
      </c>
      <c r="G823" s="11" t="s">
        <v>4364</v>
      </c>
      <c r="H823" s="11" t="s">
        <v>94</v>
      </c>
      <c r="I823" s="11" t="s">
        <v>121</v>
      </c>
      <c r="J823" s="11" t="s">
        <v>971</v>
      </c>
      <c r="K823" s="11"/>
      <c r="L823" s="11" t="s">
        <v>4365</v>
      </c>
      <c r="M823" s="11"/>
      <c r="N823" s="11"/>
      <c r="O823" s="11"/>
      <c r="P823" s="11" t="s">
        <v>102</v>
      </c>
      <c r="Q823" s="12">
        <v>113.22667199999999</v>
      </c>
      <c r="R823" s="13">
        <v>23.220502</v>
      </c>
      <c r="S823" s="11" t="s">
        <v>4362</v>
      </c>
      <c r="T823" s="11"/>
      <c r="U823" s="11" t="s">
        <v>104</v>
      </c>
      <c r="V823" s="11" t="s">
        <v>105</v>
      </c>
      <c r="W823" s="11" t="s">
        <v>106</v>
      </c>
      <c r="X823" s="11"/>
      <c r="Y823" s="11"/>
      <c r="Z823" s="11"/>
      <c r="AA823" s="12">
        <v>822</v>
      </c>
      <c r="AB823" s="12"/>
      <c r="AC823" s="11" t="s">
        <v>107</v>
      </c>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row>
    <row r="824" spans="1:56" ht="56" x14ac:dyDescent="0.25">
      <c r="A824" s="11" t="s">
        <v>4366</v>
      </c>
      <c r="B824" s="11" t="s">
        <v>4367</v>
      </c>
      <c r="C824" s="11"/>
      <c r="D824" s="11" t="s">
        <v>91</v>
      </c>
      <c r="E824" s="11"/>
      <c r="F824" s="11" t="s">
        <v>601</v>
      </c>
      <c r="G824" s="11" t="s">
        <v>4368</v>
      </c>
      <c r="H824" s="11" t="s">
        <v>94</v>
      </c>
      <c r="I824" s="11" t="s">
        <v>722</v>
      </c>
      <c r="J824" s="11" t="s">
        <v>730</v>
      </c>
      <c r="K824" s="11"/>
      <c r="L824" s="11" t="s">
        <v>4369</v>
      </c>
      <c r="M824" s="11"/>
      <c r="N824" s="11"/>
      <c r="O824" s="11"/>
      <c r="P824" s="11" t="s">
        <v>102</v>
      </c>
      <c r="Q824" s="12">
        <v>113.601195</v>
      </c>
      <c r="R824" s="13">
        <v>24.804411000000002</v>
      </c>
      <c r="S824" s="11" t="s">
        <v>4366</v>
      </c>
      <c r="T824" s="11"/>
      <c r="U824" s="11" t="s">
        <v>104</v>
      </c>
      <c r="V824" s="11" t="s">
        <v>105</v>
      </c>
      <c r="W824" s="11" t="s">
        <v>106</v>
      </c>
      <c r="X824" s="11"/>
      <c r="Y824" s="11"/>
      <c r="Z824" s="11"/>
      <c r="AA824" s="12">
        <v>823</v>
      </c>
      <c r="AB824" s="12"/>
      <c r="AC824" s="11" t="s">
        <v>107</v>
      </c>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row>
    <row r="825" spans="1:56" ht="56" x14ac:dyDescent="0.25">
      <c r="A825" s="11" t="s">
        <v>4370</v>
      </c>
      <c r="B825" s="11" t="s">
        <v>4371</v>
      </c>
      <c r="C825" s="11"/>
      <c r="D825" s="11" t="s">
        <v>91</v>
      </c>
      <c r="E825" s="11"/>
      <c r="F825" s="11" t="s">
        <v>601</v>
      </c>
      <c r="G825" s="11" t="s">
        <v>4372</v>
      </c>
      <c r="H825" s="11" t="s">
        <v>94</v>
      </c>
      <c r="I825" s="11" t="s">
        <v>121</v>
      </c>
      <c r="J825" s="11" t="s">
        <v>971</v>
      </c>
      <c r="K825" s="11"/>
      <c r="L825" s="11" t="s">
        <v>4373</v>
      </c>
      <c r="M825" s="11"/>
      <c r="N825" s="11"/>
      <c r="O825" s="11"/>
      <c r="P825" s="11" t="s">
        <v>102</v>
      </c>
      <c r="Q825" s="12">
        <v>113.300325</v>
      </c>
      <c r="R825" s="13">
        <v>23.332239000000001</v>
      </c>
      <c r="S825" s="11" t="s">
        <v>4370</v>
      </c>
      <c r="T825" s="11"/>
      <c r="U825" s="11" t="s">
        <v>104</v>
      </c>
      <c r="V825" s="11" t="s">
        <v>105</v>
      </c>
      <c r="W825" s="11" t="s">
        <v>106</v>
      </c>
      <c r="X825" s="11"/>
      <c r="Y825" s="11"/>
      <c r="Z825" s="11"/>
      <c r="AA825" s="12">
        <v>824</v>
      </c>
      <c r="AB825" s="12"/>
      <c r="AC825" s="11" t="s">
        <v>107</v>
      </c>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row>
    <row r="826" spans="1:56" ht="56" x14ac:dyDescent="0.25">
      <c r="A826" s="11" t="s">
        <v>4374</v>
      </c>
      <c r="B826" s="11" t="s">
        <v>4375</v>
      </c>
      <c r="C826" s="11"/>
      <c r="D826" s="11" t="s">
        <v>91</v>
      </c>
      <c r="E826" s="11"/>
      <c r="F826" s="11" t="s">
        <v>601</v>
      </c>
      <c r="G826" s="11" t="s">
        <v>4376</v>
      </c>
      <c r="H826" s="11" t="s">
        <v>94</v>
      </c>
      <c r="I826" s="11" t="s">
        <v>3494</v>
      </c>
      <c r="J826" s="11" t="s">
        <v>3495</v>
      </c>
      <c r="K826" s="11"/>
      <c r="L826" s="11" t="s">
        <v>4377</v>
      </c>
      <c r="M826" s="11"/>
      <c r="N826" s="11"/>
      <c r="O826" s="11"/>
      <c r="P826" s="11" t="s">
        <v>102</v>
      </c>
      <c r="Q826" s="12">
        <v>113.063462</v>
      </c>
      <c r="R826" s="13">
        <v>23.678142999999999</v>
      </c>
      <c r="S826" s="11" t="s">
        <v>4374</v>
      </c>
      <c r="T826" s="11"/>
      <c r="U826" s="11" t="s">
        <v>104</v>
      </c>
      <c r="V826" s="11" t="s">
        <v>105</v>
      </c>
      <c r="W826" s="11" t="s">
        <v>106</v>
      </c>
      <c r="X826" s="11"/>
      <c r="Y826" s="11"/>
      <c r="Z826" s="11"/>
      <c r="AA826" s="12">
        <v>825</v>
      </c>
      <c r="AB826" s="12"/>
      <c r="AC826" s="11" t="s">
        <v>107</v>
      </c>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row>
    <row r="827" spans="1:56" ht="56" x14ac:dyDescent="0.25">
      <c r="A827" s="11" t="s">
        <v>4378</v>
      </c>
      <c r="B827" s="11" t="s">
        <v>4379</v>
      </c>
      <c r="C827" s="11"/>
      <c r="D827" s="11" t="s">
        <v>91</v>
      </c>
      <c r="E827" s="11"/>
      <c r="F827" s="11" t="s">
        <v>601</v>
      </c>
      <c r="G827" s="11" t="s">
        <v>4380</v>
      </c>
      <c r="H827" s="11" t="s">
        <v>94</v>
      </c>
      <c r="I827" s="11" t="s">
        <v>121</v>
      </c>
      <c r="J827" s="11" t="s">
        <v>971</v>
      </c>
      <c r="K827" s="11"/>
      <c r="L827" s="11" t="s">
        <v>4381</v>
      </c>
      <c r="M827" s="11"/>
      <c r="N827" s="11"/>
      <c r="O827" s="11"/>
      <c r="P827" s="11" t="s">
        <v>102</v>
      </c>
      <c r="Q827" s="12">
        <v>113.326368</v>
      </c>
      <c r="R827" s="13">
        <v>23.266293000000001</v>
      </c>
      <c r="S827" s="11" t="s">
        <v>4378</v>
      </c>
      <c r="T827" s="11"/>
      <c r="U827" s="11" t="s">
        <v>104</v>
      </c>
      <c r="V827" s="11" t="s">
        <v>105</v>
      </c>
      <c r="W827" s="11" t="s">
        <v>106</v>
      </c>
      <c r="X827" s="11"/>
      <c r="Y827" s="11"/>
      <c r="Z827" s="11"/>
      <c r="AA827" s="12">
        <v>826</v>
      </c>
      <c r="AB827" s="12"/>
      <c r="AC827" s="11" t="s">
        <v>107</v>
      </c>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row>
    <row r="828" spans="1:56" ht="56" x14ac:dyDescent="0.25">
      <c r="A828" s="11" t="s">
        <v>4382</v>
      </c>
      <c r="B828" s="11" t="s">
        <v>4383</v>
      </c>
      <c r="C828" s="11"/>
      <c r="D828" s="11" t="s">
        <v>91</v>
      </c>
      <c r="E828" s="11"/>
      <c r="F828" s="11" t="s">
        <v>601</v>
      </c>
      <c r="G828" s="11" t="s">
        <v>4384</v>
      </c>
      <c r="H828" s="11" t="s">
        <v>94</v>
      </c>
      <c r="I828" s="11" t="s">
        <v>121</v>
      </c>
      <c r="J828" s="11" t="s">
        <v>971</v>
      </c>
      <c r="K828" s="11"/>
      <c r="L828" s="11" t="s">
        <v>4385</v>
      </c>
      <c r="M828" s="11"/>
      <c r="N828" s="11"/>
      <c r="O828" s="11"/>
      <c r="P828" s="11" t="s">
        <v>102</v>
      </c>
      <c r="Q828" s="12">
        <v>113.22859200000001</v>
      </c>
      <c r="R828" s="13">
        <v>23.275213999999998</v>
      </c>
      <c r="S828" s="11" t="s">
        <v>4382</v>
      </c>
      <c r="T828" s="11"/>
      <c r="U828" s="11" t="s">
        <v>104</v>
      </c>
      <c r="V828" s="11" t="s">
        <v>105</v>
      </c>
      <c r="W828" s="11" t="s">
        <v>106</v>
      </c>
      <c r="X828" s="11"/>
      <c r="Y828" s="11"/>
      <c r="Z828" s="11"/>
      <c r="AA828" s="12">
        <v>827</v>
      </c>
      <c r="AB828" s="12"/>
      <c r="AC828" s="11" t="s">
        <v>107</v>
      </c>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row>
    <row r="829" spans="1:56" ht="56" x14ac:dyDescent="0.25">
      <c r="A829" s="11" t="s">
        <v>4386</v>
      </c>
      <c r="B829" s="11" t="s">
        <v>4387</v>
      </c>
      <c r="C829" s="11"/>
      <c r="D829" s="11" t="s">
        <v>91</v>
      </c>
      <c r="E829" s="11"/>
      <c r="F829" s="11" t="s">
        <v>601</v>
      </c>
      <c r="G829" s="11" t="s">
        <v>4388</v>
      </c>
      <c r="H829" s="11" t="s">
        <v>94</v>
      </c>
      <c r="I829" s="11" t="s">
        <v>121</v>
      </c>
      <c r="J829" s="11" t="s">
        <v>971</v>
      </c>
      <c r="K829" s="11"/>
      <c r="L829" s="11" t="s">
        <v>4389</v>
      </c>
      <c r="M829" s="11"/>
      <c r="N829" s="11"/>
      <c r="O829" s="11"/>
      <c r="P829" s="11" t="s">
        <v>102</v>
      </c>
      <c r="Q829" s="12">
        <v>113.283879</v>
      </c>
      <c r="R829" s="13">
        <v>23.239329000000001</v>
      </c>
      <c r="S829" s="11" t="s">
        <v>4386</v>
      </c>
      <c r="T829" s="11"/>
      <c r="U829" s="11" t="s">
        <v>104</v>
      </c>
      <c r="V829" s="11" t="s">
        <v>105</v>
      </c>
      <c r="W829" s="11" t="s">
        <v>106</v>
      </c>
      <c r="X829" s="11"/>
      <c r="Y829" s="11"/>
      <c r="Z829" s="11"/>
      <c r="AA829" s="12">
        <v>828</v>
      </c>
      <c r="AB829" s="12"/>
      <c r="AC829" s="11" t="s">
        <v>107</v>
      </c>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row>
    <row r="830" spans="1:56" ht="56" x14ac:dyDescent="0.25">
      <c r="A830" s="11" t="s">
        <v>4390</v>
      </c>
      <c r="B830" s="11" t="s">
        <v>4391</v>
      </c>
      <c r="C830" s="11"/>
      <c r="D830" s="11" t="s">
        <v>91</v>
      </c>
      <c r="E830" s="11"/>
      <c r="F830" s="11" t="s">
        <v>601</v>
      </c>
      <c r="G830" s="11" t="s">
        <v>4392</v>
      </c>
      <c r="H830" s="11" t="s">
        <v>94</v>
      </c>
      <c r="I830" s="11" t="s">
        <v>121</v>
      </c>
      <c r="J830" s="11" t="s">
        <v>971</v>
      </c>
      <c r="K830" s="11"/>
      <c r="L830" s="11" t="s">
        <v>4393</v>
      </c>
      <c r="M830" s="11"/>
      <c r="N830" s="11"/>
      <c r="O830" s="11"/>
      <c r="P830" s="11" t="s">
        <v>102</v>
      </c>
      <c r="Q830" s="12">
        <v>113.27384000000001</v>
      </c>
      <c r="R830" s="13">
        <v>23.217131999999999</v>
      </c>
      <c r="S830" s="11" t="s">
        <v>4390</v>
      </c>
      <c r="T830" s="11"/>
      <c r="U830" s="11" t="s">
        <v>104</v>
      </c>
      <c r="V830" s="11" t="s">
        <v>105</v>
      </c>
      <c r="W830" s="11" t="s">
        <v>106</v>
      </c>
      <c r="X830" s="11"/>
      <c r="Y830" s="11"/>
      <c r="Z830" s="11"/>
      <c r="AA830" s="12">
        <v>829</v>
      </c>
      <c r="AB830" s="12"/>
      <c r="AC830" s="11" t="s">
        <v>107</v>
      </c>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row>
    <row r="831" spans="1:56" ht="56" x14ac:dyDescent="0.25">
      <c r="A831" s="11" t="s">
        <v>4394</v>
      </c>
      <c r="B831" s="11" t="s">
        <v>4395</v>
      </c>
      <c r="C831" s="11"/>
      <c r="D831" s="11" t="s">
        <v>91</v>
      </c>
      <c r="E831" s="11"/>
      <c r="F831" s="11" t="s">
        <v>601</v>
      </c>
      <c r="G831" s="11" t="s">
        <v>4396</v>
      </c>
      <c r="H831" s="11" t="s">
        <v>94</v>
      </c>
      <c r="I831" s="11" t="s">
        <v>121</v>
      </c>
      <c r="J831" s="11" t="s">
        <v>799</v>
      </c>
      <c r="K831" s="11"/>
      <c r="L831" s="11" t="s">
        <v>4397</v>
      </c>
      <c r="M831" s="11"/>
      <c r="N831" s="11"/>
      <c r="O831" s="11"/>
      <c r="P831" s="11" t="s">
        <v>102</v>
      </c>
      <c r="Q831" s="12">
        <v>113.211112</v>
      </c>
      <c r="R831" s="13">
        <v>23.404395000000001</v>
      </c>
      <c r="S831" s="11" t="s">
        <v>4394</v>
      </c>
      <c r="T831" s="11"/>
      <c r="U831" s="11" t="s">
        <v>104</v>
      </c>
      <c r="V831" s="11" t="s">
        <v>105</v>
      </c>
      <c r="W831" s="11" t="s">
        <v>106</v>
      </c>
      <c r="X831" s="11"/>
      <c r="Y831" s="11"/>
      <c r="Z831" s="11"/>
      <c r="AA831" s="12">
        <v>830</v>
      </c>
      <c r="AB831" s="12"/>
      <c r="AC831" s="11" t="s">
        <v>107</v>
      </c>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row>
    <row r="832" spans="1:56" ht="56" x14ac:dyDescent="0.25">
      <c r="A832" s="11" t="s">
        <v>4398</v>
      </c>
      <c r="B832" s="11" t="s">
        <v>4399</v>
      </c>
      <c r="C832" s="11"/>
      <c r="D832" s="11" t="s">
        <v>91</v>
      </c>
      <c r="E832" s="11"/>
      <c r="F832" s="11" t="s">
        <v>601</v>
      </c>
      <c r="G832" s="11" t="s">
        <v>4400</v>
      </c>
      <c r="H832" s="11" t="s">
        <v>94</v>
      </c>
      <c r="I832" s="11" t="s">
        <v>121</v>
      </c>
      <c r="J832" s="11" t="s">
        <v>2285</v>
      </c>
      <c r="K832" s="11"/>
      <c r="L832" s="11" t="s">
        <v>4401</v>
      </c>
      <c r="M832" s="11"/>
      <c r="N832" s="11"/>
      <c r="O832" s="11"/>
      <c r="P832" s="11" t="s">
        <v>102</v>
      </c>
      <c r="Q832" s="12">
        <v>113.267354</v>
      </c>
      <c r="R832" s="13">
        <v>23.079249000000001</v>
      </c>
      <c r="S832" s="11" t="s">
        <v>4398</v>
      </c>
      <c r="T832" s="11"/>
      <c r="U832" s="11" t="s">
        <v>104</v>
      </c>
      <c r="V832" s="11" t="s">
        <v>105</v>
      </c>
      <c r="W832" s="11" t="s">
        <v>106</v>
      </c>
      <c r="X832" s="11"/>
      <c r="Y832" s="11"/>
      <c r="Z832" s="11"/>
      <c r="AA832" s="12">
        <v>831</v>
      </c>
      <c r="AB832" s="12"/>
      <c r="AC832" s="11" t="s">
        <v>107</v>
      </c>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row>
    <row r="833" spans="1:56" ht="56" x14ac:dyDescent="0.25">
      <c r="A833" s="11" t="s">
        <v>4402</v>
      </c>
      <c r="B833" s="11" t="s">
        <v>4403</v>
      </c>
      <c r="C833" s="11"/>
      <c r="D833" s="11" t="s">
        <v>91</v>
      </c>
      <c r="E833" s="11"/>
      <c r="F833" s="11" t="s">
        <v>601</v>
      </c>
      <c r="G833" s="11" t="s">
        <v>4404</v>
      </c>
      <c r="H833" s="11" t="s">
        <v>94</v>
      </c>
      <c r="I833" s="11" t="s">
        <v>121</v>
      </c>
      <c r="J833" s="11" t="s">
        <v>2007</v>
      </c>
      <c r="K833" s="11"/>
      <c r="L833" s="11" t="s">
        <v>4405</v>
      </c>
      <c r="M833" s="11"/>
      <c r="N833" s="11"/>
      <c r="O833" s="11"/>
      <c r="P833" s="11" t="s">
        <v>102</v>
      </c>
      <c r="Q833" s="12">
        <v>113.227693</v>
      </c>
      <c r="R833" s="13">
        <v>23.080030000000001</v>
      </c>
      <c r="S833" s="11" t="s">
        <v>4402</v>
      </c>
      <c r="T833" s="11"/>
      <c r="U833" s="11" t="s">
        <v>104</v>
      </c>
      <c r="V833" s="11" t="s">
        <v>105</v>
      </c>
      <c r="W833" s="11" t="s">
        <v>106</v>
      </c>
      <c r="X833" s="11"/>
      <c r="Y833" s="11"/>
      <c r="Z833" s="11"/>
      <c r="AA833" s="12">
        <v>832</v>
      </c>
      <c r="AB833" s="12"/>
      <c r="AC833" s="11" t="s">
        <v>107</v>
      </c>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row>
    <row r="834" spans="1:56" ht="56" x14ac:dyDescent="0.25">
      <c r="A834" s="11" t="s">
        <v>4406</v>
      </c>
      <c r="B834" s="11" t="s">
        <v>4407</v>
      </c>
      <c r="C834" s="11"/>
      <c r="D834" s="11" t="s">
        <v>91</v>
      </c>
      <c r="E834" s="11"/>
      <c r="F834" s="11" t="s">
        <v>601</v>
      </c>
      <c r="G834" s="11" t="s">
        <v>4408</v>
      </c>
      <c r="H834" s="11" t="s">
        <v>94</v>
      </c>
      <c r="I834" s="11" t="s">
        <v>2470</v>
      </c>
      <c r="J834" s="11" t="s">
        <v>3417</v>
      </c>
      <c r="K834" s="11"/>
      <c r="L834" s="11" t="s">
        <v>4409</v>
      </c>
      <c r="M834" s="11"/>
      <c r="N834" s="11"/>
      <c r="O834" s="11"/>
      <c r="P834" s="11" t="s">
        <v>102</v>
      </c>
      <c r="Q834" s="12">
        <v>112.49321500000001</v>
      </c>
      <c r="R834" s="13">
        <v>23.071097000000002</v>
      </c>
      <c r="S834" s="11" t="s">
        <v>4406</v>
      </c>
      <c r="T834" s="11"/>
      <c r="U834" s="11" t="s">
        <v>104</v>
      </c>
      <c r="V834" s="11" t="s">
        <v>105</v>
      </c>
      <c r="W834" s="11" t="s">
        <v>106</v>
      </c>
      <c r="X834" s="11"/>
      <c r="Y834" s="11"/>
      <c r="Z834" s="11"/>
      <c r="AA834" s="12">
        <v>833</v>
      </c>
      <c r="AB834" s="12"/>
      <c r="AC834" s="11" t="s">
        <v>107</v>
      </c>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row>
    <row r="835" spans="1:56" ht="56" x14ac:dyDescent="0.25">
      <c r="A835" s="11" t="s">
        <v>4410</v>
      </c>
      <c r="B835" s="11" t="s">
        <v>4411</v>
      </c>
      <c r="C835" s="11"/>
      <c r="D835" s="11" t="s">
        <v>91</v>
      </c>
      <c r="E835" s="11"/>
      <c r="F835" s="11" t="s">
        <v>601</v>
      </c>
      <c r="G835" s="11" t="s">
        <v>4412</v>
      </c>
      <c r="H835" s="11" t="s">
        <v>94</v>
      </c>
      <c r="I835" s="11" t="s">
        <v>121</v>
      </c>
      <c r="J835" s="11" t="s">
        <v>971</v>
      </c>
      <c r="K835" s="11"/>
      <c r="L835" s="11" t="s">
        <v>4413</v>
      </c>
      <c r="M835" s="11"/>
      <c r="N835" s="11"/>
      <c r="O835" s="11"/>
      <c r="P835" s="11" t="s">
        <v>102</v>
      </c>
      <c r="Q835" s="12">
        <v>113.352891</v>
      </c>
      <c r="R835" s="13">
        <v>23.237348999999998</v>
      </c>
      <c r="S835" s="11" t="s">
        <v>4410</v>
      </c>
      <c r="T835" s="11"/>
      <c r="U835" s="11" t="s">
        <v>104</v>
      </c>
      <c r="V835" s="11" t="s">
        <v>105</v>
      </c>
      <c r="W835" s="11" t="s">
        <v>106</v>
      </c>
      <c r="X835" s="11"/>
      <c r="Y835" s="11"/>
      <c r="Z835" s="11"/>
      <c r="AA835" s="12">
        <v>834</v>
      </c>
      <c r="AB835" s="12"/>
      <c r="AC835" s="11" t="s">
        <v>107</v>
      </c>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row>
    <row r="836" spans="1:56" ht="56" x14ac:dyDescent="0.25">
      <c r="A836" s="11" t="s">
        <v>4414</v>
      </c>
      <c r="B836" s="11" t="s">
        <v>4415</v>
      </c>
      <c r="C836" s="11"/>
      <c r="D836" s="11" t="s">
        <v>91</v>
      </c>
      <c r="E836" s="11"/>
      <c r="F836" s="11" t="s">
        <v>601</v>
      </c>
      <c r="G836" s="11" t="s">
        <v>4416</v>
      </c>
      <c r="H836" s="11" t="s">
        <v>94</v>
      </c>
      <c r="I836" s="11" t="s">
        <v>121</v>
      </c>
      <c r="J836" s="11" t="s">
        <v>792</v>
      </c>
      <c r="K836" s="11"/>
      <c r="L836" s="11" t="s">
        <v>4417</v>
      </c>
      <c r="M836" s="11"/>
      <c r="N836" s="11"/>
      <c r="O836" s="11"/>
      <c r="P836" s="11" t="s">
        <v>102</v>
      </c>
      <c r="Q836" s="12">
        <v>113.442891</v>
      </c>
      <c r="R836" s="13">
        <v>23.107398</v>
      </c>
      <c r="S836" s="11" t="s">
        <v>4414</v>
      </c>
      <c r="T836" s="11"/>
      <c r="U836" s="11" t="s">
        <v>104</v>
      </c>
      <c r="V836" s="11" t="s">
        <v>105</v>
      </c>
      <c r="W836" s="11" t="s">
        <v>106</v>
      </c>
      <c r="X836" s="11"/>
      <c r="Y836" s="11"/>
      <c r="Z836" s="11"/>
      <c r="AA836" s="12">
        <v>835</v>
      </c>
      <c r="AB836" s="12"/>
      <c r="AC836" s="11" t="s">
        <v>107</v>
      </c>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row>
    <row r="837" spans="1:56" ht="56" x14ac:dyDescent="0.25">
      <c r="A837" s="11" t="s">
        <v>4418</v>
      </c>
      <c r="B837" s="11" t="s">
        <v>4419</v>
      </c>
      <c r="C837" s="11"/>
      <c r="D837" s="11" t="s">
        <v>91</v>
      </c>
      <c r="E837" s="11"/>
      <c r="F837" s="11" t="s">
        <v>601</v>
      </c>
      <c r="G837" s="11" t="s">
        <v>4420</v>
      </c>
      <c r="H837" s="11" t="s">
        <v>94</v>
      </c>
      <c r="I837" s="11" t="s">
        <v>95</v>
      </c>
      <c r="J837" s="11" t="s">
        <v>1087</v>
      </c>
      <c r="K837" s="11"/>
      <c r="L837" s="11" t="s">
        <v>4421</v>
      </c>
      <c r="M837" s="11"/>
      <c r="N837" s="11"/>
      <c r="O837" s="11"/>
      <c r="P837" s="11" t="s">
        <v>102</v>
      </c>
      <c r="Q837" s="12">
        <v>113.09816600000001</v>
      </c>
      <c r="R837" s="13">
        <v>22.986398000000001</v>
      </c>
      <c r="S837" s="11" t="s">
        <v>4418</v>
      </c>
      <c r="T837" s="11"/>
      <c r="U837" s="11" t="s">
        <v>104</v>
      </c>
      <c r="V837" s="11" t="s">
        <v>105</v>
      </c>
      <c r="W837" s="11" t="s">
        <v>106</v>
      </c>
      <c r="X837" s="11"/>
      <c r="Y837" s="11"/>
      <c r="Z837" s="11"/>
      <c r="AA837" s="12">
        <v>836</v>
      </c>
      <c r="AB837" s="12"/>
      <c r="AC837" s="11" t="s">
        <v>107</v>
      </c>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row>
    <row r="838" spans="1:56" ht="56" x14ac:dyDescent="0.25">
      <c r="A838" s="11" t="s">
        <v>4422</v>
      </c>
      <c r="B838" s="11" t="s">
        <v>4423</v>
      </c>
      <c r="C838" s="11"/>
      <c r="D838" s="11" t="s">
        <v>91</v>
      </c>
      <c r="E838" s="11"/>
      <c r="F838" s="11" t="s">
        <v>601</v>
      </c>
      <c r="G838" s="11" t="s">
        <v>4424</v>
      </c>
      <c r="H838" s="11" t="s">
        <v>94</v>
      </c>
      <c r="I838" s="11" t="s">
        <v>121</v>
      </c>
      <c r="J838" s="11" t="s">
        <v>737</v>
      </c>
      <c r="K838" s="11"/>
      <c r="L838" s="11" t="s">
        <v>4425</v>
      </c>
      <c r="M838" s="11"/>
      <c r="N838" s="11"/>
      <c r="O838" s="11"/>
      <c r="P838" s="11" t="s">
        <v>102</v>
      </c>
      <c r="Q838" s="12">
        <v>113.382148</v>
      </c>
      <c r="R838" s="13">
        <v>23.011517999999999</v>
      </c>
      <c r="S838" s="11" t="s">
        <v>4422</v>
      </c>
      <c r="T838" s="11"/>
      <c r="U838" s="11" t="s">
        <v>104</v>
      </c>
      <c r="V838" s="11" t="s">
        <v>105</v>
      </c>
      <c r="W838" s="11" t="s">
        <v>106</v>
      </c>
      <c r="X838" s="11"/>
      <c r="Y838" s="11"/>
      <c r="Z838" s="11"/>
      <c r="AA838" s="12">
        <v>837</v>
      </c>
      <c r="AB838" s="12"/>
      <c r="AC838" s="11" t="s">
        <v>107</v>
      </c>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row>
    <row r="839" spans="1:56" ht="56" x14ac:dyDescent="0.25">
      <c r="A839" s="11" t="s">
        <v>4426</v>
      </c>
      <c r="B839" s="11" t="s">
        <v>4427</v>
      </c>
      <c r="C839" s="11"/>
      <c r="D839" s="11" t="s">
        <v>91</v>
      </c>
      <c r="E839" s="11"/>
      <c r="F839" s="11" t="s">
        <v>601</v>
      </c>
      <c r="G839" s="11" t="s">
        <v>4428</v>
      </c>
      <c r="H839" s="11" t="s">
        <v>94</v>
      </c>
      <c r="I839" s="11" t="s">
        <v>121</v>
      </c>
      <c r="J839" s="11" t="s">
        <v>971</v>
      </c>
      <c r="K839" s="11"/>
      <c r="L839" s="11" t="s">
        <v>4429</v>
      </c>
      <c r="M839" s="11"/>
      <c r="N839" s="11"/>
      <c r="O839" s="11"/>
      <c r="P839" s="11" t="s">
        <v>102</v>
      </c>
      <c r="Q839" s="12">
        <v>113.23652800000001</v>
      </c>
      <c r="R839" s="13">
        <v>23.174334999999999</v>
      </c>
      <c r="S839" s="11" t="s">
        <v>4426</v>
      </c>
      <c r="T839" s="11"/>
      <c r="U839" s="11" t="s">
        <v>104</v>
      </c>
      <c r="V839" s="11" t="s">
        <v>105</v>
      </c>
      <c r="W839" s="11" t="s">
        <v>106</v>
      </c>
      <c r="X839" s="11"/>
      <c r="Y839" s="11"/>
      <c r="Z839" s="11"/>
      <c r="AA839" s="12">
        <v>838</v>
      </c>
      <c r="AB839" s="12"/>
      <c r="AC839" s="11" t="s">
        <v>107</v>
      </c>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row>
    <row r="840" spans="1:56" ht="56" x14ac:dyDescent="0.25">
      <c r="A840" s="11" t="s">
        <v>4430</v>
      </c>
      <c r="B840" s="11" t="s">
        <v>4431</v>
      </c>
      <c r="C840" s="11"/>
      <c r="D840" s="11" t="s">
        <v>91</v>
      </c>
      <c r="E840" s="11"/>
      <c r="F840" s="11" t="s">
        <v>4432</v>
      </c>
      <c r="G840" s="11" t="s">
        <v>3514</v>
      </c>
      <c r="H840" s="11" t="s">
        <v>94</v>
      </c>
      <c r="I840" s="11" t="s">
        <v>121</v>
      </c>
      <c r="J840" s="11" t="s">
        <v>971</v>
      </c>
      <c r="K840" s="11"/>
      <c r="L840" s="11" t="s">
        <v>4433</v>
      </c>
      <c r="M840" s="11"/>
      <c r="N840" s="11"/>
      <c r="O840" s="11"/>
      <c r="P840" s="11" t="s">
        <v>102</v>
      </c>
      <c r="Q840" s="12">
        <v>113.24561300000001</v>
      </c>
      <c r="R840" s="13">
        <v>23.178992999999998</v>
      </c>
      <c r="S840" s="11" t="s">
        <v>4430</v>
      </c>
      <c r="T840" s="11"/>
      <c r="U840" s="11" t="s">
        <v>104</v>
      </c>
      <c r="V840" s="11" t="s">
        <v>105</v>
      </c>
      <c r="W840" s="11" t="s">
        <v>106</v>
      </c>
      <c r="X840" s="11"/>
      <c r="Y840" s="11"/>
      <c r="Z840" s="11"/>
      <c r="AA840" s="12">
        <v>839</v>
      </c>
      <c r="AB840" s="12"/>
      <c r="AC840" s="11" t="s">
        <v>107</v>
      </c>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row>
    <row r="841" spans="1:56" ht="56" x14ac:dyDescent="0.25">
      <c r="A841" s="11" t="s">
        <v>4434</v>
      </c>
      <c r="B841" s="11" t="s">
        <v>4435</v>
      </c>
      <c r="C841" s="11"/>
      <c r="D841" s="11" t="s">
        <v>91</v>
      </c>
      <c r="E841" s="11"/>
      <c r="F841" s="11" t="s">
        <v>4436</v>
      </c>
      <c r="G841" s="11" t="s">
        <v>3514</v>
      </c>
      <c r="H841" s="11" t="s">
        <v>94</v>
      </c>
      <c r="I841" s="11" t="s">
        <v>121</v>
      </c>
      <c r="J841" s="11" t="s">
        <v>792</v>
      </c>
      <c r="K841" s="11"/>
      <c r="L841" s="11" t="s">
        <v>4437</v>
      </c>
      <c r="M841" s="11"/>
      <c r="N841" s="11"/>
      <c r="O841" s="11"/>
      <c r="P841" s="11" t="s">
        <v>102</v>
      </c>
      <c r="Q841" s="12">
        <v>113.550781</v>
      </c>
      <c r="R841" s="13">
        <v>23.322979</v>
      </c>
      <c r="S841" s="11" t="s">
        <v>4434</v>
      </c>
      <c r="T841" s="11"/>
      <c r="U841" s="11" t="s">
        <v>104</v>
      </c>
      <c r="V841" s="11" t="s">
        <v>105</v>
      </c>
      <c r="W841" s="11" t="s">
        <v>106</v>
      </c>
      <c r="X841" s="11"/>
      <c r="Y841" s="11"/>
      <c r="Z841" s="11"/>
      <c r="AA841" s="12">
        <v>840</v>
      </c>
      <c r="AB841" s="12"/>
      <c r="AC841" s="11" t="s">
        <v>107</v>
      </c>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row>
    <row r="842" spans="1:56" ht="56" x14ac:dyDescent="0.25">
      <c r="A842" s="11" t="s">
        <v>4438</v>
      </c>
      <c r="B842" s="11" t="s">
        <v>4439</v>
      </c>
      <c r="C842" s="11"/>
      <c r="D842" s="11" t="s">
        <v>91</v>
      </c>
      <c r="E842" s="11"/>
      <c r="F842" s="11" t="s">
        <v>4440</v>
      </c>
      <c r="G842" s="11" t="s">
        <v>3514</v>
      </c>
      <c r="H842" s="11" t="s">
        <v>94</v>
      </c>
      <c r="I842" s="11" t="s">
        <v>121</v>
      </c>
      <c r="J842" s="11" t="s">
        <v>971</v>
      </c>
      <c r="K842" s="11"/>
      <c r="L842" s="11" t="s">
        <v>4441</v>
      </c>
      <c r="M842" s="11"/>
      <c r="N842" s="11"/>
      <c r="O842" s="11"/>
      <c r="P842" s="11" t="s">
        <v>102</v>
      </c>
      <c r="Q842" s="12">
        <v>113.40188999999999</v>
      </c>
      <c r="R842" s="13">
        <v>23.380915999999999</v>
      </c>
      <c r="S842" s="11" t="s">
        <v>4438</v>
      </c>
      <c r="T842" s="11"/>
      <c r="U842" s="11" t="s">
        <v>104</v>
      </c>
      <c r="V842" s="11" t="s">
        <v>105</v>
      </c>
      <c r="W842" s="11" t="s">
        <v>106</v>
      </c>
      <c r="X842" s="11"/>
      <c r="Y842" s="11"/>
      <c r="Z842" s="11"/>
      <c r="AA842" s="12">
        <v>841</v>
      </c>
      <c r="AB842" s="12"/>
      <c r="AC842" s="11" t="s">
        <v>107</v>
      </c>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row>
    <row r="843" spans="1:56" ht="70" x14ac:dyDescent="0.25">
      <c r="A843" s="11" t="s">
        <v>4442</v>
      </c>
      <c r="B843" s="11" t="s">
        <v>4443</v>
      </c>
      <c r="C843" s="11"/>
      <c r="D843" s="11" t="s">
        <v>91</v>
      </c>
      <c r="E843" s="11"/>
      <c r="F843" s="11" t="s">
        <v>601</v>
      </c>
      <c r="G843" s="11" t="s">
        <v>4444</v>
      </c>
      <c r="H843" s="11" t="s">
        <v>94</v>
      </c>
      <c r="I843" s="11" t="s">
        <v>121</v>
      </c>
      <c r="J843" s="11" t="s">
        <v>2343</v>
      </c>
      <c r="K843" s="11"/>
      <c r="L843" s="11" t="s">
        <v>4445</v>
      </c>
      <c r="M843" s="11"/>
      <c r="N843" s="11"/>
      <c r="O843" s="11"/>
      <c r="P843" s="11" t="s">
        <v>102</v>
      </c>
      <c r="Q843" s="12">
        <v>113.58819</v>
      </c>
      <c r="R843" s="13">
        <v>23.548468</v>
      </c>
      <c r="S843" s="11" t="s">
        <v>4442</v>
      </c>
      <c r="T843" s="11"/>
      <c r="U843" s="11" t="s">
        <v>104</v>
      </c>
      <c r="V843" s="11" t="s">
        <v>105</v>
      </c>
      <c r="W843" s="11" t="s">
        <v>106</v>
      </c>
      <c r="X843" s="11"/>
      <c r="Y843" s="11"/>
      <c r="Z843" s="11"/>
      <c r="AA843" s="12">
        <v>842</v>
      </c>
      <c r="AB843" s="12"/>
      <c r="AC843" s="11" t="s">
        <v>107</v>
      </c>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row>
    <row r="844" spans="1:56" ht="56" x14ac:dyDescent="0.25">
      <c r="A844" s="11" t="s">
        <v>4446</v>
      </c>
      <c r="B844" s="11" t="s">
        <v>4447</v>
      </c>
      <c r="C844" s="11"/>
      <c r="D844" s="11" t="s">
        <v>91</v>
      </c>
      <c r="E844" s="11"/>
      <c r="F844" s="11" t="s">
        <v>4448</v>
      </c>
      <c r="G844" s="11" t="s">
        <v>4449</v>
      </c>
      <c r="H844" s="11" t="s">
        <v>94</v>
      </c>
      <c r="I844" s="11" t="s">
        <v>121</v>
      </c>
      <c r="J844" s="11" t="s">
        <v>799</v>
      </c>
      <c r="K844" s="11"/>
      <c r="L844" s="11" t="s">
        <v>4450</v>
      </c>
      <c r="M844" s="11"/>
      <c r="N844" s="11"/>
      <c r="O844" s="11"/>
      <c r="P844" s="11" t="s">
        <v>102</v>
      </c>
      <c r="Q844" s="12">
        <v>113.243765</v>
      </c>
      <c r="R844" s="13">
        <v>23.378001999999999</v>
      </c>
      <c r="S844" s="11" t="s">
        <v>4446</v>
      </c>
      <c r="T844" s="11"/>
      <c r="U844" s="11" t="s">
        <v>104</v>
      </c>
      <c r="V844" s="11" t="s">
        <v>105</v>
      </c>
      <c r="W844" s="11" t="s">
        <v>106</v>
      </c>
      <c r="X844" s="11"/>
      <c r="Y844" s="11"/>
      <c r="Z844" s="11"/>
      <c r="AA844" s="12">
        <v>843</v>
      </c>
      <c r="AB844" s="12"/>
      <c r="AC844" s="11" t="s">
        <v>107</v>
      </c>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row>
    <row r="845" spans="1:56" ht="56" x14ac:dyDescent="0.25">
      <c r="A845" s="11" t="s">
        <v>4451</v>
      </c>
      <c r="B845" s="11" t="s">
        <v>4452</v>
      </c>
      <c r="C845" s="11"/>
      <c r="D845" s="11" t="s">
        <v>91</v>
      </c>
      <c r="E845" s="11"/>
      <c r="F845" s="11" t="s">
        <v>4453</v>
      </c>
      <c r="G845" s="11" t="s">
        <v>2465</v>
      </c>
      <c r="H845" s="11" t="s">
        <v>94</v>
      </c>
      <c r="I845" s="11" t="s">
        <v>121</v>
      </c>
      <c r="J845" s="11" t="s">
        <v>971</v>
      </c>
      <c r="K845" s="11"/>
      <c r="L845" s="11" t="s">
        <v>4454</v>
      </c>
      <c r="M845" s="11"/>
      <c r="N845" s="11"/>
      <c r="O845" s="11"/>
      <c r="P845" s="11" t="s">
        <v>102</v>
      </c>
      <c r="Q845" s="12">
        <v>113.348975</v>
      </c>
      <c r="R845" s="13">
        <v>23.250975</v>
      </c>
      <c r="S845" s="11" t="s">
        <v>4451</v>
      </c>
      <c r="T845" s="11"/>
      <c r="U845" s="11" t="s">
        <v>104</v>
      </c>
      <c r="V845" s="11" t="s">
        <v>105</v>
      </c>
      <c r="W845" s="11" t="s">
        <v>106</v>
      </c>
      <c r="X845" s="11"/>
      <c r="Y845" s="11"/>
      <c r="Z845" s="11"/>
      <c r="AA845" s="12">
        <v>844</v>
      </c>
      <c r="AB845" s="12"/>
      <c r="AC845" s="11" t="s">
        <v>107</v>
      </c>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row>
    <row r="846" spans="1:56" ht="56" x14ac:dyDescent="0.25">
      <c r="A846" s="11" t="s">
        <v>4455</v>
      </c>
      <c r="B846" s="11" t="s">
        <v>4456</v>
      </c>
      <c r="C846" s="11"/>
      <c r="D846" s="11" t="s">
        <v>91</v>
      </c>
      <c r="E846" s="11"/>
      <c r="F846" s="11" t="s">
        <v>4457</v>
      </c>
      <c r="G846" s="11" t="s">
        <v>4458</v>
      </c>
      <c r="H846" s="11" t="s">
        <v>94</v>
      </c>
      <c r="I846" s="11" t="s">
        <v>121</v>
      </c>
      <c r="J846" s="11" t="s">
        <v>2343</v>
      </c>
      <c r="K846" s="11"/>
      <c r="L846" s="11" t="s">
        <v>4459</v>
      </c>
      <c r="M846" s="11"/>
      <c r="N846" s="11"/>
      <c r="O846" s="11"/>
      <c r="P846" s="11" t="s">
        <v>102</v>
      </c>
      <c r="Q846" s="12">
        <v>113.48464300000001</v>
      </c>
      <c r="R846" s="13">
        <v>23.433018000000001</v>
      </c>
      <c r="S846" s="11" t="s">
        <v>4455</v>
      </c>
      <c r="T846" s="11"/>
      <c r="U846" s="11" t="s">
        <v>104</v>
      </c>
      <c r="V846" s="11" t="s">
        <v>105</v>
      </c>
      <c r="W846" s="11" t="s">
        <v>106</v>
      </c>
      <c r="X846" s="11"/>
      <c r="Y846" s="11"/>
      <c r="Z846" s="11"/>
      <c r="AA846" s="12">
        <v>845</v>
      </c>
      <c r="AB846" s="12"/>
      <c r="AC846" s="11" t="s">
        <v>107</v>
      </c>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row>
    <row r="847" spans="1:56" ht="56" x14ac:dyDescent="0.25">
      <c r="A847" s="11" t="s">
        <v>4460</v>
      </c>
      <c r="B847" s="11" t="s">
        <v>4461</v>
      </c>
      <c r="C847" s="11"/>
      <c r="D847" s="11" t="s">
        <v>91</v>
      </c>
      <c r="E847" s="11"/>
      <c r="F847" s="11" t="s">
        <v>4462</v>
      </c>
      <c r="G847" s="11" t="s">
        <v>4412</v>
      </c>
      <c r="H847" s="11" t="s">
        <v>94</v>
      </c>
      <c r="I847" s="11" t="s">
        <v>121</v>
      </c>
      <c r="J847" s="11" t="s">
        <v>799</v>
      </c>
      <c r="K847" s="11"/>
      <c r="L847" s="11" t="s">
        <v>4463</v>
      </c>
      <c r="M847" s="11"/>
      <c r="N847" s="11"/>
      <c r="O847" s="11"/>
      <c r="P847" s="11" t="s">
        <v>102</v>
      </c>
      <c r="Q847" s="12">
        <v>113.32319</v>
      </c>
      <c r="R847" s="13">
        <v>23.43412</v>
      </c>
      <c r="S847" s="11" t="s">
        <v>4460</v>
      </c>
      <c r="T847" s="11"/>
      <c r="U847" s="11" t="s">
        <v>104</v>
      </c>
      <c r="V847" s="11" t="s">
        <v>105</v>
      </c>
      <c r="W847" s="11" t="s">
        <v>106</v>
      </c>
      <c r="X847" s="11"/>
      <c r="Y847" s="11"/>
      <c r="Z847" s="11"/>
      <c r="AA847" s="12">
        <v>846</v>
      </c>
      <c r="AB847" s="12"/>
      <c r="AC847" s="11" t="s">
        <v>107</v>
      </c>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row>
    <row r="848" spans="1:56" ht="56" x14ac:dyDescent="0.25">
      <c r="A848" s="11" t="s">
        <v>4464</v>
      </c>
      <c r="B848" s="11" t="s">
        <v>4465</v>
      </c>
      <c r="C848" s="11"/>
      <c r="D848" s="11" t="s">
        <v>91</v>
      </c>
      <c r="E848" s="11"/>
      <c r="F848" s="11" t="s">
        <v>4466</v>
      </c>
      <c r="G848" s="11" t="s">
        <v>4360</v>
      </c>
      <c r="H848" s="11" t="s">
        <v>94</v>
      </c>
      <c r="I848" s="11" t="s">
        <v>121</v>
      </c>
      <c r="J848" s="11" t="s">
        <v>799</v>
      </c>
      <c r="K848" s="11"/>
      <c r="L848" s="11" t="s">
        <v>4467</v>
      </c>
      <c r="M848" s="11"/>
      <c r="N848" s="11"/>
      <c r="O848" s="11"/>
      <c r="P848" s="11" t="s">
        <v>102</v>
      </c>
      <c r="Q848" s="12">
        <v>113.176506</v>
      </c>
      <c r="R848" s="13">
        <v>23.460919000000001</v>
      </c>
      <c r="S848" s="11" t="s">
        <v>4464</v>
      </c>
      <c r="T848" s="11"/>
      <c r="U848" s="11" t="s">
        <v>104</v>
      </c>
      <c r="V848" s="11" t="s">
        <v>105</v>
      </c>
      <c r="W848" s="11" t="s">
        <v>106</v>
      </c>
      <c r="X848" s="11"/>
      <c r="Y848" s="11"/>
      <c r="Z848" s="11"/>
      <c r="AA848" s="12">
        <v>847</v>
      </c>
      <c r="AB848" s="12"/>
      <c r="AC848" s="11" t="s">
        <v>107</v>
      </c>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row>
    <row r="849" spans="1:56" ht="56" x14ac:dyDescent="0.25">
      <c r="A849" s="11" t="s">
        <v>4468</v>
      </c>
      <c r="B849" s="11" t="s">
        <v>4469</v>
      </c>
      <c r="C849" s="11"/>
      <c r="D849" s="11" t="s">
        <v>91</v>
      </c>
      <c r="E849" s="11"/>
      <c r="F849" s="11" t="s">
        <v>4470</v>
      </c>
      <c r="G849" s="11" t="s">
        <v>4471</v>
      </c>
      <c r="H849" s="11" t="s">
        <v>94</v>
      </c>
      <c r="I849" s="11" t="s">
        <v>121</v>
      </c>
      <c r="J849" s="11" t="s">
        <v>799</v>
      </c>
      <c r="K849" s="11"/>
      <c r="L849" s="11" t="s">
        <v>4472</v>
      </c>
      <c r="M849" s="11"/>
      <c r="N849" s="11"/>
      <c r="O849" s="11"/>
      <c r="P849" s="11" t="s">
        <v>102</v>
      </c>
      <c r="Q849" s="12">
        <v>113.19657100000001</v>
      </c>
      <c r="R849" s="13">
        <v>23.378696000000001</v>
      </c>
      <c r="S849" s="11" t="s">
        <v>4468</v>
      </c>
      <c r="T849" s="11"/>
      <c r="U849" s="11" t="s">
        <v>104</v>
      </c>
      <c r="V849" s="11" t="s">
        <v>105</v>
      </c>
      <c r="W849" s="11" t="s">
        <v>106</v>
      </c>
      <c r="X849" s="11"/>
      <c r="Y849" s="11"/>
      <c r="Z849" s="11"/>
      <c r="AA849" s="12">
        <v>848</v>
      </c>
      <c r="AB849" s="12"/>
      <c r="AC849" s="11" t="s">
        <v>107</v>
      </c>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row>
    <row r="850" spans="1:56" ht="56" x14ac:dyDescent="0.25">
      <c r="A850" s="11" t="s">
        <v>4473</v>
      </c>
      <c r="B850" s="11" t="s">
        <v>4474</v>
      </c>
      <c r="C850" s="11"/>
      <c r="D850" s="11" t="s">
        <v>91</v>
      </c>
      <c r="E850" s="11"/>
      <c r="F850" s="11" t="s">
        <v>4475</v>
      </c>
      <c r="G850" s="11" t="s">
        <v>4476</v>
      </c>
      <c r="H850" s="11" t="s">
        <v>94</v>
      </c>
      <c r="I850" s="11" t="s">
        <v>121</v>
      </c>
      <c r="J850" s="11" t="s">
        <v>971</v>
      </c>
      <c r="K850" s="11"/>
      <c r="L850" s="11" t="s">
        <v>4477</v>
      </c>
      <c r="M850" s="11"/>
      <c r="N850" s="11"/>
      <c r="O850" s="11"/>
      <c r="P850" s="11" t="s">
        <v>102</v>
      </c>
      <c r="Q850" s="12">
        <v>113.30562399999999</v>
      </c>
      <c r="R850" s="13">
        <v>23.219715000000001</v>
      </c>
      <c r="S850" s="11" t="s">
        <v>4473</v>
      </c>
      <c r="T850" s="11"/>
      <c r="U850" s="11" t="s">
        <v>104</v>
      </c>
      <c r="V850" s="11" t="s">
        <v>105</v>
      </c>
      <c r="W850" s="11" t="s">
        <v>106</v>
      </c>
      <c r="X850" s="11"/>
      <c r="Y850" s="11"/>
      <c r="Z850" s="11"/>
      <c r="AA850" s="12">
        <v>849</v>
      </c>
      <c r="AB850" s="12"/>
      <c r="AC850" s="11" t="s">
        <v>107</v>
      </c>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row>
    <row r="851" spans="1:56" ht="70" x14ac:dyDescent="0.25">
      <c r="A851" s="11" t="s">
        <v>4478</v>
      </c>
      <c r="B851" s="11" t="s">
        <v>4479</v>
      </c>
      <c r="C851" s="11"/>
      <c r="D851" s="11" t="s">
        <v>91</v>
      </c>
      <c r="E851" s="11" t="s">
        <v>92</v>
      </c>
      <c r="F851" s="11" t="s">
        <v>4480</v>
      </c>
      <c r="G851" s="11" t="s">
        <v>4481</v>
      </c>
      <c r="H851" s="11" t="s">
        <v>94</v>
      </c>
      <c r="I851" s="11" t="s">
        <v>121</v>
      </c>
      <c r="J851" s="11" t="s">
        <v>122</v>
      </c>
      <c r="K851" s="11"/>
      <c r="L851" s="11" t="s">
        <v>4482</v>
      </c>
      <c r="M851" s="11" t="s">
        <v>115</v>
      </c>
      <c r="N851" s="11" t="s">
        <v>174</v>
      </c>
      <c r="O851" s="11" t="s">
        <v>101</v>
      </c>
      <c r="P851" s="11" t="s">
        <v>102</v>
      </c>
      <c r="Q851" s="12">
        <v>113.368009</v>
      </c>
      <c r="R851" s="13">
        <v>23.196591999999999</v>
      </c>
      <c r="S851" s="11" t="s">
        <v>4478</v>
      </c>
      <c r="T851" s="11"/>
      <c r="U851" s="11" t="s">
        <v>104</v>
      </c>
      <c r="V851" s="11" t="s">
        <v>105</v>
      </c>
      <c r="W851" s="11" t="s">
        <v>106</v>
      </c>
      <c r="X851" s="11"/>
      <c r="Y851" s="11"/>
      <c r="Z851" s="11"/>
      <c r="AA851" s="12">
        <v>850</v>
      </c>
      <c r="AB851" s="12"/>
      <c r="AC851" s="11" t="s">
        <v>2505</v>
      </c>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row>
    <row r="852" spans="1:56" ht="56" x14ac:dyDescent="0.25">
      <c r="A852" s="11" t="s">
        <v>4483</v>
      </c>
      <c r="B852" s="11" t="s">
        <v>4484</v>
      </c>
      <c r="C852" s="11"/>
      <c r="D852" s="11" t="s">
        <v>91</v>
      </c>
      <c r="E852" s="11"/>
      <c r="F852" s="11" t="s">
        <v>4485</v>
      </c>
      <c r="G852" s="11" t="s">
        <v>4486</v>
      </c>
      <c r="H852" s="11" t="s">
        <v>94</v>
      </c>
      <c r="I852" s="11" t="s">
        <v>121</v>
      </c>
      <c r="J852" s="11" t="s">
        <v>2264</v>
      </c>
      <c r="K852" s="11"/>
      <c r="L852" s="11" t="s">
        <v>4487</v>
      </c>
      <c r="M852" s="11"/>
      <c r="N852" s="11"/>
      <c r="O852" s="11"/>
      <c r="P852" s="11" t="s">
        <v>102</v>
      </c>
      <c r="Q852" s="12">
        <v>113.310524</v>
      </c>
      <c r="R852" s="13">
        <v>23.137613999999999</v>
      </c>
      <c r="S852" s="11" t="s">
        <v>4483</v>
      </c>
      <c r="T852" s="11"/>
      <c r="U852" s="11" t="s">
        <v>104</v>
      </c>
      <c r="V852" s="11" t="s">
        <v>105</v>
      </c>
      <c r="W852" s="11" t="s">
        <v>106</v>
      </c>
      <c r="X852" s="11"/>
      <c r="Y852" s="11"/>
      <c r="Z852" s="11"/>
      <c r="AA852" s="12">
        <v>851</v>
      </c>
      <c r="AB852" s="12"/>
      <c r="AC852" s="11" t="s">
        <v>2505</v>
      </c>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row>
    <row r="853" spans="1:56" ht="42" x14ac:dyDescent="0.25">
      <c r="A853" s="11" t="s">
        <v>4488</v>
      </c>
      <c r="B853" s="11" t="s">
        <v>4489</v>
      </c>
      <c r="C853" s="11"/>
      <c r="D853" s="11" t="s">
        <v>91</v>
      </c>
      <c r="E853" s="11"/>
      <c r="F853" s="11" t="s">
        <v>4490</v>
      </c>
      <c r="G853" s="11" t="s">
        <v>4491</v>
      </c>
      <c r="H853" s="11" t="s">
        <v>94</v>
      </c>
      <c r="I853" s="11" t="s">
        <v>121</v>
      </c>
      <c r="J853" s="11" t="s">
        <v>2285</v>
      </c>
      <c r="K853" s="11"/>
      <c r="L853" s="11" t="s">
        <v>4492</v>
      </c>
      <c r="M853" s="11"/>
      <c r="N853" s="11"/>
      <c r="O853" s="11"/>
      <c r="P853" s="11" t="s">
        <v>102</v>
      </c>
      <c r="Q853" s="12">
        <v>113.258605</v>
      </c>
      <c r="R853" s="13">
        <v>23.103332999999999</v>
      </c>
      <c r="S853" s="11" t="s">
        <v>4488</v>
      </c>
      <c r="T853" s="11"/>
      <c r="U853" s="11" t="s">
        <v>104</v>
      </c>
      <c r="V853" s="11" t="s">
        <v>105</v>
      </c>
      <c r="W853" s="11" t="s">
        <v>106</v>
      </c>
      <c r="X853" s="11"/>
      <c r="Y853" s="11"/>
      <c r="Z853" s="11"/>
      <c r="AA853" s="12">
        <v>852</v>
      </c>
      <c r="AB853" s="12"/>
      <c r="AC853" s="11" t="s">
        <v>2505</v>
      </c>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row>
    <row r="854" spans="1:56" ht="56" x14ac:dyDescent="0.25">
      <c r="A854" s="11" t="s">
        <v>4493</v>
      </c>
      <c r="B854" s="11" t="s">
        <v>4494</v>
      </c>
      <c r="C854" s="11"/>
      <c r="D854" s="11" t="s">
        <v>91</v>
      </c>
      <c r="E854" s="11"/>
      <c r="F854" s="11" t="s">
        <v>4495</v>
      </c>
      <c r="G854" s="11" t="s">
        <v>4496</v>
      </c>
      <c r="H854" s="11" t="s">
        <v>94</v>
      </c>
      <c r="I854" s="11" t="s">
        <v>121</v>
      </c>
      <c r="J854" s="11" t="s">
        <v>971</v>
      </c>
      <c r="K854" s="11"/>
      <c r="L854" s="11" t="s">
        <v>4497</v>
      </c>
      <c r="M854" s="11"/>
      <c r="N854" s="11"/>
      <c r="O854" s="11"/>
      <c r="P854" s="11" t="s">
        <v>102</v>
      </c>
      <c r="Q854" s="12">
        <v>113.252712</v>
      </c>
      <c r="R854" s="13">
        <v>23.173183000000002</v>
      </c>
      <c r="S854" s="11" t="s">
        <v>4493</v>
      </c>
      <c r="T854" s="11"/>
      <c r="U854" s="11" t="s">
        <v>104</v>
      </c>
      <c r="V854" s="11" t="s">
        <v>105</v>
      </c>
      <c r="W854" s="11" t="s">
        <v>106</v>
      </c>
      <c r="X854" s="11"/>
      <c r="Y854" s="11"/>
      <c r="Z854" s="11"/>
      <c r="AA854" s="12">
        <v>853</v>
      </c>
      <c r="AB854" s="12"/>
      <c r="AC854" s="11" t="s">
        <v>2505</v>
      </c>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row>
    <row r="855" spans="1:56" ht="56" x14ac:dyDescent="0.25">
      <c r="A855" s="11" t="s">
        <v>4498</v>
      </c>
      <c r="B855" s="11" t="s">
        <v>4499</v>
      </c>
      <c r="C855" s="11"/>
      <c r="D855" s="11" t="s">
        <v>91</v>
      </c>
      <c r="E855" s="11"/>
      <c r="F855" s="11" t="s">
        <v>4500</v>
      </c>
      <c r="G855" s="11" t="s">
        <v>4501</v>
      </c>
      <c r="H855" s="11" t="s">
        <v>94</v>
      </c>
      <c r="I855" s="11" t="s">
        <v>121</v>
      </c>
      <c r="J855" s="11" t="s">
        <v>971</v>
      </c>
      <c r="K855" s="11"/>
      <c r="L855" s="11" t="s">
        <v>4502</v>
      </c>
      <c r="M855" s="11"/>
      <c r="N855" s="11"/>
      <c r="O855" s="11"/>
      <c r="P855" s="11" t="s">
        <v>102</v>
      </c>
      <c r="Q855" s="12">
        <v>113.247519</v>
      </c>
      <c r="R855" s="13">
        <v>23.210082</v>
      </c>
      <c r="S855" s="11" t="s">
        <v>4498</v>
      </c>
      <c r="T855" s="11"/>
      <c r="U855" s="11" t="s">
        <v>104</v>
      </c>
      <c r="V855" s="11" t="s">
        <v>105</v>
      </c>
      <c r="W855" s="11" t="s">
        <v>106</v>
      </c>
      <c r="X855" s="11"/>
      <c r="Y855" s="11"/>
      <c r="Z855" s="11"/>
      <c r="AA855" s="12">
        <v>854</v>
      </c>
      <c r="AB855" s="12"/>
      <c r="AC855" s="11" t="s">
        <v>2505</v>
      </c>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row>
    <row r="856" spans="1:56" ht="42" x14ac:dyDescent="0.25">
      <c r="A856" s="11" t="s">
        <v>4503</v>
      </c>
      <c r="B856" s="11" t="s">
        <v>4504</v>
      </c>
      <c r="C856" s="11"/>
      <c r="D856" s="11" t="s">
        <v>91</v>
      </c>
      <c r="E856" s="11"/>
      <c r="F856" s="11" t="s">
        <v>4505</v>
      </c>
      <c r="G856" s="11" t="s">
        <v>4506</v>
      </c>
      <c r="H856" s="11" t="s">
        <v>94</v>
      </c>
      <c r="I856" s="11" t="s">
        <v>121</v>
      </c>
      <c r="J856" s="11" t="s">
        <v>971</v>
      </c>
      <c r="K856" s="11"/>
      <c r="L856" s="11" t="s">
        <v>4507</v>
      </c>
      <c r="M856" s="11"/>
      <c r="N856" s="11"/>
      <c r="O856" s="11"/>
      <c r="P856" s="11" t="s">
        <v>102</v>
      </c>
      <c r="Q856" s="12">
        <v>113.20616099999999</v>
      </c>
      <c r="R856" s="13">
        <v>23.156122</v>
      </c>
      <c r="S856" s="11" t="s">
        <v>4503</v>
      </c>
      <c r="T856" s="11"/>
      <c r="U856" s="11" t="s">
        <v>104</v>
      </c>
      <c r="V856" s="11" t="s">
        <v>105</v>
      </c>
      <c r="W856" s="11" t="s">
        <v>106</v>
      </c>
      <c r="X856" s="11"/>
      <c r="Y856" s="11"/>
      <c r="Z856" s="11"/>
      <c r="AA856" s="12">
        <v>855</v>
      </c>
      <c r="AB856" s="12"/>
      <c r="AC856" s="11" t="s">
        <v>2505</v>
      </c>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row>
    <row r="857" spans="1:56" ht="42" x14ac:dyDescent="0.25">
      <c r="A857" s="11" t="s">
        <v>4508</v>
      </c>
      <c r="B857" s="11" t="s">
        <v>4509</v>
      </c>
      <c r="C857" s="11"/>
      <c r="D857" s="11" t="s">
        <v>91</v>
      </c>
      <c r="E857" s="11"/>
      <c r="F857" s="11" t="s">
        <v>4510</v>
      </c>
      <c r="G857" s="11" t="s">
        <v>4511</v>
      </c>
      <c r="H857" s="11" t="s">
        <v>94</v>
      </c>
      <c r="I857" s="11" t="s">
        <v>121</v>
      </c>
      <c r="J857" s="11" t="s">
        <v>971</v>
      </c>
      <c r="K857" s="11"/>
      <c r="L857" s="11" t="s">
        <v>4512</v>
      </c>
      <c r="M857" s="11"/>
      <c r="N857" s="11"/>
      <c r="O857" s="11"/>
      <c r="P857" s="11" t="s">
        <v>102</v>
      </c>
      <c r="Q857" s="12">
        <v>113.273731</v>
      </c>
      <c r="R857" s="13">
        <v>23.215233999999999</v>
      </c>
      <c r="S857" s="11" t="s">
        <v>4508</v>
      </c>
      <c r="T857" s="11"/>
      <c r="U857" s="11" t="s">
        <v>104</v>
      </c>
      <c r="V857" s="11" t="s">
        <v>105</v>
      </c>
      <c r="W857" s="11" t="s">
        <v>106</v>
      </c>
      <c r="X857" s="11"/>
      <c r="Y857" s="11"/>
      <c r="Z857" s="11"/>
      <c r="AA857" s="12">
        <v>856</v>
      </c>
      <c r="AB857" s="12"/>
      <c r="AC857" s="11" t="s">
        <v>2505</v>
      </c>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row>
    <row r="858" spans="1:56" ht="42" x14ac:dyDescent="0.25">
      <c r="A858" s="11" t="s">
        <v>4513</v>
      </c>
      <c r="B858" s="11" t="s">
        <v>4514</v>
      </c>
      <c r="C858" s="11"/>
      <c r="D858" s="11" t="s">
        <v>91</v>
      </c>
      <c r="E858" s="11"/>
      <c r="F858" s="11" t="s">
        <v>4515</v>
      </c>
      <c r="G858" s="11" t="s">
        <v>4516</v>
      </c>
      <c r="H858" s="11" t="s">
        <v>94</v>
      </c>
      <c r="I858" s="11" t="s">
        <v>121</v>
      </c>
      <c r="J858" s="11" t="s">
        <v>122</v>
      </c>
      <c r="K858" s="11"/>
      <c r="L858" s="11" t="s">
        <v>4517</v>
      </c>
      <c r="M858" s="11"/>
      <c r="N858" s="11"/>
      <c r="O858" s="11"/>
      <c r="P858" s="11" t="s">
        <v>102</v>
      </c>
      <c r="Q858" s="12">
        <v>113.426149</v>
      </c>
      <c r="R858" s="13">
        <v>23.127877000000002</v>
      </c>
      <c r="S858" s="11" t="s">
        <v>4513</v>
      </c>
      <c r="T858" s="11"/>
      <c r="U858" s="11" t="s">
        <v>104</v>
      </c>
      <c r="V858" s="11" t="s">
        <v>105</v>
      </c>
      <c r="W858" s="11" t="s">
        <v>106</v>
      </c>
      <c r="X858" s="11"/>
      <c r="Y858" s="11"/>
      <c r="Z858" s="11"/>
      <c r="AA858" s="12">
        <v>857</v>
      </c>
      <c r="AB858" s="12"/>
      <c r="AC858" s="11" t="s">
        <v>2505</v>
      </c>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row>
    <row r="859" spans="1:56" ht="42" x14ac:dyDescent="0.25">
      <c r="A859" s="11" t="s">
        <v>4518</v>
      </c>
      <c r="B859" s="11" t="s">
        <v>4519</v>
      </c>
      <c r="C859" s="11"/>
      <c r="D859" s="11" t="s">
        <v>91</v>
      </c>
      <c r="E859" s="11"/>
      <c r="F859" s="11" t="s">
        <v>4520</v>
      </c>
      <c r="G859" s="11" t="s">
        <v>4521</v>
      </c>
      <c r="H859" s="11" t="s">
        <v>94</v>
      </c>
      <c r="I859" s="11" t="s">
        <v>121</v>
      </c>
      <c r="J859" s="11" t="s">
        <v>122</v>
      </c>
      <c r="K859" s="11"/>
      <c r="L859" s="11" t="s">
        <v>4522</v>
      </c>
      <c r="M859" s="11"/>
      <c r="N859" s="11"/>
      <c r="O859" s="11"/>
      <c r="P859" s="11" t="s">
        <v>102</v>
      </c>
      <c r="Q859" s="12">
        <v>113.413304</v>
      </c>
      <c r="R859" s="13">
        <v>23.167542000000001</v>
      </c>
      <c r="S859" s="11" t="s">
        <v>4518</v>
      </c>
      <c r="T859" s="11"/>
      <c r="U859" s="11" t="s">
        <v>104</v>
      </c>
      <c r="V859" s="11" t="s">
        <v>105</v>
      </c>
      <c r="W859" s="11" t="s">
        <v>106</v>
      </c>
      <c r="X859" s="11"/>
      <c r="Y859" s="11"/>
      <c r="Z859" s="11"/>
      <c r="AA859" s="12">
        <v>858</v>
      </c>
      <c r="AB859" s="12"/>
      <c r="AC859" s="11" t="s">
        <v>2505</v>
      </c>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row>
    <row r="860" spans="1:56" ht="70" x14ac:dyDescent="0.25">
      <c r="A860" s="11" t="s">
        <v>4523</v>
      </c>
      <c r="B860" s="11" t="s">
        <v>4524</v>
      </c>
      <c r="C860" s="11"/>
      <c r="D860" s="11" t="s">
        <v>91</v>
      </c>
      <c r="E860" s="11"/>
      <c r="F860" s="11" t="s">
        <v>3657</v>
      </c>
      <c r="G860" s="11" t="s">
        <v>4525</v>
      </c>
      <c r="H860" s="11" t="s">
        <v>94</v>
      </c>
      <c r="I860" s="11" t="s">
        <v>121</v>
      </c>
      <c r="J860" s="11" t="s">
        <v>122</v>
      </c>
      <c r="K860" s="11"/>
      <c r="L860" s="11" t="s">
        <v>4526</v>
      </c>
      <c r="M860" s="11"/>
      <c r="N860" s="11"/>
      <c r="O860" s="11"/>
      <c r="P860" s="11" t="s">
        <v>102</v>
      </c>
      <c r="Q860" s="12">
        <v>113.378801</v>
      </c>
      <c r="R860" s="13">
        <v>23.135345999999998</v>
      </c>
      <c r="S860" s="11" t="s">
        <v>4523</v>
      </c>
      <c r="T860" s="11"/>
      <c r="U860" s="11" t="s">
        <v>104</v>
      </c>
      <c r="V860" s="11" t="s">
        <v>105</v>
      </c>
      <c r="W860" s="11" t="s">
        <v>106</v>
      </c>
      <c r="X860" s="11"/>
      <c r="Y860" s="11"/>
      <c r="Z860" s="11"/>
      <c r="AA860" s="12">
        <v>859</v>
      </c>
      <c r="AB860" s="12"/>
      <c r="AC860" s="11" t="s">
        <v>2505</v>
      </c>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row>
    <row r="861" spans="1:56" ht="56" x14ac:dyDescent="0.25">
      <c r="A861" s="11" t="s">
        <v>4527</v>
      </c>
      <c r="B861" s="11" t="s">
        <v>4528</v>
      </c>
      <c r="C861" s="11"/>
      <c r="D861" s="11" t="s">
        <v>91</v>
      </c>
      <c r="E861" s="11"/>
      <c r="F861" s="11" t="s">
        <v>4529</v>
      </c>
      <c r="G861" s="11" t="s">
        <v>4530</v>
      </c>
      <c r="H861" s="11" t="s">
        <v>94</v>
      </c>
      <c r="I861" s="11" t="s">
        <v>121</v>
      </c>
      <c r="J861" s="11" t="s">
        <v>737</v>
      </c>
      <c r="K861" s="11"/>
      <c r="L861" s="11" t="s">
        <v>4531</v>
      </c>
      <c r="M861" s="11"/>
      <c r="N861" s="11"/>
      <c r="O861" s="11"/>
      <c r="P861" s="11" t="s">
        <v>102</v>
      </c>
      <c r="Q861" s="12">
        <v>113.383307</v>
      </c>
      <c r="R861" s="13">
        <v>23.012124</v>
      </c>
      <c r="S861" s="11" t="s">
        <v>4527</v>
      </c>
      <c r="T861" s="11"/>
      <c r="U861" s="11" t="s">
        <v>104</v>
      </c>
      <c r="V861" s="11" t="s">
        <v>105</v>
      </c>
      <c r="W861" s="11" t="s">
        <v>106</v>
      </c>
      <c r="X861" s="11"/>
      <c r="Y861" s="11"/>
      <c r="Z861" s="11"/>
      <c r="AA861" s="12">
        <v>860</v>
      </c>
      <c r="AB861" s="12"/>
      <c r="AC861" s="11" t="s">
        <v>2505</v>
      </c>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row>
    <row r="862" spans="1:56" ht="42" x14ac:dyDescent="0.25">
      <c r="A862" s="11" t="s">
        <v>4532</v>
      </c>
      <c r="B862" s="11" t="s">
        <v>4533</v>
      </c>
      <c r="C862" s="11"/>
      <c r="D862" s="11" t="s">
        <v>91</v>
      </c>
      <c r="E862" s="11"/>
      <c r="F862" s="11" t="s">
        <v>4534</v>
      </c>
      <c r="G862" s="11" t="s">
        <v>4535</v>
      </c>
      <c r="H862" s="11" t="s">
        <v>94</v>
      </c>
      <c r="I862" s="11" t="s">
        <v>121</v>
      </c>
      <c r="J862" s="11" t="s">
        <v>737</v>
      </c>
      <c r="K862" s="11"/>
      <c r="L862" s="11" t="s">
        <v>4536</v>
      </c>
      <c r="M862" s="11"/>
      <c r="N862" s="11"/>
      <c r="O862" s="11"/>
      <c r="P862" s="11" t="s">
        <v>102</v>
      </c>
      <c r="Q862" s="12">
        <v>113.35785</v>
      </c>
      <c r="R862" s="13">
        <v>22.955020999999999</v>
      </c>
      <c r="S862" s="11" t="s">
        <v>4532</v>
      </c>
      <c r="T862" s="11"/>
      <c r="U862" s="11" t="s">
        <v>104</v>
      </c>
      <c r="V862" s="11" t="s">
        <v>105</v>
      </c>
      <c r="W862" s="11" t="s">
        <v>106</v>
      </c>
      <c r="X862" s="11"/>
      <c r="Y862" s="11"/>
      <c r="Z862" s="11"/>
      <c r="AA862" s="12">
        <v>861</v>
      </c>
      <c r="AB862" s="12"/>
      <c r="AC862" s="11" t="s">
        <v>2505</v>
      </c>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row>
    <row r="863" spans="1:56" ht="56" x14ac:dyDescent="0.25">
      <c r="A863" s="11" t="s">
        <v>4537</v>
      </c>
      <c r="B863" s="11" t="s">
        <v>4538</v>
      </c>
      <c r="C863" s="11"/>
      <c r="D863" s="11" t="s">
        <v>91</v>
      </c>
      <c r="E863" s="11"/>
      <c r="F863" s="11" t="s">
        <v>4539</v>
      </c>
      <c r="G863" s="11" t="s">
        <v>4540</v>
      </c>
      <c r="H863" s="11" t="s">
        <v>94</v>
      </c>
      <c r="I863" s="11" t="s">
        <v>121</v>
      </c>
      <c r="J863" s="11" t="s">
        <v>2007</v>
      </c>
      <c r="K863" s="11"/>
      <c r="L863" s="11" t="s">
        <v>4541</v>
      </c>
      <c r="M863" s="11"/>
      <c r="N863" s="11"/>
      <c r="O863" s="11"/>
      <c r="P863" s="11" t="s">
        <v>102</v>
      </c>
      <c r="Q863" s="12">
        <v>113.23981000000001</v>
      </c>
      <c r="R863" s="13">
        <v>23.076473</v>
      </c>
      <c r="S863" s="11" t="s">
        <v>4537</v>
      </c>
      <c r="T863" s="11"/>
      <c r="U863" s="11" t="s">
        <v>104</v>
      </c>
      <c r="V863" s="11" t="s">
        <v>105</v>
      </c>
      <c r="W863" s="11" t="s">
        <v>106</v>
      </c>
      <c r="X863" s="11"/>
      <c r="Y863" s="11"/>
      <c r="Z863" s="11"/>
      <c r="AA863" s="12">
        <v>862</v>
      </c>
      <c r="AB863" s="12"/>
      <c r="AC863" s="11" t="s">
        <v>2505</v>
      </c>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row>
    <row r="864" spans="1:56" ht="42" x14ac:dyDescent="0.25">
      <c r="A864" s="11" t="s">
        <v>4542</v>
      </c>
      <c r="B864" s="11" t="s">
        <v>4543</v>
      </c>
      <c r="C864" s="11"/>
      <c r="D864" s="11" t="s">
        <v>91</v>
      </c>
      <c r="E864" s="11"/>
      <c r="F864" s="11" t="s">
        <v>4544</v>
      </c>
      <c r="G864" s="11" t="s">
        <v>4545</v>
      </c>
      <c r="H864" s="11" t="s">
        <v>94</v>
      </c>
      <c r="I864" s="11" t="s">
        <v>121</v>
      </c>
      <c r="J864" s="11" t="s">
        <v>737</v>
      </c>
      <c r="K864" s="11"/>
      <c r="L864" s="11" t="s">
        <v>4546</v>
      </c>
      <c r="M864" s="11"/>
      <c r="N864" s="11"/>
      <c r="O864" s="11"/>
      <c r="P864" s="11" t="s">
        <v>102</v>
      </c>
      <c r="Q864" s="12">
        <v>113.31965099999999</v>
      </c>
      <c r="R864" s="13">
        <v>23.026340999999999</v>
      </c>
      <c r="S864" s="11" t="s">
        <v>4542</v>
      </c>
      <c r="T864" s="11"/>
      <c r="U864" s="11" t="s">
        <v>104</v>
      </c>
      <c r="V864" s="11" t="s">
        <v>105</v>
      </c>
      <c r="W864" s="11" t="s">
        <v>106</v>
      </c>
      <c r="X864" s="11"/>
      <c r="Y864" s="11"/>
      <c r="Z864" s="11"/>
      <c r="AA864" s="12">
        <v>863</v>
      </c>
      <c r="AB864" s="12"/>
      <c r="AC864" s="11" t="s">
        <v>2505</v>
      </c>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row>
    <row r="865" spans="1:56" ht="56" x14ac:dyDescent="0.25">
      <c r="A865" s="11" t="s">
        <v>4547</v>
      </c>
      <c r="B865" s="11" t="s">
        <v>4548</v>
      </c>
      <c r="C865" s="11"/>
      <c r="D865" s="11" t="s">
        <v>91</v>
      </c>
      <c r="E865" s="11"/>
      <c r="F865" s="11" t="s">
        <v>4549</v>
      </c>
      <c r="G865" s="11" t="s">
        <v>4550</v>
      </c>
      <c r="H865" s="11" t="s">
        <v>94</v>
      </c>
      <c r="I865" s="11" t="s">
        <v>121</v>
      </c>
      <c r="J865" s="11" t="s">
        <v>737</v>
      </c>
      <c r="K865" s="11"/>
      <c r="L865" s="11" t="s">
        <v>4551</v>
      </c>
      <c r="M865" s="11"/>
      <c r="N865" s="11"/>
      <c r="O865" s="11"/>
      <c r="P865" s="11" t="s">
        <v>102</v>
      </c>
      <c r="Q865" s="12">
        <v>113.316941</v>
      </c>
      <c r="R865" s="13">
        <v>22.969570000000001</v>
      </c>
      <c r="S865" s="11" t="s">
        <v>4547</v>
      </c>
      <c r="T865" s="11"/>
      <c r="U865" s="11" t="s">
        <v>104</v>
      </c>
      <c r="V865" s="11" t="s">
        <v>105</v>
      </c>
      <c r="W865" s="11" t="s">
        <v>106</v>
      </c>
      <c r="X865" s="11"/>
      <c r="Y865" s="11"/>
      <c r="Z865" s="11"/>
      <c r="AA865" s="12">
        <v>864</v>
      </c>
      <c r="AB865" s="12"/>
      <c r="AC865" s="11" t="s">
        <v>2505</v>
      </c>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row>
    <row r="866" spans="1:56" ht="42" x14ac:dyDescent="0.25">
      <c r="A866" s="11" t="s">
        <v>4552</v>
      </c>
      <c r="B866" s="11" t="s">
        <v>4553</v>
      </c>
      <c r="C866" s="11"/>
      <c r="D866" s="11" t="s">
        <v>91</v>
      </c>
      <c r="E866" s="11"/>
      <c r="F866" s="11" t="s">
        <v>4554</v>
      </c>
      <c r="G866" s="11" t="s">
        <v>4555</v>
      </c>
      <c r="H866" s="11" t="s">
        <v>94</v>
      </c>
      <c r="I866" s="11" t="s">
        <v>121</v>
      </c>
      <c r="J866" s="11" t="s">
        <v>737</v>
      </c>
      <c r="K866" s="11"/>
      <c r="L866" s="11" t="s">
        <v>4556</v>
      </c>
      <c r="M866" s="11"/>
      <c r="N866" s="11"/>
      <c r="O866" s="11"/>
      <c r="P866" s="11" t="s">
        <v>102</v>
      </c>
      <c r="Q866" s="12">
        <v>113.350025</v>
      </c>
      <c r="R866" s="13">
        <v>23.010373000000001</v>
      </c>
      <c r="S866" s="11" t="s">
        <v>4552</v>
      </c>
      <c r="T866" s="11"/>
      <c r="U866" s="11" t="s">
        <v>104</v>
      </c>
      <c r="V866" s="11" t="s">
        <v>105</v>
      </c>
      <c r="W866" s="11" t="s">
        <v>106</v>
      </c>
      <c r="X866" s="11"/>
      <c r="Y866" s="11"/>
      <c r="Z866" s="11"/>
      <c r="AA866" s="12">
        <v>865</v>
      </c>
      <c r="AB866" s="12"/>
      <c r="AC866" s="11" t="s">
        <v>2505</v>
      </c>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row>
    <row r="867" spans="1:56" ht="42" x14ac:dyDescent="0.25">
      <c r="A867" s="11" t="s">
        <v>4557</v>
      </c>
      <c r="B867" s="11" t="s">
        <v>4558</v>
      </c>
      <c r="C867" s="11"/>
      <c r="D867" s="11" t="s">
        <v>91</v>
      </c>
      <c r="E867" s="11"/>
      <c r="F867" s="11" t="s">
        <v>4559</v>
      </c>
      <c r="G867" s="11" t="s">
        <v>4560</v>
      </c>
      <c r="H867" s="11" t="s">
        <v>94</v>
      </c>
      <c r="I867" s="11" t="s">
        <v>121</v>
      </c>
      <c r="J867" s="11" t="s">
        <v>971</v>
      </c>
      <c r="K867" s="11"/>
      <c r="L867" s="11" t="s">
        <v>4561</v>
      </c>
      <c r="M867" s="11"/>
      <c r="N867" s="11"/>
      <c r="O867" s="11"/>
      <c r="P867" s="11" t="s">
        <v>102</v>
      </c>
      <c r="Q867" s="12">
        <v>113.31188899999999</v>
      </c>
      <c r="R867" s="13">
        <v>23.253709000000001</v>
      </c>
      <c r="S867" s="11" t="s">
        <v>4557</v>
      </c>
      <c r="T867" s="11"/>
      <c r="U867" s="11" t="s">
        <v>104</v>
      </c>
      <c r="V867" s="11" t="s">
        <v>105</v>
      </c>
      <c r="W867" s="11" t="s">
        <v>106</v>
      </c>
      <c r="X867" s="11"/>
      <c r="Y867" s="11"/>
      <c r="Z867" s="11"/>
      <c r="AA867" s="12">
        <v>866</v>
      </c>
      <c r="AB867" s="12"/>
      <c r="AC867" s="11" t="s">
        <v>2505</v>
      </c>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row>
    <row r="868" spans="1:56" ht="42" x14ac:dyDescent="0.25">
      <c r="A868" s="11" t="s">
        <v>4562</v>
      </c>
      <c r="B868" s="11" t="s">
        <v>4563</v>
      </c>
      <c r="C868" s="11"/>
      <c r="D868" s="11" t="s">
        <v>91</v>
      </c>
      <c r="E868" s="11"/>
      <c r="F868" s="11" t="s">
        <v>4564</v>
      </c>
      <c r="G868" s="11" t="s">
        <v>4565</v>
      </c>
      <c r="H868" s="11" t="s">
        <v>94</v>
      </c>
      <c r="I868" s="11" t="s">
        <v>121</v>
      </c>
      <c r="J868" s="11" t="s">
        <v>971</v>
      </c>
      <c r="K868" s="11"/>
      <c r="L868" s="11" t="s">
        <v>4566</v>
      </c>
      <c r="M868" s="11"/>
      <c r="N868" s="11"/>
      <c r="O868" s="11"/>
      <c r="P868" s="11" t="s">
        <v>102</v>
      </c>
      <c r="Q868" s="12">
        <v>113.32987199999999</v>
      </c>
      <c r="R868" s="13">
        <v>23.186250000000001</v>
      </c>
      <c r="S868" s="11" t="s">
        <v>4562</v>
      </c>
      <c r="T868" s="11"/>
      <c r="U868" s="11" t="s">
        <v>104</v>
      </c>
      <c r="V868" s="11" t="s">
        <v>105</v>
      </c>
      <c r="W868" s="11" t="s">
        <v>106</v>
      </c>
      <c r="X868" s="11"/>
      <c r="Y868" s="11"/>
      <c r="Z868" s="11"/>
      <c r="AA868" s="12">
        <v>867</v>
      </c>
      <c r="AB868" s="12"/>
      <c r="AC868" s="11" t="s">
        <v>2505</v>
      </c>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row>
    <row r="869" spans="1:56" ht="42" x14ac:dyDescent="0.25">
      <c r="A869" s="11" t="s">
        <v>4567</v>
      </c>
      <c r="B869" s="11" t="s">
        <v>4568</v>
      </c>
      <c r="C869" s="11"/>
      <c r="D869" s="11" t="s">
        <v>91</v>
      </c>
      <c r="E869" s="11" t="s">
        <v>92</v>
      </c>
      <c r="F869" s="11" t="s">
        <v>4569</v>
      </c>
      <c r="G869" s="11" t="s">
        <v>4570</v>
      </c>
      <c r="H869" s="11" t="s">
        <v>94</v>
      </c>
      <c r="I869" s="11" t="s">
        <v>121</v>
      </c>
      <c r="J869" s="11" t="s">
        <v>792</v>
      </c>
      <c r="K869" s="11" t="s">
        <v>4571</v>
      </c>
      <c r="L869" s="11" t="s">
        <v>4572</v>
      </c>
      <c r="M869" s="11" t="s">
        <v>115</v>
      </c>
      <c r="N869" s="11" t="s">
        <v>174</v>
      </c>
      <c r="O869" s="11" t="s">
        <v>101</v>
      </c>
      <c r="P869" s="11" t="s">
        <v>102</v>
      </c>
      <c r="Q869" s="12">
        <v>113.50543</v>
      </c>
      <c r="R869" s="13">
        <v>23.169412999999999</v>
      </c>
      <c r="S869" s="11" t="s">
        <v>4567</v>
      </c>
      <c r="T869" s="11"/>
      <c r="U869" s="11" t="s">
        <v>104</v>
      </c>
      <c r="V869" s="11" t="s">
        <v>105</v>
      </c>
      <c r="W869" s="11" t="s">
        <v>106</v>
      </c>
      <c r="X869" s="11"/>
      <c r="Y869" s="11"/>
      <c r="Z869" s="11"/>
      <c r="AA869" s="12">
        <v>868</v>
      </c>
      <c r="AB869" s="12"/>
      <c r="AC869" s="11" t="s">
        <v>2505</v>
      </c>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row>
    <row r="870" spans="1:56" ht="42" x14ac:dyDescent="0.25">
      <c r="A870" s="11" t="s">
        <v>4573</v>
      </c>
      <c r="B870" s="11" t="s">
        <v>4574</v>
      </c>
      <c r="C870" s="11"/>
      <c r="D870" s="11" t="s">
        <v>91</v>
      </c>
      <c r="E870" s="11"/>
      <c r="F870" s="11" t="s">
        <v>4575</v>
      </c>
      <c r="G870" s="11" t="s">
        <v>4576</v>
      </c>
      <c r="H870" s="11" t="s">
        <v>94</v>
      </c>
      <c r="I870" s="11" t="s">
        <v>95</v>
      </c>
      <c r="J870" s="11" t="s">
        <v>1087</v>
      </c>
      <c r="K870" s="11"/>
      <c r="L870" s="11" t="s">
        <v>4577</v>
      </c>
      <c r="M870" s="11"/>
      <c r="N870" s="11"/>
      <c r="O870" s="11"/>
      <c r="P870" s="11" t="s">
        <v>102</v>
      </c>
      <c r="Q870" s="12">
        <v>113.103033</v>
      </c>
      <c r="R870" s="13">
        <v>23.006717999999999</v>
      </c>
      <c r="S870" s="11" t="s">
        <v>4573</v>
      </c>
      <c r="T870" s="11"/>
      <c r="U870" s="11" t="s">
        <v>104</v>
      </c>
      <c r="V870" s="11" t="s">
        <v>105</v>
      </c>
      <c r="W870" s="11" t="s">
        <v>106</v>
      </c>
      <c r="X870" s="11"/>
      <c r="Y870" s="11"/>
      <c r="Z870" s="11"/>
      <c r="AA870" s="12">
        <v>869</v>
      </c>
      <c r="AB870" s="12"/>
      <c r="AC870" s="11" t="s">
        <v>2505</v>
      </c>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row>
    <row r="871" spans="1:56" ht="56" x14ac:dyDescent="0.25">
      <c r="A871" s="11" t="s">
        <v>4578</v>
      </c>
      <c r="B871" s="11" t="s">
        <v>4579</v>
      </c>
      <c r="C871" s="11"/>
      <c r="D871" s="11" t="s">
        <v>91</v>
      </c>
      <c r="E871" s="11" t="s">
        <v>92</v>
      </c>
      <c r="F871" s="11" t="s">
        <v>4580</v>
      </c>
      <c r="G871" s="11" t="s">
        <v>4581</v>
      </c>
      <c r="H871" s="11" t="s">
        <v>94</v>
      </c>
      <c r="I871" s="11" t="s">
        <v>95</v>
      </c>
      <c r="J871" s="11" t="s">
        <v>1087</v>
      </c>
      <c r="K871" s="11"/>
      <c r="L871" s="11" t="s">
        <v>4582</v>
      </c>
      <c r="M871" s="11" t="s">
        <v>115</v>
      </c>
      <c r="N871" s="11" t="s">
        <v>174</v>
      </c>
      <c r="O871" s="11" t="s">
        <v>101</v>
      </c>
      <c r="P871" s="11" t="s">
        <v>102</v>
      </c>
      <c r="Q871" s="12">
        <v>113.137975</v>
      </c>
      <c r="R871" s="13">
        <v>23.041653</v>
      </c>
      <c r="S871" s="11" t="s">
        <v>4578</v>
      </c>
      <c r="T871" s="11"/>
      <c r="U871" s="11" t="s">
        <v>104</v>
      </c>
      <c r="V871" s="11" t="s">
        <v>105</v>
      </c>
      <c r="W871" s="11" t="s">
        <v>106</v>
      </c>
      <c r="X871" s="11"/>
      <c r="Y871" s="11"/>
      <c r="Z871" s="11"/>
      <c r="AA871" s="12">
        <v>870</v>
      </c>
      <c r="AB871" s="12"/>
      <c r="AC871" s="11" t="s">
        <v>2505</v>
      </c>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row>
    <row r="872" spans="1:56" ht="56" x14ac:dyDescent="0.25">
      <c r="A872" s="11" t="s">
        <v>4583</v>
      </c>
      <c r="B872" s="11" t="s">
        <v>4584</v>
      </c>
      <c r="C872" s="11"/>
      <c r="D872" s="11" t="s">
        <v>91</v>
      </c>
      <c r="E872" s="11"/>
      <c r="F872" s="11" t="s">
        <v>4585</v>
      </c>
      <c r="G872" s="11" t="s">
        <v>4586</v>
      </c>
      <c r="H872" s="11" t="s">
        <v>94</v>
      </c>
      <c r="I872" s="11" t="s">
        <v>121</v>
      </c>
      <c r="J872" s="11" t="s">
        <v>737</v>
      </c>
      <c r="K872" s="11"/>
      <c r="L872" s="11" t="s">
        <v>4587</v>
      </c>
      <c r="M872" s="11"/>
      <c r="N872" s="11"/>
      <c r="O872" s="11"/>
      <c r="P872" s="11" t="s">
        <v>102</v>
      </c>
      <c r="Q872" s="12">
        <v>113.396944</v>
      </c>
      <c r="R872" s="13">
        <v>22.943006</v>
      </c>
      <c r="S872" s="11" t="s">
        <v>4583</v>
      </c>
      <c r="T872" s="11"/>
      <c r="U872" s="11" t="s">
        <v>104</v>
      </c>
      <c r="V872" s="11" t="s">
        <v>105</v>
      </c>
      <c r="W872" s="11" t="s">
        <v>106</v>
      </c>
      <c r="X872" s="11"/>
      <c r="Y872" s="11"/>
      <c r="Z872" s="11"/>
      <c r="AA872" s="12">
        <v>871</v>
      </c>
      <c r="AB872" s="12"/>
      <c r="AC872" s="11" t="s">
        <v>2505</v>
      </c>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row>
    <row r="873" spans="1:56" ht="42" x14ac:dyDescent="0.25">
      <c r="A873" s="11" t="s">
        <v>4588</v>
      </c>
      <c r="B873" s="11" t="s">
        <v>4589</v>
      </c>
      <c r="C873" s="11"/>
      <c r="D873" s="11" t="s">
        <v>91</v>
      </c>
      <c r="E873" s="11"/>
      <c r="F873" s="11" t="s">
        <v>4590</v>
      </c>
      <c r="G873" s="11" t="s">
        <v>4591</v>
      </c>
      <c r="H873" s="11" t="s">
        <v>94</v>
      </c>
      <c r="I873" s="11" t="s">
        <v>95</v>
      </c>
      <c r="J873" s="11" t="s">
        <v>96</v>
      </c>
      <c r="K873" s="11"/>
      <c r="L873" s="11" t="s">
        <v>4592</v>
      </c>
      <c r="M873" s="11"/>
      <c r="N873" s="11"/>
      <c r="O873" s="11"/>
      <c r="P873" s="11" t="s">
        <v>102</v>
      </c>
      <c r="Q873" s="12">
        <v>113.19556799999999</v>
      </c>
      <c r="R873" s="13">
        <v>23.115793</v>
      </c>
      <c r="S873" s="11" t="s">
        <v>4588</v>
      </c>
      <c r="T873" s="11"/>
      <c r="U873" s="11" t="s">
        <v>104</v>
      </c>
      <c r="V873" s="11" t="s">
        <v>105</v>
      </c>
      <c r="W873" s="11" t="s">
        <v>106</v>
      </c>
      <c r="X873" s="11"/>
      <c r="Y873" s="11"/>
      <c r="Z873" s="11"/>
      <c r="AA873" s="12">
        <v>872</v>
      </c>
      <c r="AB873" s="12"/>
      <c r="AC873" s="11" t="s">
        <v>2505</v>
      </c>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row>
    <row r="874" spans="1:56" ht="56" x14ac:dyDescent="0.25">
      <c r="A874" s="11" t="s">
        <v>4593</v>
      </c>
      <c r="B874" s="11" t="s">
        <v>4594</v>
      </c>
      <c r="C874" s="11"/>
      <c r="D874" s="11" t="s">
        <v>91</v>
      </c>
      <c r="E874" s="11"/>
      <c r="F874" s="11" t="s">
        <v>4595</v>
      </c>
      <c r="G874" s="11" t="s">
        <v>4591</v>
      </c>
      <c r="H874" s="11" t="s">
        <v>94</v>
      </c>
      <c r="I874" s="11" t="s">
        <v>121</v>
      </c>
      <c r="J874" s="11" t="s">
        <v>971</v>
      </c>
      <c r="K874" s="11"/>
      <c r="L874" s="11" t="s">
        <v>4596</v>
      </c>
      <c r="M874" s="11"/>
      <c r="N874" s="11"/>
      <c r="O874" s="11"/>
      <c r="P874" s="11" t="s">
        <v>102</v>
      </c>
      <c r="Q874" s="12">
        <v>113.282156</v>
      </c>
      <c r="R874" s="13">
        <v>23.231957000000001</v>
      </c>
      <c r="S874" s="11" t="s">
        <v>4593</v>
      </c>
      <c r="T874" s="11"/>
      <c r="U874" s="11" t="s">
        <v>104</v>
      </c>
      <c r="V874" s="11" t="s">
        <v>105</v>
      </c>
      <c r="W874" s="11" t="s">
        <v>106</v>
      </c>
      <c r="X874" s="11"/>
      <c r="Y874" s="11"/>
      <c r="Z874" s="11"/>
      <c r="AA874" s="12">
        <v>873</v>
      </c>
      <c r="AB874" s="12"/>
      <c r="AC874" s="11" t="s">
        <v>2505</v>
      </c>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row>
    <row r="875" spans="1:56" ht="56" x14ac:dyDescent="0.25">
      <c r="A875" s="11" t="s">
        <v>4597</v>
      </c>
      <c r="B875" s="11" t="s">
        <v>4598</v>
      </c>
      <c r="C875" s="11"/>
      <c r="D875" s="11" t="s">
        <v>91</v>
      </c>
      <c r="E875" s="11"/>
      <c r="F875" s="11" t="s">
        <v>4599</v>
      </c>
      <c r="G875" s="11" t="s">
        <v>4600</v>
      </c>
      <c r="H875" s="11" t="s">
        <v>94</v>
      </c>
      <c r="I875" s="11" t="s">
        <v>95</v>
      </c>
      <c r="J875" s="11" t="s">
        <v>96</v>
      </c>
      <c r="K875" s="11"/>
      <c r="L875" s="11" t="s">
        <v>4601</v>
      </c>
      <c r="M875" s="11"/>
      <c r="N875" s="11"/>
      <c r="O875" s="11"/>
      <c r="P875" s="11" t="s">
        <v>102</v>
      </c>
      <c r="Q875" s="12">
        <v>113.186037</v>
      </c>
      <c r="R875" s="13">
        <v>23.039256000000002</v>
      </c>
      <c r="S875" s="11" t="s">
        <v>4597</v>
      </c>
      <c r="T875" s="11"/>
      <c r="U875" s="11" t="s">
        <v>104</v>
      </c>
      <c r="V875" s="11" t="s">
        <v>105</v>
      </c>
      <c r="W875" s="11" t="s">
        <v>106</v>
      </c>
      <c r="X875" s="11"/>
      <c r="Y875" s="11"/>
      <c r="Z875" s="11"/>
      <c r="AA875" s="12">
        <v>874</v>
      </c>
      <c r="AB875" s="12"/>
      <c r="AC875" s="11" t="s">
        <v>2505</v>
      </c>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row>
    <row r="876" spans="1:56" ht="42" x14ac:dyDescent="0.25">
      <c r="A876" s="11" t="s">
        <v>4602</v>
      </c>
      <c r="B876" s="11" t="s">
        <v>4603</v>
      </c>
      <c r="C876" s="11"/>
      <c r="D876" s="11" t="s">
        <v>91</v>
      </c>
      <c r="E876" s="11"/>
      <c r="F876" s="11" t="s">
        <v>4604</v>
      </c>
      <c r="G876" s="11" t="s">
        <v>4605</v>
      </c>
      <c r="H876" s="11" t="s">
        <v>94</v>
      </c>
      <c r="I876" s="11" t="s">
        <v>121</v>
      </c>
      <c r="J876" s="11" t="s">
        <v>971</v>
      </c>
      <c r="K876" s="11"/>
      <c r="L876" s="11" t="s">
        <v>4606</v>
      </c>
      <c r="M876" s="11"/>
      <c r="N876" s="11"/>
      <c r="O876" s="11"/>
      <c r="P876" s="11" t="s">
        <v>102</v>
      </c>
      <c r="Q876" s="12">
        <v>113.266031</v>
      </c>
      <c r="R876" s="13">
        <v>23.193187000000002</v>
      </c>
      <c r="S876" s="11" t="s">
        <v>4602</v>
      </c>
      <c r="T876" s="11"/>
      <c r="U876" s="11" t="s">
        <v>104</v>
      </c>
      <c r="V876" s="11" t="s">
        <v>105</v>
      </c>
      <c r="W876" s="11" t="s">
        <v>106</v>
      </c>
      <c r="X876" s="11"/>
      <c r="Y876" s="11"/>
      <c r="Z876" s="11"/>
      <c r="AA876" s="12">
        <v>875</v>
      </c>
      <c r="AB876" s="12"/>
      <c r="AC876" s="11" t="s">
        <v>2505</v>
      </c>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row>
    <row r="877" spans="1:56" ht="42" x14ac:dyDescent="0.25">
      <c r="A877" s="11" t="s">
        <v>4607</v>
      </c>
      <c r="B877" s="11" t="s">
        <v>4608</v>
      </c>
      <c r="C877" s="11"/>
      <c r="D877" s="11" t="s">
        <v>91</v>
      </c>
      <c r="E877" s="11"/>
      <c r="F877" s="11" t="s">
        <v>4609</v>
      </c>
      <c r="G877" s="11" t="s">
        <v>4610</v>
      </c>
      <c r="H877" s="11" t="s">
        <v>94</v>
      </c>
      <c r="I877" s="11" t="s">
        <v>121</v>
      </c>
      <c r="J877" s="11" t="s">
        <v>131</v>
      </c>
      <c r="K877" s="11"/>
      <c r="L877" s="11" t="s">
        <v>4611</v>
      </c>
      <c r="M877" s="11"/>
      <c r="N877" s="11"/>
      <c r="O877" s="11"/>
      <c r="P877" s="11" t="s">
        <v>102</v>
      </c>
      <c r="Q877" s="12">
        <v>113.609371</v>
      </c>
      <c r="R877" s="13">
        <v>23.124834</v>
      </c>
      <c r="S877" s="11" t="s">
        <v>4607</v>
      </c>
      <c r="T877" s="11"/>
      <c r="U877" s="11" t="s">
        <v>104</v>
      </c>
      <c r="V877" s="11" t="s">
        <v>105</v>
      </c>
      <c r="W877" s="11" t="s">
        <v>106</v>
      </c>
      <c r="X877" s="11"/>
      <c r="Y877" s="11"/>
      <c r="Z877" s="11"/>
      <c r="AA877" s="12">
        <v>876</v>
      </c>
      <c r="AB877" s="12"/>
      <c r="AC877" s="11" t="s">
        <v>2505</v>
      </c>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row>
    <row r="878" spans="1:56" ht="56" x14ac:dyDescent="0.25">
      <c r="A878" s="11" t="s">
        <v>4612</v>
      </c>
      <c r="B878" s="11" t="s">
        <v>4613</v>
      </c>
      <c r="C878" s="11"/>
      <c r="D878" s="11" t="s">
        <v>91</v>
      </c>
      <c r="E878" s="11"/>
      <c r="F878" s="11" t="s">
        <v>4614</v>
      </c>
      <c r="G878" s="11" t="s">
        <v>4615</v>
      </c>
      <c r="H878" s="11" t="s">
        <v>94</v>
      </c>
      <c r="I878" s="11" t="s">
        <v>95</v>
      </c>
      <c r="J878" s="11" t="s">
        <v>1087</v>
      </c>
      <c r="K878" s="11"/>
      <c r="L878" s="11" t="s">
        <v>4616</v>
      </c>
      <c r="M878" s="11"/>
      <c r="N878" s="11"/>
      <c r="O878" s="11"/>
      <c r="P878" s="11" t="s">
        <v>102</v>
      </c>
      <c r="Q878" s="12">
        <v>113.123464</v>
      </c>
      <c r="R878" s="13">
        <v>22.999459000000002</v>
      </c>
      <c r="S878" s="11" t="s">
        <v>4612</v>
      </c>
      <c r="T878" s="11"/>
      <c r="U878" s="11" t="s">
        <v>104</v>
      </c>
      <c r="V878" s="11" t="s">
        <v>105</v>
      </c>
      <c r="W878" s="11" t="s">
        <v>106</v>
      </c>
      <c r="X878" s="11"/>
      <c r="Y878" s="11"/>
      <c r="Z878" s="11"/>
      <c r="AA878" s="12">
        <v>877</v>
      </c>
      <c r="AB878" s="12"/>
      <c r="AC878" s="11" t="s">
        <v>2505</v>
      </c>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row>
    <row r="879" spans="1:56" ht="42" x14ac:dyDescent="0.25">
      <c r="A879" s="11" t="s">
        <v>4617</v>
      </c>
      <c r="B879" s="11" t="s">
        <v>4618</v>
      </c>
      <c r="C879" s="11"/>
      <c r="D879" s="11" t="s">
        <v>91</v>
      </c>
      <c r="E879" s="11"/>
      <c r="F879" s="11" t="s">
        <v>4619</v>
      </c>
      <c r="G879" s="11" t="s">
        <v>4620</v>
      </c>
      <c r="H879" s="11" t="s">
        <v>94</v>
      </c>
      <c r="I879" s="11" t="s">
        <v>121</v>
      </c>
      <c r="J879" s="11" t="s">
        <v>131</v>
      </c>
      <c r="K879" s="11"/>
      <c r="L879" s="11" t="s">
        <v>4621</v>
      </c>
      <c r="M879" s="11"/>
      <c r="N879" s="11"/>
      <c r="O879" s="11"/>
      <c r="P879" s="11" t="s">
        <v>102</v>
      </c>
      <c r="Q879" s="12">
        <v>113.614589</v>
      </c>
      <c r="R879" s="13">
        <v>23.15662</v>
      </c>
      <c r="S879" s="11" t="s">
        <v>4617</v>
      </c>
      <c r="T879" s="11"/>
      <c r="U879" s="11" t="s">
        <v>104</v>
      </c>
      <c r="V879" s="11" t="s">
        <v>105</v>
      </c>
      <c r="W879" s="11" t="s">
        <v>106</v>
      </c>
      <c r="X879" s="11"/>
      <c r="Y879" s="11"/>
      <c r="Z879" s="11"/>
      <c r="AA879" s="12">
        <v>878</v>
      </c>
      <c r="AB879" s="12"/>
      <c r="AC879" s="11" t="s">
        <v>2505</v>
      </c>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row>
    <row r="880" spans="1:56" ht="42" x14ac:dyDescent="0.25">
      <c r="A880" s="11" t="s">
        <v>4622</v>
      </c>
      <c r="B880" s="11" t="s">
        <v>4623</v>
      </c>
      <c r="C880" s="11"/>
      <c r="D880" s="11" t="s">
        <v>91</v>
      </c>
      <c r="E880" s="11"/>
      <c r="F880" s="11" t="s">
        <v>4624</v>
      </c>
      <c r="G880" s="11" t="s">
        <v>4625</v>
      </c>
      <c r="H880" s="11" t="s">
        <v>94</v>
      </c>
      <c r="I880" s="11" t="s">
        <v>121</v>
      </c>
      <c r="J880" s="11" t="s">
        <v>971</v>
      </c>
      <c r="K880" s="11"/>
      <c r="L880" s="11" t="s">
        <v>4626</v>
      </c>
      <c r="M880" s="11"/>
      <c r="N880" s="11"/>
      <c r="O880" s="11"/>
      <c r="P880" s="11" t="s">
        <v>102</v>
      </c>
      <c r="Q880" s="12">
        <v>113.31901499999999</v>
      </c>
      <c r="R880" s="13">
        <v>23.181681999999999</v>
      </c>
      <c r="S880" s="11" t="s">
        <v>4622</v>
      </c>
      <c r="T880" s="11"/>
      <c r="U880" s="11" t="s">
        <v>104</v>
      </c>
      <c r="V880" s="11" t="s">
        <v>105</v>
      </c>
      <c r="W880" s="11" t="s">
        <v>106</v>
      </c>
      <c r="X880" s="11"/>
      <c r="Y880" s="11"/>
      <c r="Z880" s="11"/>
      <c r="AA880" s="12">
        <v>879</v>
      </c>
      <c r="AB880" s="12"/>
      <c r="AC880" s="11" t="s">
        <v>2029</v>
      </c>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row>
    <row r="881" spans="1:56" ht="42" x14ac:dyDescent="0.25">
      <c r="A881" s="11" t="s">
        <v>4627</v>
      </c>
      <c r="B881" s="11" t="s">
        <v>4628</v>
      </c>
      <c r="C881" s="11"/>
      <c r="D881" s="11" t="s">
        <v>91</v>
      </c>
      <c r="E881" s="11"/>
      <c r="F881" s="11" t="s">
        <v>601</v>
      </c>
      <c r="G881" s="11" t="s">
        <v>4629</v>
      </c>
      <c r="H881" s="11" t="s">
        <v>94</v>
      </c>
      <c r="I881" s="11" t="s">
        <v>112</v>
      </c>
      <c r="J881" s="11" t="s">
        <v>112</v>
      </c>
      <c r="K881" s="11"/>
      <c r="L881" s="11" t="s">
        <v>4630</v>
      </c>
      <c r="M881" s="11" t="s">
        <v>99</v>
      </c>
      <c r="N881" s="11"/>
      <c r="O881" s="11"/>
      <c r="P881" s="11" t="s">
        <v>102</v>
      </c>
      <c r="Q881" s="12">
        <v>113.732214</v>
      </c>
      <c r="R881" s="13">
        <v>22.998459</v>
      </c>
      <c r="S881" s="11" t="s">
        <v>4627</v>
      </c>
      <c r="T881" s="11"/>
      <c r="U881" s="11" t="s">
        <v>104</v>
      </c>
      <c r="V881" s="11" t="s">
        <v>105</v>
      </c>
      <c r="W881" s="11" t="s">
        <v>106</v>
      </c>
      <c r="X881" s="11"/>
      <c r="Y881" s="11"/>
      <c r="Z881" s="11"/>
      <c r="AA881" s="12">
        <v>880</v>
      </c>
      <c r="AB881" s="12"/>
      <c r="AC881" s="11" t="s">
        <v>2029</v>
      </c>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row>
    <row r="882" spans="1:56" ht="42" x14ac:dyDescent="0.25">
      <c r="A882" s="11" t="s">
        <v>4631</v>
      </c>
      <c r="B882" s="11" t="s">
        <v>4632</v>
      </c>
      <c r="C882" s="11"/>
      <c r="D882" s="11" t="s">
        <v>91</v>
      </c>
      <c r="E882" s="11"/>
      <c r="F882" s="11" t="s">
        <v>4633</v>
      </c>
      <c r="G882" s="11" t="s">
        <v>4634</v>
      </c>
      <c r="H882" s="11" t="s">
        <v>94</v>
      </c>
      <c r="I882" s="11" t="s">
        <v>121</v>
      </c>
      <c r="J882" s="11" t="s">
        <v>122</v>
      </c>
      <c r="K882" s="11"/>
      <c r="L882" s="11" t="s">
        <v>4635</v>
      </c>
      <c r="M882" s="11"/>
      <c r="N882" s="11"/>
      <c r="O882" s="11"/>
      <c r="P882" s="11" t="s">
        <v>102</v>
      </c>
      <c r="Q882" s="12">
        <v>113.411316</v>
      </c>
      <c r="R882" s="13">
        <v>23.114597</v>
      </c>
      <c r="S882" s="11" t="s">
        <v>4631</v>
      </c>
      <c r="T882" s="11"/>
      <c r="U882" s="11" t="s">
        <v>104</v>
      </c>
      <c r="V882" s="11" t="s">
        <v>105</v>
      </c>
      <c r="W882" s="11" t="s">
        <v>106</v>
      </c>
      <c r="X882" s="11"/>
      <c r="Y882" s="11"/>
      <c r="Z882" s="11"/>
      <c r="AA882" s="12">
        <v>881</v>
      </c>
      <c r="AB882" s="12"/>
      <c r="AC882" s="11" t="s">
        <v>2029</v>
      </c>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row>
    <row r="883" spans="1:56" ht="42" x14ac:dyDescent="0.25">
      <c r="A883" s="11" t="s">
        <v>4636</v>
      </c>
      <c r="B883" s="11" t="s">
        <v>4637</v>
      </c>
      <c r="C883" s="11"/>
      <c r="D883" s="11" t="s">
        <v>91</v>
      </c>
      <c r="E883" s="11"/>
      <c r="F883" s="11" t="s">
        <v>4638</v>
      </c>
      <c r="G883" s="11" t="s">
        <v>4639</v>
      </c>
      <c r="H883" s="11" t="s">
        <v>94</v>
      </c>
      <c r="I883" s="11" t="s">
        <v>121</v>
      </c>
      <c r="J883" s="11" t="s">
        <v>131</v>
      </c>
      <c r="K883" s="11"/>
      <c r="L883" s="11" t="s">
        <v>4640</v>
      </c>
      <c r="M883" s="11"/>
      <c r="N883" s="11"/>
      <c r="O883" s="11"/>
      <c r="P883" s="11" t="s">
        <v>102</v>
      </c>
      <c r="Q883" s="12">
        <v>113.61081299999999</v>
      </c>
      <c r="R883" s="13">
        <v>23.120892999999999</v>
      </c>
      <c r="S883" s="11" t="s">
        <v>4636</v>
      </c>
      <c r="T883" s="11"/>
      <c r="U883" s="11" t="s">
        <v>104</v>
      </c>
      <c r="V883" s="11" t="s">
        <v>105</v>
      </c>
      <c r="W883" s="11" t="s">
        <v>106</v>
      </c>
      <c r="X883" s="11"/>
      <c r="Y883" s="11"/>
      <c r="Z883" s="11"/>
      <c r="AA883" s="12">
        <v>882</v>
      </c>
      <c r="AB883" s="12"/>
      <c r="AC883" s="11" t="s">
        <v>2029</v>
      </c>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row>
    <row r="884" spans="1:56" ht="42" x14ac:dyDescent="0.25">
      <c r="A884" s="11" t="s">
        <v>4641</v>
      </c>
      <c r="B884" s="11" t="s">
        <v>4642</v>
      </c>
      <c r="C884" s="11"/>
      <c r="D884" s="11" t="s">
        <v>91</v>
      </c>
      <c r="E884" s="11"/>
      <c r="F884" s="11" t="s">
        <v>4643</v>
      </c>
      <c r="G884" s="11" t="s">
        <v>4644</v>
      </c>
      <c r="H884" s="11" t="s">
        <v>94</v>
      </c>
      <c r="I884" s="11" t="s">
        <v>121</v>
      </c>
      <c r="J884" s="11" t="s">
        <v>792</v>
      </c>
      <c r="K884" s="11"/>
      <c r="L884" s="11" t="s">
        <v>4645</v>
      </c>
      <c r="M884" s="11"/>
      <c r="N884" s="11"/>
      <c r="O884" s="11"/>
      <c r="P884" s="11" t="s">
        <v>102</v>
      </c>
      <c r="Q884" s="12">
        <v>113.55287</v>
      </c>
      <c r="R884" s="13">
        <v>23.114177000000002</v>
      </c>
      <c r="S884" s="11" t="s">
        <v>4641</v>
      </c>
      <c r="T884" s="11"/>
      <c r="U884" s="11" t="s">
        <v>104</v>
      </c>
      <c r="V884" s="11" t="s">
        <v>105</v>
      </c>
      <c r="W884" s="11" t="s">
        <v>106</v>
      </c>
      <c r="X884" s="11"/>
      <c r="Y884" s="11"/>
      <c r="Z884" s="11"/>
      <c r="AA884" s="12">
        <v>883</v>
      </c>
      <c r="AB884" s="12"/>
      <c r="AC884" s="11" t="s">
        <v>2029</v>
      </c>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row>
    <row r="885" spans="1:56" ht="42" x14ac:dyDescent="0.25">
      <c r="A885" s="11" t="s">
        <v>4646</v>
      </c>
      <c r="B885" s="11" t="s">
        <v>4647</v>
      </c>
      <c r="C885" s="11"/>
      <c r="D885" s="11" t="s">
        <v>91</v>
      </c>
      <c r="E885" s="11"/>
      <c r="F885" s="11" t="s">
        <v>4648</v>
      </c>
      <c r="G885" s="11" t="s">
        <v>2170</v>
      </c>
      <c r="H885" s="11" t="s">
        <v>94</v>
      </c>
      <c r="I885" s="11" t="s">
        <v>180</v>
      </c>
      <c r="J885" s="11" t="s">
        <v>1694</v>
      </c>
      <c r="K885" s="11"/>
      <c r="L885" s="11" t="s">
        <v>4649</v>
      </c>
      <c r="M885" s="11"/>
      <c r="N885" s="11"/>
      <c r="O885" s="11"/>
      <c r="P885" s="11" t="s">
        <v>102</v>
      </c>
      <c r="Q885" s="12">
        <v>114.347652</v>
      </c>
      <c r="R885" s="13">
        <v>22.678650000000001</v>
      </c>
      <c r="S885" s="11" t="s">
        <v>4646</v>
      </c>
      <c r="T885" s="11"/>
      <c r="U885" s="11" t="s">
        <v>104</v>
      </c>
      <c r="V885" s="11" t="s">
        <v>105</v>
      </c>
      <c r="W885" s="11" t="s">
        <v>106</v>
      </c>
      <c r="X885" s="11"/>
      <c r="Y885" s="11"/>
      <c r="Z885" s="11"/>
      <c r="AA885" s="12">
        <v>884</v>
      </c>
      <c r="AB885" s="12"/>
      <c r="AC885" s="11" t="s">
        <v>2029</v>
      </c>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row>
    <row r="886" spans="1:56" ht="42" x14ac:dyDescent="0.25">
      <c r="A886" s="11" t="s">
        <v>4650</v>
      </c>
      <c r="B886" s="11" t="s">
        <v>4651</v>
      </c>
      <c r="C886" s="11"/>
      <c r="D886" s="11" t="s">
        <v>91</v>
      </c>
      <c r="E886" s="11"/>
      <c r="F886" s="11" t="s">
        <v>4652</v>
      </c>
      <c r="G886" s="11" t="s">
        <v>4653</v>
      </c>
      <c r="H886" s="11" t="s">
        <v>94</v>
      </c>
      <c r="I886" s="11" t="s">
        <v>121</v>
      </c>
      <c r="J886" s="11" t="s">
        <v>971</v>
      </c>
      <c r="K886" s="11"/>
      <c r="L886" s="11" t="s">
        <v>4654</v>
      </c>
      <c r="M886" s="11"/>
      <c r="N886" s="11"/>
      <c r="O886" s="11"/>
      <c r="P886" s="11" t="s">
        <v>102</v>
      </c>
      <c r="Q886" s="12">
        <v>113.273905</v>
      </c>
      <c r="R886" s="13">
        <v>23.239684</v>
      </c>
      <c r="S886" s="11" t="s">
        <v>4650</v>
      </c>
      <c r="T886" s="11"/>
      <c r="U886" s="11" t="s">
        <v>104</v>
      </c>
      <c r="V886" s="11" t="s">
        <v>105</v>
      </c>
      <c r="W886" s="11" t="s">
        <v>106</v>
      </c>
      <c r="X886" s="11"/>
      <c r="Y886" s="11"/>
      <c r="Z886" s="11"/>
      <c r="AA886" s="12">
        <v>885</v>
      </c>
      <c r="AB886" s="12"/>
      <c r="AC886" s="11" t="s">
        <v>2029</v>
      </c>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row>
    <row r="887" spans="1:56" ht="42" x14ac:dyDescent="0.25">
      <c r="A887" s="11" t="s">
        <v>4655</v>
      </c>
      <c r="B887" s="11" t="s">
        <v>4656</v>
      </c>
      <c r="C887" s="11"/>
      <c r="D887" s="11" t="s">
        <v>91</v>
      </c>
      <c r="E887" s="11"/>
      <c r="F887" s="11" t="s">
        <v>4657</v>
      </c>
      <c r="G887" s="11" t="s">
        <v>4658</v>
      </c>
      <c r="H887" s="11" t="s">
        <v>94</v>
      </c>
      <c r="I887" s="11" t="s">
        <v>121</v>
      </c>
      <c r="J887" s="11" t="s">
        <v>971</v>
      </c>
      <c r="K887" s="11"/>
      <c r="L887" s="11" t="s">
        <v>4659</v>
      </c>
      <c r="M887" s="11"/>
      <c r="N887" s="11"/>
      <c r="O887" s="11"/>
      <c r="P887" s="11" t="s">
        <v>102</v>
      </c>
      <c r="Q887" s="12">
        <v>113.263983</v>
      </c>
      <c r="R887" s="13">
        <v>23.191500999999999</v>
      </c>
      <c r="S887" s="11" t="s">
        <v>4655</v>
      </c>
      <c r="T887" s="11"/>
      <c r="U887" s="11" t="s">
        <v>104</v>
      </c>
      <c r="V887" s="11" t="s">
        <v>105</v>
      </c>
      <c r="W887" s="11" t="s">
        <v>106</v>
      </c>
      <c r="X887" s="11"/>
      <c r="Y887" s="11"/>
      <c r="Z887" s="11"/>
      <c r="AA887" s="12">
        <v>886</v>
      </c>
      <c r="AB887" s="12"/>
      <c r="AC887" s="11" t="s">
        <v>2029</v>
      </c>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row>
    <row r="888" spans="1:56" ht="56" x14ac:dyDescent="0.25">
      <c r="A888" s="11" t="s">
        <v>4660</v>
      </c>
      <c r="B888" s="11" t="s">
        <v>4661</v>
      </c>
      <c r="C888" s="11"/>
      <c r="D888" s="11" t="s">
        <v>91</v>
      </c>
      <c r="E888" s="11"/>
      <c r="F888" s="11" t="s">
        <v>4662</v>
      </c>
      <c r="G888" s="11" t="s">
        <v>4663</v>
      </c>
      <c r="H888" s="11" t="s">
        <v>94</v>
      </c>
      <c r="I888" s="11" t="s">
        <v>95</v>
      </c>
      <c r="J888" s="11" t="s">
        <v>96</v>
      </c>
      <c r="K888" s="11"/>
      <c r="L888" s="11" t="s">
        <v>4664</v>
      </c>
      <c r="M888" s="11"/>
      <c r="N888" s="11"/>
      <c r="O888" s="11"/>
      <c r="P888" s="11" t="s">
        <v>102</v>
      </c>
      <c r="Q888" s="12">
        <v>113.16664299999999</v>
      </c>
      <c r="R888" s="13">
        <v>23.037566000000002</v>
      </c>
      <c r="S888" s="11" t="s">
        <v>4660</v>
      </c>
      <c r="T888" s="11"/>
      <c r="U888" s="11" t="s">
        <v>104</v>
      </c>
      <c r="V888" s="11" t="s">
        <v>105</v>
      </c>
      <c r="W888" s="11" t="s">
        <v>106</v>
      </c>
      <c r="X888" s="11"/>
      <c r="Y888" s="11"/>
      <c r="Z888" s="11"/>
      <c r="AA888" s="12">
        <v>887</v>
      </c>
      <c r="AB888" s="12"/>
      <c r="AC888" s="11" t="s">
        <v>2029</v>
      </c>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row>
    <row r="889" spans="1:56" ht="42" x14ac:dyDescent="0.25">
      <c r="A889" s="11" t="s">
        <v>4665</v>
      </c>
      <c r="B889" s="11" t="s">
        <v>4666</v>
      </c>
      <c r="C889" s="11"/>
      <c r="D889" s="11" t="s">
        <v>91</v>
      </c>
      <c r="E889" s="11"/>
      <c r="F889" s="11" t="s">
        <v>4667</v>
      </c>
      <c r="G889" s="11" t="s">
        <v>4668</v>
      </c>
      <c r="H889" s="11" t="s">
        <v>94</v>
      </c>
      <c r="I889" s="11" t="s">
        <v>95</v>
      </c>
      <c r="J889" s="11" t="s">
        <v>1087</v>
      </c>
      <c r="K889" s="11"/>
      <c r="L889" s="11" t="s">
        <v>4669</v>
      </c>
      <c r="M889" s="11"/>
      <c r="N889" s="11"/>
      <c r="O889" s="11"/>
      <c r="P889" s="11" t="s">
        <v>102</v>
      </c>
      <c r="Q889" s="12">
        <v>113.099779</v>
      </c>
      <c r="R889" s="13">
        <v>23.004331000000001</v>
      </c>
      <c r="S889" s="11" t="s">
        <v>4665</v>
      </c>
      <c r="T889" s="11"/>
      <c r="U889" s="11" t="s">
        <v>104</v>
      </c>
      <c r="V889" s="11" t="s">
        <v>105</v>
      </c>
      <c r="W889" s="11" t="s">
        <v>106</v>
      </c>
      <c r="X889" s="11"/>
      <c r="Y889" s="11"/>
      <c r="Z889" s="11"/>
      <c r="AA889" s="12">
        <v>888</v>
      </c>
      <c r="AB889" s="12"/>
      <c r="AC889" s="11" t="s">
        <v>2029</v>
      </c>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row>
    <row r="890" spans="1:56" ht="56" x14ac:dyDescent="0.25">
      <c r="A890" s="11" t="s">
        <v>4670</v>
      </c>
      <c r="B890" s="11" t="s">
        <v>4671</v>
      </c>
      <c r="C890" s="11"/>
      <c r="D890" s="11" t="s">
        <v>91</v>
      </c>
      <c r="E890" s="11"/>
      <c r="F890" s="11" t="s">
        <v>4672</v>
      </c>
      <c r="G890" s="11" t="s">
        <v>4673</v>
      </c>
      <c r="H890" s="11" t="s">
        <v>94</v>
      </c>
      <c r="I890" s="11" t="s">
        <v>112</v>
      </c>
      <c r="J890" s="11" t="s">
        <v>112</v>
      </c>
      <c r="K890" s="11"/>
      <c r="L890" s="11" t="s">
        <v>4674</v>
      </c>
      <c r="M890" s="11"/>
      <c r="N890" s="11"/>
      <c r="O890" s="11"/>
      <c r="P890" s="11" t="s">
        <v>102</v>
      </c>
      <c r="Q890" s="12">
        <v>114.143175</v>
      </c>
      <c r="R890" s="13">
        <v>22.747274999999998</v>
      </c>
      <c r="S890" s="11" t="s">
        <v>4670</v>
      </c>
      <c r="T890" s="11"/>
      <c r="U890" s="11" t="s">
        <v>104</v>
      </c>
      <c r="V890" s="11" t="s">
        <v>105</v>
      </c>
      <c r="W890" s="11" t="s">
        <v>106</v>
      </c>
      <c r="X890" s="11"/>
      <c r="Y890" s="11"/>
      <c r="Z890" s="11"/>
      <c r="AA890" s="12">
        <v>889</v>
      </c>
      <c r="AB890" s="12"/>
      <c r="AC890" s="11" t="s">
        <v>2029</v>
      </c>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row>
    <row r="891" spans="1:56" ht="56" x14ac:dyDescent="0.25">
      <c r="A891" s="11" t="s">
        <v>4675</v>
      </c>
      <c r="B891" s="11" t="s">
        <v>4676</v>
      </c>
      <c r="C891" s="11"/>
      <c r="D891" s="11" t="s">
        <v>91</v>
      </c>
      <c r="E891" s="11"/>
      <c r="F891" s="11" t="s">
        <v>4677</v>
      </c>
      <c r="G891" s="11" t="s">
        <v>4678</v>
      </c>
      <c r="H891" s="11" t="s">
        <v>94</v>
      </c>
      <c r="I891" s="11" t="s">
        <v>121</v>
      </c>
      <c r="J891" s="11" t="s">
        <v>737</v>
      </c>
      <c r="K891" s="11"/>
      <c r="L891" s="11" t="s">
        <v>4679</v>
      </c>
      <c r="M891" s="11"/>
      <c r="N891" s="11"/>
      <c r="O891" s="11"/>
      <c r="P891" s="11" t="s">
        <v>102</v>
      </c>
      <c r="Q891" s="12">
        <v>113.366392</v>
      </c>
      <c r="R891" s="13">
        <v>22.934028999999999</v>
      </c>
      <c r="S891" s="11" t="s">
        <v>4675</v>
      </c>
      <c r="T891" s="11"/>
      <c r="U891" s="11" t="s">
        <v>104</v>
      </c>
      <c r="V891" s="11" t="s">
        <v>105</v>
      </c>
      <c r="W891" s="11" t="s">
        <v>106</v>
      </c>
      <c r="X891" s="11"/>
      <c r="Y891" s="11"/>
      <c r="Z891" s="11"/>
      <c r="AA891" s="12">
        <v>890</v>
      </c>
      <c r="AB891" s="12"/>
      <c r="AC891" s="11" t="s">
        <v>2029</v>
      </c>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row>
    <row r="892" spans="1:56" ht="42" x14ac:dyDescent="0.25">
      <c r="A892" s="11" t="s">
        <v>4680</v>
      </c>
      <c r="B892" s="11" t="s">
        <v>4681</v>
      </c>
      <c r="C892" s="11"/>
      <c r="D892" s="11" t="s">
        <v>91</v>
      </c>
      <c r="E892" s="11"/>
      <c r="F892" s="11" t="s">
        <v>4682</v>
      </c>
      <c r="G892" s="11" t="s">
        <v>4683</v>
      </c>
      <c r="H892" s="11" t="s">
        <v>94</v>
      </c>
      <c r="I892" s="11" t="s">
        <v>95</v>
      </c>
      <c r="J892" s="11" t="s">
        <v>96</v>
      </c>
      <c r="K892" s="11"/>
      <c r="L892" s="11" t="s">
        <v>4684</v>
      </c>
      <c r="M892" s="11"/>
      <c r="N892" s="11"/>
      <c r="O892" s="11"/>
      <c r="P892" s="11" t="s">
        <v>102</v>
      </c>
      <c r="Q892" s="12">
        <v>113.194119</v>
      </c>
      <c r="R892" s="13">
        <v>23.110814000000001</v>
      </c>
      <c r="S892" s="11" t="s">
        <v>4680</v>
      </c>
      <c r="T892" s="11"/>
      <c r="U892" s="11" t="s">
        <v>104</v>
      </c>
      <c r="V892" s="11" t="s">
        <v>105</v>
      </c>
      <c r="W892" s="11" t="s">
        <v>106</v>
      </c>
      <c r="X892" s="11"/>
      <c r="Y892" s="11"/>
      <c r="Z892" s="11"/>
      <c r="AA892" s="12">
        <v>891</v>
      </c>
      <c r="AB892" s="12"/>
      <c r="AC892" s="11" t="s">
        <v>2029</v>
      </c>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row>
    <row r="893" spans="1:56" ht="42" x14ac:dyDescent="0.25">
      <c r="A893" s="11" t="s">
        <v>4685</v>
      </c>
      <c r="B893" s="11" t="s">
        <v>4686</v>
      </c>
      <c r="C893" s="11"/>
      <c r="D893" s="11" t="s">
        <v>91</v>
      </c>
      <c r="E893" s="11"/>
      <c r="F893" s="11" t="s">
        <v>4687</v>
      </c>
      <c r="G893" s="11" t="s">
        <v>4688</v>
      </c>
      <c r="H893" s="11" t="s">
        <v>94</v>
      </c>
      <c r="I893" s="11" t="s">
        <v>95</v>
      </c>
      <c r="J893" s="11" t="s">
        <v>749</v>
      </c>
      <c r="K893" s="11"/>
      <c r="L893" s="11" t="s">
        <v>4689</v>
      </c>
      <c r="M893" s="11"/>
      <c r="N893" s="11"/>
      <c r="O893" s="11"/>
      <c r="P893" s="11" t="s">
        <v>102</v>
      </c>
      <c r="Q893" s="12">
        <v>113.259693</v>
      </c>
      <c r="R893" s="13">
        <v>22.824096000000001</v>
      </c>
      <c r="S893" s="11" t="s">
        <v>4685</v>
      </c>
      <c r="T893" s="11"/>
      <c r="U893" s="11" t="s">
        <v>104</v>
      </c>
      <c r="V893" s="11" t="s">
        <v>105</v>
      </c>
      <c r="W893" s="11" t="s">
        <v>106</v>
      </c>
      <c r="X893" s="11"/>
      <c r="Y893" s="11"/>
      <c r="Z893" s="11"/>
      <c r="AA893" s="12">
        <v>892</v>
      </c>
      <c r="AB893" s="12"/>
      <c r="AC893" s="11" t="s">
        <v>2029</v>
      </c>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row>
    <row r="894" spans="1:56" ht="56" x14ac:dyDescent="0.25">
      <c r="A894" s="11" t="s">
        <v>4690</v>
      </c>
      <c r="B894" s="11" t="s">
        <v>4691</v>
      </c>
      <c r="C894" s="11"/>
      <c r="D894" s="11" t="s">
        <v>91</v>
      </c>
      <c r="E894" s="11"/>
      <c r="F894" s="11" t="s">
        <v>4692</v>
      </c>
      <c r="G894" s="11" t="s">
        <v>2743</v>
      </c>
      <c r="H894" s="11" t="s">
        <v>94</v>
      </c>
      <c r="I894" s="11" t="s">
        <v>112</v>
      </c>
      <c r="J894" s="11" t="s">
        <v>112</v>
      </c>
      <c r="K894" s="11"/>
      <c r="L894" s="11" t="s">
        <v>4693</v>
      </c>
      <c r="M894" s="11" t="s">
        <v>115</v>
      </c>
      <c r="N894" s="11"/>
      <c r="O894" s="11"/>
      <c r="P894" s="11" t="s">
        <v>102</v>
      </c>
      <c r="Q894" s="12">
        <v>114.015406</v>
      </c>
      <c r="R894" s="13">
        <v>23.066362999999999</v>
      </c>
      <c r="S894" s="11" t="s">
        <v>4690</v>
      </c>
      <c r="T894" s="11"/>
      <c r="U894" s="11" t="s">
        <v>104</v>
      </c>
      <c r="V894" s="11" t="s">
        <v>105</v>
      </c>
      <c r="W894" s="11" t="s">
        <v>106</v>
      </c>
      <c r="X894" s="11"/>
      <c r="Y894" s="11"/>
      <c r="Z894" s="11"/>
      <c r="AA894" s="12">
        <v>893</v>
      </c>
      <c r="AB894" s="12"/>
      <c r="AC894" s="11" t="s">
        <v>116</v>
      </c>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row>
    <row r="895" spans="1:56" ht="56" x14ac:dyDescent="0.25">
      <c r="A895" s="11" t="s">
        <v>4694</v>
      </c>
      <c r="B895" s="11" t="s">
        <v>4695</v>
      </c>
      <c r="C895" s="11"/>
      <c r="D895" s="11" t="s">
        <v>91</v>
      </c>
      <c r="E895" s="11"/>
      <c r="F895" s="11" t="s">
        <v>4696</v>
      </c>
      <c r="G895" s="11" t="s">
        <v>4697</v>
      </c>
      <c r="H895" s="11" t="s">
        <v>94</v>
      </c>
      <c r="I895" s="11" t="s">
        <v>121</v>
      </c>
      <c r="J895" s="11" t="s">
        <v>799</v>
      </c>
      <c r="K895" s="11"/>
      <c r="L895" s="11" t="s">
        <v>4698</v>
      </c>
      <c r="M895" s="11"/>
      <c r="N895" s="11"/>
      <c r="O895" s="11"/>
      <c r="P895" s="11" t="s">
        <v>102</v>
      </c>
      <c r="Q895" s="12">
        <v>113.170851</v>
      </c>
      <c r="R895" s="13">
        <v>23.462465999999999</v>
      </c>
      <c r="S895" s="11" t="s">
        <v>4694</v>
      </c>
      <c r="T895" s="11"/>
      <c r="U895" s="11" t="s">
        <v>104</v>
      </c>
      <c r="V895" s="11" t="s">
        <v>105</v>
      </c>
      <c r="W895" s="11" t="s">
        <v>106</v>
      </c>
      <c r="X895" s="11"/>
      <c r="Y895" s="11"/>
      <c r="Z895" s="11"/>
      <c r="AA895" s="12">
        <v>894</v>
      </c>
      <c r="AB895" s="12"/>
      <c r="AC895" s="11" t="s">
        <v>116</v>
      </c>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row>
    <row r="896" spans="1:56" ht="56" x14ac:dyDescent="0.25">
      <c r="A896" s="11" t="s">
        <v>2630</v>
      </c>
      <c r="B896" s="11" t="s">
        <v>4699</v>
      </c>
      <c r="C896" s="11"/>
      <c r="D896" s="11" t="s">
        <v>91</v>
      </c>
      <c r="E896" s="11"/>
      <c r="F896" s="11" t="s">
        <v>4700</v>
      </c>
      <c r="G896" s="11" t="s">
        <v>4701</v>
      </c>
      <c r="H896" s="11" t="s">
        <v>94</v>
      </c>
      <c r="I896" s="11" t="s">
        <v>121</v>
      </c>
      <c r="J896" s="11" t="s">
        <v>799</v>
      </c>
      <c r="K896" s="11"/>
      <c r="L896" s="11" t="s">
        <v>4702</v>
      </c>
      <c r="M896" s="11" t="s">
        <v>115</v>
      </c>
      <c r="N896" s="11"/>
      <c r="O896" s="11"/>
      <c r="P896" s="11" t="s">
        <v>102</v>
      </c>
      <c r="Q896" s="12">
        <v>113.237936</v>
      </c>
      <c r="R896" s="13">
        <v>23.407855999999999</v>
      </c>
      <c r="S896" s="11" t="s">
        <v>2630</v>
      </c>
      <c r="T896" s="11"/>
      <c r="U896" s="11" t="s">
        <v>104</v>
      </c>
      <c r="V896" s="11" t="s">
        <v>105</v>
      </c>
      <c r="W896" s="11" t="s">
        <v>106</v>
      </c>
      <c r="X896" s="11"/>
      <c r="Y896" s="11"/>
      <c r="Z896" s="11"/>
      <c r="AA896" s="12">
        <v>895</v>
      </c>
      <c r="AB896" s="12"/>
      <c r="AC896" s="11" t="s">
        <v>116</v>
      </c>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row>
    <row r="897" spans="1:56" ht="70" x14ac:dyDescent="0.25">
      <c r="A897" s="11" t="s">
        <v>4703</v>
      </c>
      <c r="B897" s="11" t="s">
        <v>4704</v>
      </c>
      <c r="C897" s="11"/>
      <c r="D897" s="11" t="s">
        <v>91</v>
      </c>
      <c r="E897" s="11"/>
      <c r="F897" s="11" t="s">
        <v>4705</v>
      </c>
      <c r="G897" s="11" t="s">
        <v>4706</v>
      </c>
      <c r="H897" s="11" t="s">
        <v>94</v>
      </c>
      <c r="I897" s="11" t="s">
        <v>121</v>
      </c>
      <c r="J897" s="11" t="s">
        <v>971</v>
      </c>
      <c r="K897" s="11"/>
      <c r="L897" s="11" t="s">
        <v>4707</v>
      </c>
      <c r="M897" s="11"/>
      <c r="N897" s="11"/>
      <c r="O897" s="11"/>
      <c r="P897" s="11" t="s">
        <v>102</v>
      </c>
      <c r="Q897" s="12">
        <v>113.256694</v>
      </c>
      <c r="R897" s="13">
        <v>23.186603999999999</v>
      </c>
      <c r="S897" s="11" t="s">
        <v>4703</v>
      </c>
      <c r="T897" s="11"/>
      <c r="U897" s="11" t="s">
        <v>104</v>
      </c>
      <c r="V897" s="11" t="s">
        <v>105</v>
      </c>
      <c r="W897" s="11" t="s">
        <v>106</v>
      </c>
      <c r="X897" s="11"/>
      <c r="Y897" s="11"/>
      <c r="Z897" s="11"/>
      <c r="AA897" s="12">
        <v>896</v>
      </c>
      <c r="AB897" s="12"/>
      <c r="AC897" s="11" t="s">
        <v>116</v>
      </c>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row>
    <row r="898" spans="1:56" ht="84" x14ac:dyDescent="0.25">
      <c r="A898" s="11" t="s">
        <v>4708</v>
      </c>
      <c r="B898" s="11" t="s">
        <v>4709</v>
      </c>
      <c r="C898" s="11"/>
      <c r="D898" s="11" t="s">
        <v>91</v>
      </c>
      <c r="E898" s="11"/>
      <c r="F898" s="11" t="s">
        <v>4710</v>
      </c>
      <c r="G898" s="11" t="s">
        <v>4711</v>
      </c>
      <c r="H898" s="11" t="s">
        <v>94</v>
      </c>
      <c r="I898" s="11" t="s">
        <v>95</v>
      </c>
      <c r="J898" s="11" t="s">
        <v>96</v>
      </c>
      <c r="K898" s="11"/>
      <c r="L898" s="11" t="s">
        <v>4712</v>
      </c>
      <c r="M898" s="11" t="s">
        <v>115</v>
      </c>
      <c r="N898" s="11" t="s">
        <v>174</v>
      </c>
      <c r="O898" s="11" t="s">
        <v>101</v>
      </c>
      <c r="P898" s="11" t="s">
        <v>102</v>
      </c>
      <c r="Q898" s="12">
        <v>113.001666</v>
      </c>
      <c r="R898" s="13">
        <v>23.118442000000002</v>
      </c>
      <c r="S898" s="11" t="s">
        <v>4708</v>
      </c>
      <c r="T898" s="11"/>
      <c r="U898" s="11" t="s">
        <v>104</v>
      </c>
      <c r="V898" s="11" t="s">
        <v>105</v>
      </c>
      <c r="W898" s="11" t="s">
        <v>106</v>
      </c>
      <c r="X898" s="11"/>
      <c r="Y898" s="11"/>
      <c r="Z898" s="11"/>
      <c r="AA898" s="12">
        <v>897</v>
      </c>
      <c r="AB898" s="12"/>
      <c r="AC898" s="11" t="s">
        <v>116</v>
      </c>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row>
    <row r="899" spans="1:56" ht="70" x14ac:dyDescent="0.25">
      <c r="A899" s="11" t="s">
        <v>4713</v>
      </c>
      <c r="B899" s="11" t="s">
        <v>4714</v>
      </c>
      <c r="C899" s="11"/>
      <c r="D899" s="11" t="s">
        <v>91</v>
      </c>
      <c r="E899" s="11"/>
      <c r="F899" s="11" t="s">
        <v>4715</v>
      </c>
      <c r="G899" s="11" t="s">
        <v>4716</v>
      </c>
      <c r="H899" s="11" t="s">
        <v>94</v>
      </c>
      <c r="I899" s="11" t="s">
        <v>95</v>
      </c>
      <c r="J899" s="11" t="s">
        <v>96</v>
      </c>
      <c r="K899" s="11"/>
      <c r="L899" s="11" t="s">
        <v>4717</v>
      </c>
      <c r="M899" s="11"/>
      <c r="N899" s="11"/>
      <c r="O899" s="11"/>
      <c r="P899" s="11" t="s">
        <v>102</v>
      </c>
      <c r="Q899" s="12">
        <v>113.113658</v>
      </c>
      <c r="R899" s="13">
        <v>23.103838</v>
      </c>
      <c r="S899" s="11" t="s">
        <v>4713</v>
      </c>
      <c r="T899" s="11"/>
      <c r="U899" s="11" t="s">
        <v>104</v>
      </c>
      <c r="V899" s="11" t="s">
        <v>105</v>
      </c>
      <c r="W899" s="11" t="s">
        <v>106</v>
      </c>
      <c r="X899" s="11"/>
      <c r="Y899" s="11"/>
      <c r="Z899" s="11"/>
      <c r="AA899" s="12">
        <v>898</v>
      </c>
      <c r="AB899" s="12"/>
      <c r="AC899" s="11" t="s">
        <v>116</v>
      </c>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row>
    <row r="900" spans="1:56" ht="56" x14ac:dyDescent="0.25">
      <c r="A900" s="11" t="s">
        <v>4718</v>
      </c>
      <c r="B900" s="11" t="s">
        <v>4719</v>
      </c>
      <c r="C900" s="11"/>
      <c r="D900" s="11" t="s">
        <v>91</v>
      </c>
      <c r="E900" s="11"/>
      <c r="F900" s="11" t="s">
        <v>601</v>
      </c>
      <c r="G900" s="11" t="s">
        <v>4720</v>
      </c>
      <c r="H900" s="11" t="s">
        <v>94</v>
      </c>
      <c r="I900" s="11" t="s">
        <v>95</v>
      </c>
      <c r="J900" s="11" t="s">
        <v>1087</v>
      </c>
      <c r="K900" s="11"/>
      <c r="L900" s="11" t="s">
        <v>4721</v>
      </c>
      <c r="M900" s="11"/>
      <c r="N900" s="11"/>
      <c r="O900" s="11"/>
      <c r="P900" s="11" t="s">
        <v>102</v>
      </c>
      <c r="Q900" s="12">
        <v>113.051118</v>
      </c>
      <c r="R900" s="13">
        <v>23.020147000000001</v>
      </c>
      <c r="S900" s="11" t="s">
        <v>4718</v>
      </c>
      <c r="T900" s="11"/>
      <c r="U900" s="11" t="s">
        <v>104</v>
      </c>
      <c r="V900" s="11" t="s">
        <v>105</v>
      </c>
      <c r="W900" s="11" t="s">
        <v>106</v>
      </c>
      <c r="X900" s="11"/>
      <c r="Y900" s="11"/>
      <c r="Z900" s="11"/>
      <c r="AA900" s="12">
        <v>899</v>
      </c>
      <c r="AB900" s="12"/>
      <c r="AC900" s="11" t="s">
        <v>116</v>
      </c>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row>
    <row r="901" spans="1:56" ht="70" x14ac:dyDescent="0.25">
      <c r="A901" s="11" t="s">
        <v>4722</v>
      </c>
      <c r="B901" s="11" t="s">
        <v>4723</v>
      </c>
      <c r="C901" s="11"/>
      <c r="D901" s="11" t="s">
        <v>91</v>
      </c>
      <c r="E901" s="11"/>
      <c r="F901" s="11" t="s">
        <v>601</v>
      </c>
      <c r="G901" s="11" t="s">
        <v>4724</v>
      </c>
      <c r="H901" s="11" t="s">
        <v>94</v>
      </c>
      <c r="I901" s="11" t="s">
        <v>121</v>
      </c>
      <c r="J901" s="11" t="s">
        <v>122</v>
      </c>
      <c r="K901" s="11"/>
      <c r="L901" s="11" t="s">
        <v>4725</v>
      </c>
      <c r="M901" s="11"/>
      <c r="N901" s="11"/>
      <c r="O901" s="11"/>
      <c r="P901" s="11" t="s">
        <v>102</v>
      </c>
      <c r="Q901" s="12">
        <v>113.342629</v>
      </c>
      <c r="R901" s="13">
        <v>23.176131000000002</v>
      </c>
      <c r="S901" s="11" t="s">
        <v>4722</v>
      </c>
      <c r="T901" s="11"/>
      <c r="U901" s="11" t="s">
        <v>104</v>
      </c>
      <c r="V901" s="11" t="s">
        <v>105</v>
      </c>
      <c r="W901" s="11" t="s">
        <v>106</v>
      </c>
      <c r="X901" s="11"/>
      <c r="Y901" s="11"/>
      <c r="Z901" s="11"/>
      <c r="AA901" s="12">
        <v>900</v>
      </c>
      <c r="AB901" s="12"/>
      <c r="AC901" s="11" t="s">
        <v>116</v>
      </c>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row>
    <row r="902" spans="1:56" ht="56" x14ac:dyDescent="0.25">
      <c r="A902" s="11" t="s">
        <v>4726</v>
      </c>
      <c r="B902" s="11" t="s">
        <v>4727</v>
      </c>
      <c r="C902" s="11"/>
      <c r="D902" s="11" t="s">
        <v>91</v>
      </c>
      <c r="E902" s="11"/>
      <c r="F902" s="11" t="s">
        <v>601</v>
      </c>
      <c r="G902" s="11" t="s">
        <v>4728</v>
      </c>
      <c r="H902" s="11" t="s">
        <v>94</v>
      </c>
      <c r="I902" s="11" t="s">
        <v>121</v>
      </c>
      <c r="J902" s="11" t="s">
        <v>131</v>
      </c>
      <c r="K902" s="11"/>
      <c r="L902" s="11" t="s">
        <v>4729</v>
      </c>
      <c r="M902" s="11"/>
      <c r="N902" s="11"/>
      <c r="O902" s="11"/>
      <c r="P902" s="11" t="s">
        <v>102</v>
      </c>
      <c r="Q902" s="12">
        <v>113.61819300000001</v>
      </c>
      <c r="R902" s="13">
        <v>23.159707999999998</v>
      </c>
      <c r="S902" s="11" t="s">
        <v>4726</v>
      </c>
      <c r="T902" s="11"/>
      <c r="U902" s="11" t="s">
        <v>104</v>
      </c>
      <c r="V902" s="11" t="s">
        <v>105</v>
      </c>
      <c r="W902" s="11" t="s">
        <v>106</v>
      </c>
      <c r="X902" s="11"/>
      <c r="Y902" s="11"/>
      <c r="Z902" s="11"/>
      <c r="AA902" s="12">
        <v>901</v>
      </c>
      <c r="AB902" s="12"/>
      <c r="AC902" s="11" t="s">
        <v>116</v>
      </c>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row>
    <row r="903" spans="1:56" ht="56" x14ac:dyDescent="0.25">
      <c r="A903" s="11" t="s">
        <v>4730</v>
      </c>
      <c r="B903" s="11" t="s">
        <v>4731</v>
      </c>
      <c r="C903" s="11"/>
      <c r="D903" s="11" t="s">
        <v>91</v>
      </c>
      <c r="E903" s="11"/>
      <c r="F903" s="11" t="s">
        <v>601</v>
      </c>
      <c r="G903" s="11" t="s">
        <v>4732</v>
      </c>
      <c r="H903" s="11" t="s">
        <v>94</v>
      </c>
      <c r="I903" s="11" t="s">
        <v>121</v>
      </c>
      <c r="J903" s="11" t="s">
        <v>792</v>
      </c>
      <c r="K903" s="11"/>
      <c r="L903" s="11" t="s">
        <v>4733</v>
      </c>
      <c r="M903" s="11"/>
      <c r="N903" s="11"/>
      <c r="O903" s="11"/>
      <c r="P903" s="11" t="s">
        <v>102</v>
      </c>
      <c r="Q903" s="12">
        <v>113.555352</v>
      </c>
      <c r="R903" s="13">
        <v>23.188658</v>
      </c>
      <c r="S903" s="11" t="s">
        <v>4730</v>
      </c>
      <c r="T903" s="11"/>
      <c r="U903" s="11" t="s">
        <v>104</v>
      </c>
      <c r="V903" s="11" t="s">
        <v>105</v>
      </c>
      <c r="W903" s="11" t="s">
        <v>106</v>
      </c>
      <c r="X903" s="11"/>
      <c r="Y903" s="11"/>
      <c r="Z903" s="11"/>
      <c r="AA903" s="12">
        <v>902</v>
      </c>
      <c r="AB903" s="12"/>
      <c r="AC903" s="11" t="s">
        <v>116</v>
      </c>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row>
    <row r="904" spans="1:56" ht="56" x14ac:dyDescent="0.25">
      <c r="A904" s="11" t="s">
        <v>4734</v>
      </c>
      <c r="B904" s="11" t="s">
        <v>4735</v>
      </c>
      <c r="C904" s="11"/>
      <c r="D904" s="11" t="s">
        <v>91</v>
      </c>
      <c r="E904" s="11"/>
      <c r="F904" s="11" t="s">
        <v>601</v>
      </c>
      <c r="G904" s="11" t="s">
        <v>4736</v>
      </c>
      <c r="H904" s="11" t="s">
        <v>94</v>
      </c>
      <c r="I904" s="11" t="s">
        <v>95</v>
      </c>
      <c r="J904" s="11" t="s">
        <v>96</v>
      </c>
      <c r="K904" s="11"/>
      <c r="L904" s="11" t="s">
        <v>4737</v>
      </c>
      <c r="M904" s="11"/>
      <c r="N904" s="11"/>
      <c r="O904" s="11"/>
      <c r="P904" s="11" t="s">
        <v>102</v>
      </c>
      <c r="Q904" s="12">
        <v>113.190151</v>
      </c>
      <c r="R904" s="13">
        <v>23.086296000000001</v>
      </c>
      <c r="S904" s="11" t="s">
        <v>4734</v>
      </c>
      <c r="T904" s="11"/>
      <c r="U904" s="11" t="s">
        <v>104</v>
      </c>
      <c r="V904" s="11" t="s">
        <v>105</v>
      </c>
      <c r="W904" s="11" t="s">
        <v>106</v>
      </c>
      <c r="X904" s="11"/>
      <c r="Y904" s="11"/>
      <c r="Z904" s="11"/>
      <c r="AA904" s="12">
        <v>903</v>
      </c>
      <c r="AB904" s="12"/>
      <c r="AC904" s="11" t="s">
        <v>116</v>
      </c>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row>
    <row r="905" spans="1:56" ht="56" x14ac:dyDescent="0.25">
      <c r="A905" s="11" t="s">
        <v>4738</v>
      </c>
      <c r="B905" s="11" t="s">
        <v>4739</v>
      </c>
      <c r="C905" s="11"/>
      <c r="D905" s="11" t="s">
        <v>91</v>
      </c>
      <c r="E905" s="11"/>
      <c r="F905" s="11" t="s">
        <v>601</v>
      </c>
      <c r="G905" s="11" t="s">
        <v>4740</v>
      </c>
      <c r="H905" s="11" t="s">
        <v>94</v>
      </c>
      <c r="I905" s="11" t="s">
        <v>121</v>
      </c>
      <c r="J905" s="11" t="s">
        <v>122</v>
      </c>
      <c r="K905" s="11"/>
      <c r="L905" s="11" t="s">
        <v>4741</v>
      </c>
      <c r="M905" s="11"/>
      <c r="N905" s="11"/>
      <c r="O905" s="11"/>
      <c r="P905" s="11" t="s">
        <v>102</v>
      </c>
      <c r="Q905" s="12">
        <v>113.39428599999999</v>
      </c>
      <c r="R905" s="13">
        <v>23.157240999999999</v>
      </c>
      <c r="S905" s="11" t="s">
        <v>4738</v>
      </c>
      <c r="T905" s="11"/>
      <c r="U905" s="11" t="s">
        <v>104</v>
      </c>
      <c r="V905" s="11" t="s">
        <v>105</v>
      </c>
      <c r="W905" s="11" t="s">
        <v>106</v>
      </c>
      <c r="X905" s="11"/>
      <c r="Y905" s="11"/>
      <c r="Z905" s="11"/>
      <c r="AA905" s="12">
        <v>904</v>
      </c>
      <c r="AB905" s="12"/>
      <c r="AC905" s="11" t="s">
        <v>116</v>
      </c>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row>
    <row r="906" spans="1:56" ht="56" x14ac:dyDescent="0.25">
      <c r="A906" s="11" t="s">
        <v>4742</v>
      </c>
      <c r="B906" s="11" t="s">
        <v>4743</v>
      </c>
      <c r="C906" s="11"/>
      <c r="D906" s="11" t="s">
        <v>91</v>
      </c>
      <c r="E906" s="11"/>
      <c r="F906" s="11" t="s">
        <v>601</v>
      </c>
      <c r="G906" s="11" t="s">
        <v>4744</v>
      </c>
      <c r="H906" s="11" t="s">
        <v>94</v>
      </c>
      <c r="I906" s="11" t="s">
        <v>121</v>
      </c>
      <c r="J906" s="11" t="s">
        <v>131</v>
      </c>
      <c r="K906" s="11"/>
      <c r="L906" s="11" t="s">
        <v>4745</v>
      </c>
      <c r="M906" s="11"/>
      <c r="N906" s="11"/>
      <c r="O906" s="11"/>
      <c r="P906" s="11" t="s">
        <v>102</v>
      </c>
      <c r="Q906" s="12">
        <v>113.614851</v>
      </c>
      <c r="R906" s="13">
        <v>23.123850999999998</v>
      </c>
      <c r="S906" s="11" t="s">
        <v>4742</v>
      </c>
      <c r="T906" s="11"/>
      <c r="U906" s="11" t="s">
        <v>104</v>
      </c>
      <c r="V906" s="11" t="s">
        <v>105</v>
      </c>
      <c r="W906" s="11" t="s">
        <v>106</v>
      </c>
      <c r="X906" s="11"/>
      <c r="Y906" s="11"/>
      <c r="Z906" s="11"/>
      <c r="AA906" s="12">
        <v>905</v>
      </c>
      <c r="AB906" s="12"/>
      <c r="AC906" s="11" t="s">
        <v>116</v>
      </c>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row>
    <row r="907" spans="1:56" ht="70" x14ac:dyDescent="0.25">
      <c r="A907" s="11" t="s">
        <v>4746</v>
      </c>
      <c r="B907" s="11" t="s">
        <v>4747</v>
      </c>
      <c r="C907" s="11"/>
      <c r="D907" s="11" t="s">
        <v>91</v>
      </c>
      <c r="E907" s="11"/>
      <c r="F907" s="11" t="s">
        <v>601</v>
      </c>
      <c r="G907" s="11" t="s">
        <v>4748</v>
      </c>
      <c r="H907" s="11" t="s">
        <v>94</v>
      </c>
      <c r="I907" s="11" t="s">
        <v>121</v>
      </c>
      <c r="J907" s="11" t="s">
        <v>792</v>
      </c>
      <c r="K907" s="11"/>
      <c r="L907" s="11" t="s">
        <v>4749</v>
      </c>
      <c r="M907" s="11"/>
      <c r="N907" s="11"/>
      <c r="O907" s="11"/>
      <c r="P907" s="11" t="s">
        <v>102</v>
      </c>
      <c r="Q907" s="12">
        <v>113.52763899999999</v>
      </c>
      <c r="R907" s="13">
        <v>23.067421</v>
      </c>
      <c r="S907" s="11" t="s">
        <v>4746</v>
      </c>
      <c r="T907" s="11"/>
      <c r="U907" s="11" t="s">
        <v>104</v>
      </c>
      <c r="V907" s="11" t="s">
        <v>105</v>
      </c>
      <c r="W907" s="11" t="s">
        <v>106</v>
      </c>
      <c r="X907" s="11"/>
      <c r="Y907" s="11"/>
      <c r="Z907" s="11"/>
      <c r="AA907" s="12">
        <v>906</v>
      </c>
      <c r="AB907" s="12"/>
      <c r="AC907" s="11" t="s">
        <v>116</v>
      </c>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row>
    <row r="908" spans="1:56" ht="56" x14ac:dyDescent="0.25">
      <c r="A908" s="11" t="s">
        <v>4750</v>
      </c>
      <c r="B908" s="11" t="s">
        <v>4751</v>
      </c>
      <c r="C908" s="11"/>
      <c r="D908" s="11" t="s">
        <v>91</v>
      </c>
      <c r="E908" s="11"/>
      <c r="F908" s="11" t="s">
        <v>601</v>
      </c>
      <c r="G908" s="11" t="s">
        <v>4752</v>
      </c>
      <c r="H908" s="11" t="s">
        <v>94</v>
      </c>
      <c r="I908" s="11" t="s">
        <v>121</v>
      </c>
      <c r="J908" s="11" t="s">
        <v>122</v>
      </c>
      <c r="K908" s="11"/>
      <c r="L908" s="11" t="s">
        <v>4753</v>
      </c>
      <c r="M908" s="11" t="s">
        <v>115</v>
      </c>
      <c r="N908" s="11"/>
      <c r="O908" s="11"/>
      <c r="P908" s="11" t="s">
        <v>102</v>
      </c>
      <c r="Q908" s="12">
        <v>113.380824</v>
      </c>
      <c r="R908" s="13">
        <v>23.122271000000001</v>
      </c>
      <c r="S908" s="11" t="s">
        <v>4750</v>
      </c>
      <c r="T908" s="11"/>
      <c r="U908" s="11" t="s">
        <v>104</v>
      </c>
      <c r="V908" s="11" t="s">
        <v>105</v>
      </c>
      <c r="W908" s="11" t="s">
        <v>106</v>
      </c>
      <c r="X908" s="11"/>
      <c r="Y908" s="11"/>
      <c r="Z908" s="11"/>
      <c r="AA908" s="12">
        <v>907</v>
      </c>
      <c r="AB908" s="12"/>
      <c r="AC908" s="11" t="s">
        <v>116</v>
      </c>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row>
    <row r="909" spans="1:56" ht="70" x14ac:dyDescent="0.25">
      <c r="A909" s="11" t="s">
        <v>4754</v>
      </c>
      <c r="B909" s="11" t="s">
        <v>4755</v>
      </c>
      <c r="C909" s="11"/>
      <c r="D909" s="11" t="s">
        <v>91</v>
      </c>
      <c r="E909" s="11" t="s">
        <v>92</v>
      </c>
      <c r="F909" s="11" t="s">
        <v>601</v>
      </c>
      <c r="G909" s="11" t="s">
        <v>4756</v>
      </c>
      <c r="H909" s="11" t="s">
        <v>94</v>
      </c>
      <c r="I909" s="11" t="s">
        <v>95</v>
      </c>
      <c r="J909" s="11" t="s">
        <v>749</v>
      </c>
      <c r="K909" s="11"/>
      <c r="L909" s="11" t="s">
        <v>4757</v>
      </c>
      <c r="M909" s="11" t="s">
        <v>115</v>
      </c>
      <c r="N909" s="11" t="s">
        <v>174</v>
      </c>
      <c r="O909" s="11" t="s">
        <v>101</v>
      </c>
      <c r="P909" s="11" t="s">
        <v>102</v>
      </c>
      <c r="Q909" s="12">
        <v>113.263986</v>
      </c>
      <c r="R909" s="13">
        <v>22.827850999999999</v>
      </c>
      <c r="S909" s="11" t="s">
        <v>4754</v>
      </c>
      <c r="T909" s="11"/>
      <c r="U909" s="11" t="s">
        <v>104</v>
      </c>
      <c r="V909" s="11" t="s">
        <v>105</v>
      </c>
      <c r="W909" s="11" t="s">
        <v>106</v>
      </c>
      <c r="X909" s="11"/>
      <c r="Y909" s="11"/>
      <c r="Z909" s="11"/>
      <c r="AA909" s="12">
        <v>908</v>
      </c>
      <c r="AB909" s="12"/>
      <c r="AC909" s="11" t="s">
        <v>116</v>
      </c>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row>
    <row r="910" spans="1:56" ht="56" x14ac:dyDescent="0.25">
      <c r="A910" s="11" t="s">
        <v>4758</v>
      </c>
      <c r="B910" s="11" t="s">
        <v>4759</v>
      </c>
      <c r="C910" s="11"/>
      <c r="D910" s="11" t="s">
        <v>91</v>
      </c>
      <c r="E910" s="11"/>
      <c r="F910" s="11" t="s">
        <v>601</v>
      </c>
      <c r="G910" s="11" t="s">
        <v>4760</v>
      </c>
      <c r="H910" s="11" t="s">
        <v>94</v>
      </c>
      <c r="I910" s="11" t="s">
        <v>121</v>
      </c>
      <c r="J910" s="11" t="s">
        <v>792</v>
      </c>
      <c r="K910" s="11"/>
      <c r="L910" s="11" t="s">
        <v>4761</v>
      </c>
      <c r="M910" s="11"/>
      <c r="N910" s="11"/>
      <c r="O910" s="11"/>
      <c r="P910" s="11" t="s">
        <v>102</v>
      </c>
      <c r="Q910" s="12">
        <v>113.47427399999999</v>
      </c>
      <c r="R910" s="13">
        <v>23.095217000000002</v>
      </c>
      <c r="S910" s="11" t="s">
        <v>4758</v>
      </c>
      <c r="T910" s="11"/>
      <c r="U910" s="11" t="s">
        <v>104</v>
      </c>
      <c r="V910" s="11" t="s">
        <v>105</v>
      </c>
      <c r="W910" s="11" t="s">
        <v>106</v>
      </c>
      <c r="X910" s="11"/>
      <c r="Y910" s="11"/>
      <c r="Z910" s="11"/>
      <c r="AA910" s="12">
        <v>909</v>
      </c>
      <c r="AB910" s="12"/>
      <c r="AC910" s="11" t="s">
        <v>116</v>
      </c>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row>
    <row r="911" spans="1:56" ht="70" x14ac:dyDescent="0.25">
      <c r="A911" s="11" t="s">
        <v>4762</v>
      </c>
      <c r="B911" s="11" t="s">
        <v>4763</v>
      </c>
      <c r="C911" s="11"/>
      <c r="D911" s="11" t="s">
        <v>91</v>
      </c>
      <c r="E911" s="11"/>
      <c r="F911" s="11" t="s">
        <v>4764</v>
      </c>
      <c r="G911" s="11" t="s">
        <v>4765</v>
      </c>
      <c r="H911" s="11" t="s">
        <v>94</v>
      </c>
      <c r="I911" s="11" t="s">
        <v>121</v>
      </c>
      <c r="J911" s="11" t="s">
        <v>971</v>
      </c>
      <c r="K911" s="11"/>
      <c r="L911" s="11" t="s">
        <v>4766</v>
      </c>
      <c r="M911" s="11" t="s">
        <v>115</v>
      </c>
      <c r="N911" s="11" t="s">
        <v>100</v>
      </c>
      <c r="O911" s="11" t="s">
        <v>101</v>
      </c>
      <c r="P911" s="11" t="s">
        <v>102</v>
      </c>
      <c r="Q911" s="12">
        <v>113.235292</v>
      </c>
      <c r="R911" s="13">
        <v>23.166771000000001</v>
      </c>
      <c r="S911" s="11" t="s">
        <v>4762</v>
      </c>
      <c r="T911" s="11"/>
      <c r="U911" s="11" t="s">
        <v>104</v>
      </c>
      <c r="V911" s="11" t="s">
        <v>105</v>
      </c>
      <c r="W911" s="11" t="s">
        <v>106</v>
      </c>
      <c r="X911" s="11"/>
      <c r="Y911" s="11"/>
      <c r="Z911" s="11"/>
      <c r="AA911" s="12">
        <v>910</v>
      </c>
      <c r="AB911" s="12"/>
      <c r="AC911" s="11" t="s">
        <v>116</v>
      </c>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row>
    <row r="912" spans="1:56" ht="56" x14ac:dyDescent="0.25">
      <c r="A912" s="11" t="s">
        <v>4767</v>
      </c>
      <c r="B912" s="11" t="s">
        <v>4768</v>
      </c>
      <c r="C912" s="11"/>
      <c r="D912" s="11" t="s">
        <v>91</v>
      </c>
      <c r="E912" s="11"/>
      <c r="F912" s="11" t="s">
        <v>601</v>
      </c>
      <c r="G912" s="11" t="s">
        <v>4769</v>
      </c>
      <c r="H912" s="11" t="s">
        <v>94</v>
      </c>
      <c r="I912" s="11" t="s">
        <v>95</v>
      </c>
      <c r="J912" s="11" t="s">
        <v>749</v>
      </c>
      <c r="K912" s="11"/>
      <c r="L912" s="11" t="s">
        <v>4770</v>
      </c>
      <c r="M912" s="11" t="s">
        <v>115</v>
      </c>
      <c r="N912" s="11"/>
      <c r="O912" s="11"/>
      <c r="P912" s="11" t="s">
        <v>102</v>
      </c>
      <c r="Q912" s="12">
        <v>113.271021</v>
      </c>
      <c r="R912" s="13">
        <v>22.749849999999999</v>
      </c>
      <c r="S912" s="11" t="s">
        <v>4767</v>
      </c>
      <c r="T912" s="11"/>
      <c r="U912" s="11" t="s">
        <v>104</v>
      </c>
      <c r="V912" s="11" t="s">
        <v>105</v>
      </c>
      <c r="W912" s="11" t="s">
        <v>106</v>
      </c>
      <c r="X912" s="11"/>
      <c r="Y912" s="11"/>
      <c r="Z912" s="11"/>
      <c r="AA912" s="12">
        <v>911</v>
      </c>
      <c r="AB912" s="12"/>
      <c r="AC912" s="11" t="s">
        <v>116</v>
      </c>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row>
    <row r="913" spans="1:56" ht="70" x14ac:dyDescent="0.25">
      <c r="A913" s="11" t="s">
        <v>4771</v>
      </c>
      <c r="B913" s="11" t="s">
        <v>4772</v>
      </c>
      <c r="C913" s="11"/>
      <c r="D913" s="11" t="s">
        <v>91</v>
      </c>
      <c r="E913" s="11"/>
      <c r="F913" s="11" t="s">
        <v>601</v>
      </c>
      <c r="G913" s="11" t="s">
        <v>4773</v>
      </c>
      <c r="H913" s="11" t="s">
        <v>94</v>
      </c>
      <c r="I913" s="11" t="s">
        <v>121</v>
      </c>
      <c r="J913" s="11" t="s">
        <v>971</v>
      </c>
      <c r="K913" s="11"/>
      <c r="L913" s="11" t="s">
        <v>4774</v>
      </c>
      <c r="M913" s="11" t="s">
        <v>115</v>
      </c>
      <c r="N913" s="11" t="s">
        <v>100</v>
      </c>
      <c r="O913" s="11" t="s">
        <v>101</v>
      </c>
      <c r="P913" s="11" t="s">
        <v>102</v>
      </c>
      <c r="Q913" s="12">
        <v>113.293784</v>
      </c>
      <c r="R913" s="13">
        <v>23.347750999999999</v>
      </c>
      <c r="S913" s="11" t="s">
        <v>4771</v>
      </c>
      <c r="T913" s="11"/>
      <c r="U913" s="11" t="s">
        <v>104</v>
      </c>
      <c r="V913" s="11" t="s">
        <v>105</v>
      </c>
      <c r="W913" s="11" t="s">
        <v>106</v>
      </c>
      <c r="X913" s="11"/>
      <c r="Y913" s="11"/>
      <c r="Z913" s="11"/>
      <c r="AA913" s="12">
        <v>912</v>
      </c>
      <c r="AB913" s="12"/>
      <c r="AC913" s="11" t="s">
        <v>116</v>
      </c>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row>
    <row r="914" spans="1:56" ht="56" x14ac:dyDescent="0.25">
      <c r="A914" s="11" t="s">
        <v>4775</v>
      </c>
      <c r="B914" s="11" t="s">
        <v>4776</v>
      </c>
      <c r="C914" s="11"/>
      <c r="D914" s="11" t="s">
        <v>91</v>
      </c>
      <c r="E914" s="11"/>
      <c r="F914" s="11" t="s">
        <v>4777</v>
      </c>
      <c r="G914" s="11" t="s">
        <v>4778</v>
      </c>
      <c r="H914" s="11" t="s">
        <v>94</v>
      </c>
      <c r="I914" s="11" t="s">
        <v>95</v>
      </c>
      <c r="J914" s="11" t="s">
        <v>96</v>
      </c>
      <c r="K914" s="11"/>
      <c r="L914" s="11" t="s">
        <v>4779</v>
      </c>
      <c r="M914" s="11" t="s">
        <v>115</v>
      </c>
      <c r="N914" s="11"/>
      <c r="O914" s="11"/>
      <c r="P914" s="11" t="s">
        <v>102</v>
      </c>
      <c r="Q914" s="12">
        <v>113.19031699999999</v>
      </c>
      <c r="R914" s="13">
        <v>23.034272999999999</v>
      </c>
      <c r="S914" s="11" t="s">
        <v>4775</v>
      </c>
      <c r="T914" s="11"/>
      <c r="U914" s="11" t="s">
        <v>104</v>
      </c>
      <c r="V914" s="11" t="s">
        <v>105</v>
      </c>
      <c r="W914" s="11" t="s">
        <v>106</v>
      </c>
      <c r="X914" s="11"/>
      <c r="Y914" s="11"/>
      <c r="Z914" s="11"/>
      <c r="AA914" s="12">
        <v>913</v>
      </c>
      <c r="AB914" s="12"/>
      <c r="AC914" s="11" t="s">
        <v>116</v>
      </c>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row>
    <row r="915" spans="1:56" ht="56" x14ac:dyDescent="0.25">
      <c r="A915" s="11" t="s">
        <v>4780</v>
      </c>
      <c r="B915" s="11" t="s">
        <v>4781</v>
      </c>
      <c r="C915" s="11"/>
      <c r="D915" s="11" t="s">
        <v>91</v>
      </c>
      <c r="E915" s="11"/>
      <c r="F915" s="11" t="s">
        <v>601</v>
      </c>
      <c r="G915" s="11" t="s">
        <v>4782</v>
      </c>
      <c r="H915" s="11" t="s">
        <v>94</v>
      </c>
      <c r="I915" s="11" t="s">
        <v>121</v>
      </c>
      <c r="J915" s="11" t="s">
        <v>792</v>
      </c>
      <c r="K915" s="11"/>
      <c r="L915" s="11" t="s">
        <v>4783</v>
      </c>
      <c r="M915" s="11"/>
      <c r="N915" s="11"/>
      <c r="O915" s="11"/>
      <c r="P915" s="11" t="s">
        <v>102</v>
      </c>
      <c r="Q915" s="12">
        <v>113.49994700000001</v>
      </c>
      <c r="R915" s="13">
        <v>23.157335</v>
      </c>
      <c r="S915" s="11" t="s">
        <v>4780</v>
      </c>
      <c r="T915" s="11"/>
      <c r="U915" s="11" t="s">
        <v>104</v>
      </c>
      <c r="V915" s="11" t="s">
        <v>105</v>
      </c>
      <c r="W915" s="11" t="s">
        <v>106</v>
      </c>
      <c r="X915" s="11"/>
      <c r="Y915" s="11"/>
      <c r="Z915" s="11"/>
      <c r="AA915" s="12">
        <v>914</v>
      </c>
      <c r="AB915" s="12"/>
      <c r="AC915" s="11" t="s">
        <v>116</v>
      </c>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row>
    <row r="916" spans="1:56" ht="56" x14ac:dyDescent="0.25">
      <c r="A916" s="11" t="s">
        <v>4784</v>
      </c>
      <c r="B916" s="11" t="s">
        <v>4785</v>
      </c>
      <c r="C916" s="11"/>
      <c r="D916" s="11" t="s">
        <v>91</v>
      </c>
      <c r="E916" s="11"/>
      <c r="F916" s="11" t="s">
        <v>601</v>
      </c>
      <c r="G916" s="11" t="s">
        <v>4786</v>
      </c>
      <c r="H916" s="11" t="s">
        <v>94</v>
      </c>
      <c r="I916" s="11" t="s">
        <v>121</v>
      </c>
      <c r="J916" s="11" t="s">
        <v>2007</v>
      </c>
      <c r="K916" s="11"/>
      <c r="L916" s="11" t="s">
        <v>4787</v>
      </c>
      <c r="M916" s="11"/>
      <c r="N916" s="11"/>
      <c r="O916" s="11"/>
      <c r="P916" s="11" t="s">
        <v>102</v>
      </c>
      <c r="Q916" s="12">
        <v>113.23237399999999</v>
      </c>
      <c r="R916" s="13">
        <v>23.133077</v>
      </c>
      <c r="S916" s="11" t="s">
        <v>4784</v>
      </c>
      <c r="T916" s="11"/>
      <c r="U916" s="11" t="s">
        <v>104</v>
      </c>
      <c r="V916" s="11" t="s">
        <v>105</v>
      </c>
      <c r="W916" s="11" t="s">
        <v>106</v>
      </c>
      <c r="X916" s="11"/>
      <c r="Y916" s="11"/>
      <c r="Z916" s="11"/>
      <c r="AA916" s="12">
        <v>915</v>
      </c>
      <c r="AB916" s="12"/>
      <c r="AC916" s="11" t="s">
        <v>116</v>
      </c>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row>
    <row r="917" spans="1:56" ht="56" x14ac:dyDescent="0.25">
      <c r="A917" s="11" t="s">
        <v>4788</v>
      </c>
      <c r="B917" s="11" t="s">
        <v>4789</v>
      </c>
      <c r="C917" s="11"/>
      <c r="D917" s="11" t="s">
        <v>91</v>
      </c>
      <c r="E917" s="11"/>
      <c r="F917" s="11" t="s">
        <v>601</v>
      </c>
      <c r="G917" s="11" t="s">
        <v>4790</v>
      </c>
      <c r="H917" s="11" t="s">
        <v>94</v>
      </c>
      <c r="I917" s="11" t="s">
        <v>95</v>
      </c>
      <c r="J917" s="11" t="s">
        <v>749</v>
      </c>
      <c r="K917" s="11"/>
      <c r="L917" s="11" t="s">
        <v>4791</v>
      </c>
      <c r="M917" s="11"/>
      <c r="N917" s="11"/>
      <c r="O917" s="11"/>
      <c r="P917" s="11" t="s">
        <v>102</v>
      </c>
      <c r="Q917" s="12">
        <v>113.094109</v>
      </c>
      <c r="R917" s="13">
        <v>22.95346</v>
      </c>
      <c r="S917" s="11" t="s">
        <v>4788</v>
      </c>
      <c r="T917" s="11"/>
      <c r="U917" s="11" t="s">
        <v>104</v>
      </c>
      <c r="V917" s="11" t="s">
        <v>105</v>
      </c>
      <c r="W917" s="11" t="s">
        <v>106</v>
      </c>
      <c r="X917" s="11"/>
      <c r="Y917" s="11"/>
      <c r="Z917" s="11"/>
      <c r="AA917" s="12">
        <v>916</v>
      </c>
      <c r="AB917" s="12"/>
      <c r="AC917" s="11" t="s">
        <v>116</v>
      </c>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row>
    <row r="918" spans="1:56" ht="56" x14ac:dyDescent="0.25">
      <c r="A918" s="11" t="s">
        <v>4792</v>
      </c>
      <c r="B918" s="11" t="s">
        <v>4793</v>
      </c>
      <c r="C918" s="11"/>
      <c r="D918" s="11" t="s">
        <v>91</v>
      </c>
      <c r="E918" s="11"/>
      <c r="F918" s="11" t="s">
        <v>601</v>
      </c>
      <c r="G918" s="11" t="s">
        <v>4794</v>
      </c>
      <c r="H918" s="11" t="s">
        <v>94</v>
      </c>
      <c r="I918" s="11" t="s">
        <v>121</v>
      </c>
      <c r="J918" s="11" t="s">
        <v>2285</v>
      </c>
      <c r="K918" s="11"/>
      <c r="L918" s="11" t="s">
        <v>4795</v>
      </c>
      <c r="M918" s="11"/>
      <c r="N918" s="11"/>
      <c r="O918" s="11"/>
      <c r="P918" s="11" t="s">
        <v>102</v>
      </c>
      <c r="Q918" s="12">
        <v>113.32419400000001</v>
      </c>
      <c r="R918" s="13">
        <v>23.090246</v>
      </c>
      <c r="S918" s="11" t="s">
        <v>4792</v>
      </c>
      <c r="T918" s="11"/>
      <c r="U918" s="11" t="s">
        <v>104</v>
      </c>
      <c r="V918" s="11" t="s">
        <v>105</v>
      </c>
      <c r="W918" s="11" t="s">
        <v>106</v>
      </c>
      <c r="X918" s="11"/>
      <c r="Y918" s="11"/>
      <c r="Z918" s="11"/>
      <c r="AA918" s="12">
        <v>917</v>
      </c>
      <c r="AB918" s="12"/>
      <c r="AC918" s="11" t="s">
        <v>116</v>
      </c>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row>
    <row r="919" spans="1:56" ht="70" x14ac:dyDescent="0.25">
      <c r="A919" s="11" t="s">
        <v>4796</v>
      </c>
      <c r="B919" s="11" t="s">
        <v>4797</v>
      </c>
      <c r="C919" s="11"/>
      <c r="D919" s="11" t="s">
        <v>91</v>
      </c>
      <c r="E919" s="11"/>
      <c r="F919" s="11" t="s">
        <v>601</v>
      </c>
      <c r="G919" s="11" t="s">
        <v>4798</v>
      </c>
      <c r="H919" s="11" t="s">
        <v>94</v>
      </c>
      <c r="I919" s="11" t="s">
        <v>95</v>
      </c>
      <c r="J919" s="11" t="s">
        <v>96</v>
      </c>
      <c r="K919" s="11"/>
      <c r="L919" s="11" t="s">
        <v>4799</v>
      </c>
      <c r="M919" s="11"/>
      <c r="N919" s="11"/>
      <c r="O919" s="11"/>
      <c r="P919" s="11" t="s">
        <v>102</v>
      </c>
      <c r="Q919" s="12">
        <v>113.189581</v>
      </c>
      <c r="R919" s="13">
        <v>23.136759000000001</v>
      </c>
      <c r="S919" s="11" t="s">
        <v>4796</v>
      </c>
      <c r="T919" s="11"/>
      <c r="U919" s="11" t="s">
        <v>104</v>
      </c>
      <c r="V919" s="11" t="s">
        <v>105</v>
      </c>
      <c r="W919" s="11" t="s">
        <v>106</v>
      </c>
      <c r="X919" s="11"/>
      <c r="Y919" s="11"/>
      <c r="Z919" s="11"/>
      <c r="AA919" s="12">
        <v>918</v>
      </c>
      <c r="AB919" s="12"/>
      <c r="AC919" s="11" t="s">
        <v>116</v>
      </c>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row>
    <row r="920" spans="1:56" ht="84" x14ac:dyDescent="0.25">
      <c r="A920" s="11" t="s">
        <v>4800</v>
      </c>
      <c r="B920" s="11" t="s">
        <v>4801</v>
      </c>
      <c r="C920" s="11"/>
      <c r="D920" s="11" t="s">
        <v>91</v>
      </c>
      <c r="E920" s="11"/>
      <c r="F920" s="11" t="s">
        <v>601</v>
      </c>
      <c r="G920" s="11" t="s">
        <v>4802</v>
      </c>
      <c r="H920" s="11" t="s">
        <v>94</v>
      </c>
      <c r="I920" s="11" t="s">
        <v>121</v>
      </c>
      <c r="J920" s="11" t="s">
        <v>971</v>
      </c>
      <c r="K920" s="11"/>
      <c r="L920" s="11" t="s">
        <v>4803</v>
      </c>
      <c r="M920" s="11" t="s">
        <v>115</v>
      </c>
      <c r="N920" s="11" t="s">
        <v>100</v>
      </c>
      <c r="O920" s="11" t="s">
        <v>101</v>
      </c>
      <c r="P920" s="11" t="s">
        <v>102</v>
      </c>
      <c r="Q920" s="12">
        <v>113.229006</v>
      </c>
      <c r="R920" s="13">
        <v>23.274816000000001</v>
      </c>
      <c r="S920" s="11" t="s">
        <v>4800</v>
      </c>
      <c r="T920" s="11"/>
      <c r="U920" s="11" t="s">
        <v>104</v>
      </c>
      <c r="V920" s="11" t="s">
        <v>105</v>
      </c>
      <c r="W920" s="11" t="s">
        <v>106</v>
      </c>
      <c r="X920" s="11"/>
      <c r="Y920" s="11"/>
      <c r="Z920" s="11"/>
      <c r="AA920" s="12">
        <v>919</v>
      </c>
      <c r="AB920" s="12"/>
      <c r="AC920" s="11" t="s">
        <v>116</v>
      </c>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row>
    <row r="921" spans="1:56" ht="70" x14ac:dyDescent="0.25">
      <c r="A921" s="11" t="s">
        <v>4804</v>
      </c>
      <c r="B921" s="11" t="s">
        <v>4805</v>
      </c>
      <c r="C921" s="11"/>
      <c r="D921" s="11" t="s">
        <v>91</v>
      </c>
      <c r="E921" s="11"/>
      <c r="F921" s="11" t="s">
        <v>601</v>
      </c>
      <c r="G921" s="11" t="s">
        <v>4806</v>
      </c>
      <c r="H921" s="11" t="s">
        <v>94</v>
      </c>
      <c r="I921" s="11" t="s">
        <v>121</v>
      </c>
      <c r="J921" s="11" t="s">
        <v>971</v>
      </c>
      <c r="K921" s="11"/>
      <c r="L921" s="11" t="s">
        <v>4807</v>
      </c>
      <c r="M921" s="11" t="s">
        <v>115</v>
      </c>
      <c r="N921" s="11"/>
      <c r="O921" s="11"/>
      <c r="P921" s="11" t="s">
        <v>102</v>
      </c>
      <c r="Q921" s="12">
        <v>113.28604300000001</v>
      </c>
      <c r="R921" s="13">
        <v>23.237287999999999</v>
      </c>
      <c r="S921" s="11" t="s">
        <v>4804</v>
      </c>
      <c r="T921" s="11"/>
      <c r="U921" s="11" t="s">
        <v>104</v>
      </c>
      <c r="V921" s="11" t="s">
        <v>105</v>
      </c>
      <c r="W921" s="11" t="s">
        <v>106</v>
      </c>
      <c r="X921" s="11"/>
      <c r="Y921" s="11"/>
      <c r="Z921" s="11"/>
      <c r="AA921" s="12">
        <v>920</v>
      </c>
      <c r="AB921" s="12"/>
      <c r="AC921" s="11" t="s">
        <v>116</v>
      </c>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row>
    <row r="922" spans="1:56" ht="56" x14ac:dyDescent="0.25">
      <c r="A922" s="11" t="s">
        <v>4808</v>
      </c>
      <c r="B922" s="11" t="s">
        <v>4809</v>
      </c>
      <c r="C922" s="11"/>
      <c r="D922" s="11" t="s">
        <v>91</v>
      </c>
      <c r="E922" s="11"/>
      <c r="F922" s="11" t="s">
        <v>4810</v>
      </c>
      <c r="G922" s="11" t="s">
        <v>4811</v>
      </c>
      <c r="H922" s="11" t="s">
        <v>94</v>
      </c>
      <c r="I922" s="11" t="s">
        <v>95</v>
      </c>
      <c r="J922" s="11" t="s">
        <v>749</v>
      </c>
      <c r="K922" s="11"/>
      <c r="L922" s="11" t="s">
        <v>4812</v>
      </c>
      <c r="M922" s="11" t="s">
        <v>115</v>
      </c>
      <c r="N922" s="11"/>
      <c r="O922" s="11"/>
      <c r="P922" s="11" t="s">
        <v>102</v>
      </c>
      <c r="Q922" s="12">
        <v>113.338921</v>
      </c>
      <c r="R922" s="13">
        <v>22.760218999999999</v>
      </c>
      <c r="S922" s="11" t="s">
        <v>4808</v>
      </c>
      <c r="T922" s="11"/>
      <c r="U922" s="11" t="s">
        <v>104</v>
      </c>
      <c r="V922" s="11" t="s">
        <v>105</v>
      </c>
      <c r="W922" s="11" t="s">
        <v>106</v>
      </c>
      <c r="X922" s="11"/>
      <c r="Y922" s="11"/>
      <c r="Z922" s="11"/>
      <c r="AA922" s="12">
        <v>921</v>
      </c>
      <c r="AB922" s="12"/>
      <c r="AC922" s="11" t="s">
        <v>116</v>
      </c>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row>
    <row r="923" spans="1:56" ht="70" x14ac:dyDescent="0.25">
      <c r="A923" s="11" t="s">
        <v>4813</v>
      </c>
      <c r="B923" s="11" t="s">
        <v>4814</v>
      </c>
      <c r="C923" s="11"/>
      <c r="D923" s="11" t="s">
        <v>91</v>
      </c>
      <c r="E923" s="11"/>
      <c r="F923" s="11" t="s">
        <v>4815</v>
      </c>
      <c r="G923" s="11" t="s">
        <v>4816</v>
      </c>
      <c r="H923" s="11" t="s">
        <v>94</v>
      </c>
      <c r="I923" s="11" t="s">
        <v>121</v>
      </c>
      <c r="J923" s="11" t="s">
        <v>2007</v>
      </c>
      <c r="K923" s="11"/>
      <c r="L923" s="11" t="s">
        <v>4817</v>
      </c>
      <c r="M923" s="11"/>
      <c r="N923" s="11"/>
      <c r="O923" s="11"/>
      <c r="P923" s="11" t="s">
        <v>102</v>
      </c>
      <c r="Q923" s="12">
        <v>113.236003</v>
      </c>
      <c r="R923" s="13">
        <v>23.068961999999999</v>
      </c>
      <c r="S923" s="11" t="s">
        <v>4813</v>
      </c>
      <c r="T923" s="11"/>
      <c r="U923" s="11" t="s">
        <v>104</v>
      </c>
      <c r="V923" s="11" t="s">
        <v>105</v>
      </c>
      <c r="W923" s="11" t="s">
        <v>106</v>
      </c>
      <c r="X923" s="11"/>
      <c r="Y923" s="11"/>
      <c r="Z923" s="11"/>
      <c r="AA923" s="12">
        <v>922</v>
      </c>
      <c r="AB923" s="12"/>
      <c r="AC923" s="11" t="s">
        <v>116</v>
      </c>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row>
    <row r="924" spans="1:56" ht="56" x14ac:dyDescent="0.25">
      <c r="A924" s="11" t="s">
        <v>4818</v>
      </c>
      <c r="B924" s="11" t="s">
        <v>4819</v>
      </c>
      <c r="C924" s="11"/>
      <c r="D924" s="11" t="s">
        <v>91</v>
      </c>
      <c r="E924" s="11"/>
      <c r="F924" s="11" t="s">
        <v>601</v>
      </c>
      <c r="G924" s="11" t="s">
        <v>4820</v>
      </c>
      <c r="H924" s="11" t="s">
        <v>94</v>
      </c>
      <c r="I924" s="11" t="s">
        <v>121</v>
      </c>
      <c r="J924" s="11" t="s">
        <v>2285</v>
      </c>
      <c r="K924" s="11"/>
      <c r="L924" s="11" t="s">
        <v>4821</v>
      </c>
      <c r="M924" s="11"/>
      <c r="N924" s="11"/>
      <c r="O924" s="11"/>
      <c r="P924" s="11" t="s">
        <v>102</v>
      </c>
      <c r="Q924" s="12">
        <v>113.280896</v>
      </c>
      <c r="R924" s="13">
        <v>23.084987999999999</v>
      </c>
      <c r="S924" s="11" t="s">
        <v>4818</v>
      </c>
      <c r="T924" s="11"/>
      <c r="U924" s="11" t="s">
        <v>104</v>
      </c>
      <c r="V924" s="11" t="s">
        <v>105</v>
      </c>
      <c r="W924" s="11" t="s">
        <v>106</v>
      </c>
      <c r="X924" s="11"/>
      <c r="Y924" s="11"/>
      <c r="Z924" s="11"/>
      <c r="AA924" s="12">
        <v>923</v>
      </c>
      <c r="AB924" s="12"/>
      <c r="AC924" s="11" t="s">
        <v>116</v>
      </c>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row>
    <row r="925" spans="1:56" ht="56" x14ac:dyDescent="0.25">
      <c r="A925" s="11" t="s">
        <v>4822</v>
      </c>
      <c r="B925" s="11" t="s">
        <v>4823</v>
      </c>
      <c r="C925" s="11"/>
      <c r="D925" s="11" t="s">
        <v>91</v>
      </c>
      <c r="E925" s="11" t="s">
        <v>92</v>
      </c>
      <c r="F925" s="11" t="s">
        <v>4824</v>
      </c>
      <c r="G925" s="11" t="s">
        <v>4825</v>
      </c>
      <c r="H925" s="11" t="s">
        <v>94</v>
      </c>
      <c r="I925" s="11" t="s">
        <v>95</v>
      </c>
      <c r="J925" s="11" t="s">
        <v>96</v>
      </c>
      <c r="K925" s="11"/>
      <c r="L925" s="11" t="s">
        <v>4826</v>
      </c>
      <c r="M925" s="11" t="s">
        <v>115</v>
      </c>
      <c r="N925" s="11" t="s">
        <v>174</v>
      </c>
      <c r="O925" s="11" t="s">
        <v>101</v>
      </c>
      <c r="P925" s="11" t="s">
        <v>102</v>
      </c>
      <c r="Q925" s="12">
        <v>113.153679</v>
      </c>
      <c r="R925" s="13">
        <v>23.007971000000001</v>
      </c>
      <c r="S925" s="11" t="s">
        <v>4822</v>
      </c>
      <c r="T925" s="11"/>
      <c r="U925" s="11" t="s">
        <v>104</v>
      </c>
      <c r="V925" s="11" t="s">
        <v>105</v>
      </c>
      <c r="W925" s="11" t="s">
        <v>106</v>
      </c>
      <c r="X925" s="11"/>
      <c r="Y925" s="11"/>
      <c r="Z925" s="11"/>
      <c r="AA925" s="12">
        <v>924</v>
      </c>
      <c r="AB925" s="12"/>
      <c r="AC925" s="11" t="s">
        <v>116</v>
      </c>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row>
    <row r="926" spans="1:56" ht="70" x14ac:dyDescent="0.25">
      <c r="A926" s="11" t="s">
        <v>4827</v>
      </c>
      <c r="B926" s="11" t="s">
        <v>4828</v>
      </c>
      <c r="C926" s="11"/>
      <c r="D926" s="11" t="s">
        <v>91</v>
      </c>
      <c r="E926" s="11"/>
      <c r="F926" s="11" t="s">
        <v>601</v>
      </c>
      <c r="G926" s="11" t="s">
        <v>4829</v>
      </c>
      <c r="H926" s="11" t="s">
        <v>94</v>
      </c>
      <c r="I926" s="11" t="s">
        <v>121</v>
      </c>
      <c r="J926" s="11" t="s">
        <v>737</v>
      </c>
      <c r="K926" s="11"/>
      <c r="L926" s="11" t="s">
        <v>4830</v>
      </c>
      <c r="M926" s="11" t="s">
        <v>115</v>
      </c>
      <c r="N926" s="11" t="s">
        <v>100</v>
      </c>
      <c r="O926" s="11" t="s">
        <v>101</v>
      </c>
      <c r="P926" s="11" t="s">
        <v>102</v>
      </c>
      <c r="Q926" s="12">
        <v>113.35159</v>
      </c>
      <c r="R926" s="13">
        <v>22.992096</v>
      </c>
      <c r="S926" s="11" t="s">
        <v>4827</v>
      </c>
      <c r="T926" s="11"/>
      <c r="U926" s="11" t="s">
        <v>104</v>
      </c>
      <c r="V926" s="11" t="s">
        <v>105</v>
      </c>
      <c r="W926" s="11" t="s">
        <v>106</v>
      </c>
      <c r="X926" s="11"/>
      <c r="Y926" s="11"/>
      <c r="Z926" s="11"/>
      <c r="AA926" s="12">
        <v>925</v>
      </c>
      <c r="AB926" s="12"/>
      <c r="AC926" s="11" t="s">
        <v>116</v>
      </c>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row>
    <row r="927" spans="1:56" ht="56" x14ac:dyDescent="0.25">
      <c r="A927" s="11" t="s">
        <v>4831</v>
      </c>
      <c r="B927" s="11" t="s">
        <v>4832</v>
      </c>
      <c r="C927" s="11"/>
      <c r="D927" s="11" t="s">
        <v>91</v>
      </c>
      <c r="E927" s="11"/>
      <c r="F927" s="11" t="s">
        <v>601</v>
      </c>
      <c r="G927" s="11" t="s">
        <v>4833</v>
      </c>
      <c r="H927" s="11" t="s">
        <v>94</v>
      </c>
      <c r="I927" s="11" t="s">
        <v>95</v>
      </c>
      <c r="J927" s="11" t="s">
        <v>1087</v>
      </c>
      <c r="K927" s="11"/>
      <c r="L927" s="11" t="s">
        <v>4834</v>
      </c>
      <c r="M927" s="11"/>
      <c r="N927" s="11"/>
      <c r="O927" s="11"/>
      <c r="P927" s="11" t="s">
        <v>102</v>
      </c>
      <c r="Q927" s="12">
        <v>113.104626</v>
      </c>
      <c r="R927" s="13">
        <v>23.049609</v>
      </c>
      <c r="S927" s="11" t="s">
        <v>4831</v>
      </c>
      <c r="T927" s="11"/>
      <c r="U927" s="11" t="s">
        <v>104</v>
      </c>
      <c r="V927" s="11" t="s">
        <v>105</v>
      </c>
      <c r="W927" s="11" t="s">
        <v>106</v>
      </c>
      <c r="X927" s="11"/>
      <c r="Y927" s="11"/>
      <c r="Z927" s="11"/>
      <c r="AA927" s="12">
        <v>926</v>
      </c>
      <c r="AB927" s="12"/>
      <c r="AC927" s="11" t="s">
        <v>116</v>
      </c>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row>
    <row r="928" spans="1:56" ht="70" x14ac:dyDescent="0.25">
      <c r="A928" s="11" t="s">
        <v>4835</v>
      </c>
      <c r="B928" s="11" t="s">
        <v>4836</v>
      </c>
      <c r="C928" s="11"/>
      <c r="D928" s="11" t="s">
        <v>91</v>
      </c>
      <c r="E928" s="11"/>
      <c r="F928" s="11" t="s">
        <v>601</v>
      </c>
      <c r="G928" s="11" t="s">
        <v>4837</v>
      </c>
      <c r="H928" s="11" t="s">
        <v>94</v>
      </c>
      <c r="I928" s="11" t="s">
        <v>121</v>
      </c>
      <c r="J928" s="11" t="s">
        <v>971</v>
      </c>
      <c r="K928" s="11"/>
      <c r="L928" s="11" t="s">
        <v>4838</v>
      </c>
      <c r="M928" s="11" t="s">
        <v>115</v>
      </c>
      <c r="N928" s="11"/>
      <c r="O928" s="11"/>
      <c r="P928" s="11" t="s">
        <v>102</v>
      </c>
      <c r="Q928" s="12">
        <v>113.349963</v>
      </c>
      <c r="R928" s="13">
        <v>23.250686999999999</v>
      </c>
      <c r="S928" s="11" t="s">
        <v>4835</v>
      </c>
      <c r="T928" s="11"/>
      <c r="U928" s="11" t="s">
        <v>104</v>
      </c>
      <c r="V928" s="11" t="s">
        <v>105</v>
      </c>
      <c r="W928" s="11" t="s">
        <v>106</v>
      </c>
      <c r="X928" s="11"/>
      <c r="Y928" s="11"/>
      <c r="Z928" s="11"/>
      <c r="AA928" s="12">
        <v>927</v>
      </c>
      <c r="AB928" s="12"/>
      <c r="AC928" s="11" t="s">
        <v>116</v>
      </c>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row>
    <row r="929" spans="1:56" ht="56" x14ac:dyDescent="0.25">
      <c r="A929" s="11" t="s">
        <v>4839</v>
      </c>
      <c r="B929" s="11" t="s">
        <v>4840</v>
      </c>
      <c r="C929" s="11"/>
      <c r="D929" s="11" t="s">
        <v>91</v>
      </c>
      <c r="E929" s="11"/>
      <c r="F929" s="11" t="s">
        <v>4841</v>
      </c>
      <c r="G929" s="11" t="s">
        <v>4842</v>
      </c>
      <c r="H929" s="11" t="s">
        <v>94</v>
      </c>
      <c r="I929" s="11" t="s">
        <v>121</v>
      </c>
      <c r="J929" s="11" t="s">
        <v>2343</v>
      </c>
      <c r="K929" s="11"/>
      <c r="L929" s="11" t="s">
        <v>4843</v>
      </c>
      <c r="M929" s="11"/>
      <c r="N929" s="11"/>
      <c r="O929" s="11"/>
      <c r="P929" s="11" t="s">
        <v>102</v>
      </c>
      <c r="Q929" s="12">
        <v>113.604039</v>
      </c>
      <c r="R929" s="13">
        <v>23.538385000000002</v>
      </c>
      <c r="S929" s="11" t="s">
        <v>4839</v>
      </c>
      <c r="T929" s="11"/>
      <c r="U929" s="11" t="s">
        <v>104</v>
      </c>
      <c r="V929" s="11" t="s">
        <v>105</v>
      </c>
      <c r="W929" s="11" t="s">
        <v>106</v>
      </c>
      <c r="X929" s="11"/>
      <c r="Y929" s="11"/>
      <c r="Z929" s="11"/>
      <c r="AA929" s="12">
        <v>928</v>
      </c>
      <c r="AB929" s="12"/>
      <c r="AC929" s="11" t="s">
        <v>116</v>
      </c>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row>
    <row r="930" spans="1:56" ht="70" x14ac:dyDescent="0.25">
      <c r="A930" s="11" t="s">
        <v>4844</v>
      </c>
      <c r="B930" s="11" t="s">
        <v>4845</v>
      </c>
      <c r="C930" s="11"/>
      <c r="D930" s="11" t="s">
        <v>91</v>
      </c>
      <c r="E930" s="11"/>
      <c r="F930" s="11" t="s">
        <v>601</v>
      </c>
      <c r="G930" s="11" t="s">
        <v>4846</v>
      </c>
      <c r="H930" s="11" t="s">
        <v>94</v>
      </c>
      <c r="I930" s="11" t="s">
        <v>95</v>
      </c>
      <c r="J930" s="11" t="s">
        <v>1087</v>
      </c>
      <c r="K930" s="11"/>
      <c r="L930" s="11" t="s">
        <v>4847</v>
      </c>
      <c r="M930" s="11"/>
      <c r="N930" s="11"/>
      <c r="O930" s="11"/>
      <c r="P930" s="11" t="s">
        <v>102</v>
      </c>
      <c r="Q930" s="12">
        <v>113.119084</v>
      </c>
      <c r="R930" s="13">
        <v>23.000419999999998</v>
      </c>
      <c r="S930" s="11" t="s">
        <v>4844</v>
      </c>
      <c r="T930" s="11"/>
      <c r="U930" s="11" t="s">
        <v>104</v>
      </c>
      <c r="V930" s="11" t="s">
        <v>105</v>
      </c>
      <c r="W930" s="11" t="s">
        <v>106</v>
      </c>
      <c r="X930" s="11"/>
      <c r="Y930" s="11"/>
      <c r="Z930" s="11"/>
      <c r="AA930" s="12">
        <v>929</v>
      </c>
      <c r="AB930" s="12"/>
      <c r="AC930" s="11" t="s">
        <v>116</v>
      </c>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row>
    <row r="931" spans="1:56" ht="70" x14ac:dyDescent="0.25">
      <c r="A931" s="11" t="s">
        <v>4848</v>
      </c>
      <c r="B931" s="11" t="s">
        <v>4849</v>
      </c>
      <c r="C931" s="11"/>
      <c r="D931" s="11" t="s">
        <v>91</v>
      </c>
      <c r="E931" s="11" t="s">
        <v>92</v>
      </c>
      <c r="F931" s="11" t="s">
        <v>601</v>
      </c>
      <c r="G931" s="11" t="s">
        <v>4850</v>
      </c>
      <c r="H931" s="11" t="s">
        <v>94</v>
      </c>
      <c r="I931" s="11" t="s">
        <v>95</v>
      </c>
      <c r="J931" s="11" t="s">
        <v>749</v>
      </c>
      <c r="K931" s="11"/>
      <c r="L931" s="11" t="s">
        <v>4851</v>
      </c>
      <c r="M931" s="11" t="s">
        <v>115</v>
      </c>
      <c r="N931" s="11" t="s">
        <v>174</v>
      </c>
      <c r="O931" s="11" t="s">
        <v>101</v>
      </c>
      <c r="P931" s="11" t="s">
        <v>102</v>
      </c>
      <c r="Q931" s="12">
        <v>113.20169300000001</v>
      </c>
      <c r="R931" s="13">
        <v>22.928242000000001</v>
      </c>
      <c r="S931" s="11" t="s">
        <v>4848</v>
      </c>
      <c r="T931" s="11"/>
      <c r="U931" s="11" t="s">
        <v>104</v>
      </c>
      <c r="V931" s="11" t="s">
        <v>105</v>
      </c>
      <c r="W931" s="11" t="s">
        <v>106</v>
      </c>
      <c r="X931" s="11"/>
      <c r="Y931" s="11"/>
      <c r="Z931" s="11"/>
      <c r="AA931" s="12">
        <v>930</v>
      </c>
      <c r="AB931" s="12"/>
      <c r="AC931" s="11" t="s">
        <v>116</v>
      </c>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row>
    <row r="932" spans="1:56" ht="70" x14ac:dyDescent="0.25">
      <c r="A932" s="11" t="s">
        <v>4852</v>
      </c>
      <c r="B932" s="11" t="s">
        <v>4853</v>
      </c>
      <c r="C932" s="11"/>
      <c r="D932" s="11" t="s">
        <v>91</v>
      </c>
      <c r="E932" s="11"/>
      <c r="F932" s="11" t="s">
        <v>601</v>
      </c>
      <c r="G932" s="11" t="s">
        <v>4854</v>
      </c>
      <c r="H932" s="11" t="s">
        <v>94</v>
      </c>
      <c r="I932" s="11" t="s">
        <v>121</v>
      </c>
      <c r="J932" s="11" t="s">
        <v>737</v>
      </c>
      <c r="K932" s="11"/>
      <c r="L932" s="11" t="s">
        <v>4855</v>
      </c>
      <c r="M932" s="11"/>
      <c r="N932" s="11"/>
      <c r="O932" s="11"/>
      <c r="P932" s="11" t="s">
        <v>102</v>
      </c>
      <c r="Q932" s="12">
        <v>113.357337</v>
      </c>
      <c r="R932" s="13">
        <v>22.931076999999998</v>
      </c>
      <c r="S932" s="11" t="s">
        <v>4852</v>
      </c>
      <c r="T932" s="11"/>
      <c r="U932" s="11" t="s">
        <v>104</v>
      </c>
      <c r="V932" s="11" t="s">
        <v>105</v>
      </c>
      <c r="W932" s="11" t="s">
        <v>106</v>
      </c>
      <c r="X932" s="11"/>
      <c r="Y932" s="11"/>
      <c r="Z932" s="11"/>
      <c r="AA932" s="12">
        <v>931</v>
      </c>
      <c r="AB932" s="12"/>
      <c r="AC932" s="11" t="s">
        <v>116</v>
      </c>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row>
    <row r="933" spans="1:56" ht="56" x14ac:dyDescent="0.25">
      <c r="A933" s="11" t="s">
        <v>4856</v>
      </c>
      <c r="B933" s="11" t="s">
        <v>4857</v>
      </c>
      <c r="C933" s="11"/>
      <c r="D933" s="11" t="s">
        <v>91</v>
      </c>
      <c r="E933" s="11"/>
      <c r="F933" s="11" t="s">
        <v>601</v>
      </c>
      <c r="G933" s="11" t="s">
        <v>4858</v>
      </c>
      <c r="H933" s="11" t="s">
        <v>94</v>
      </c>
      <c r="I933" s="11" t="s">
        <v>112</v>
      </c>
      <c r="J933" s="11" t="s">
        <v>112</v>
      </c>
      <c r="K933" s="11"/>
      <c r="L933" s="11" t="s">
        <v>4859</v>
      </c>
      <c r="M933" s="11"/>
      <c r="N933" s="11"/>
      <c r="O933" s="11"/>
      <c r="P933" s="11" t="s">
        <v>102</v>
      </c>
      <c r="Q933" s="12">
        <v>113.79964099999999</v>
      </c>
      <c r="R933" s="13">
        <v>22.796503999999999</v>
      </c>
      <c r="S933" s="11" t="s">
        <v>4856</v>
      </c>
      <c r="T933" s="11"/>
      <c r="U933" s="11" t="s">
        <v>104</v>
      </c>
      <c r="V933" s="11" t="s">
        <v>105</v>
      </c>
      <c r="W933" s="11" t="s">
        <v>106</v>
      </c>
      <c r="X933" s="11"/>
      <c r="Y933" s="11"/>
      <c r="Z933" s="11"/>
      <c r="AA933" s="12">
        <v>932</v>
      </c>
      <c r="AB933" s="12"/>
      <c r="AC933" s="11" t="s">
        <v>116</v>
      </c>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row>
    <row r="934" spans="1:56" ht="56" x14ac:dyDescent="0.25">
      <c r="A934" s="11" t="s">
        <v>4860</v>
      </c>
      <c r="B934" s="11" t="s">
        <v>4861</v>
      </c>
      <c r="C934" s="11"/>
      <c r="D934" s="11" t="s">
        <v>91</v>
      </c>
      <c r="E934" s="11"/>
      <c r="F934" s="11" t="s">
        <v>4862</v>
      </c>
      <c r="G934" s="11" t="s">
        <v>4863</v>
      </c>
      <c r="H934" s="11" t="s">
        <v>94</v>
      </c>
      <c r="I934" s="11" t="s">
        <v>95</v>
      </c>
      <c r="J934" s="11" t="s">
        <v>1087</v>
      </c>
      <c r="K934" s="11"/>
      <c r="L934" s="11" t="s">
        <v>4864</v>
      </c>
      <c r="M934" s="11"/>
      <c r="N934" s="11"/>
      <c r="O934" s="11"/>
      <c r="P934" s="11" t="s">
        <v>102</v>
      </c>
      <c r="Q934" s="12">
        <v>113.106818</v>
      </c>
      <c r="R934" s="13">
        <v>23.028400999999999</v>
      </c>
      <c r="S934" s="11" t="s">
        <v>4860</v>
      </c>
      <c r="T934" s="11"/>
      <c r="U934" s="11" t="s">
        <v>104</v>
      </c>
      <c r="V934" s="11" t="s">
        <v>105</v>
      </c>
      <c r="W934" s="11" t="s">
        <v>106</v>
      </c>
      <c r="X934" s="11"/>
      <c r="Y934" s="11"/>
      <c r="Z934" s="11"/>
      <c r="AA934" s="12">
        <v>933</v>
      </c>
      <c r="AB934" s="12"/>
      <c r="AC934" s="11" t="s">
        <v>116</v>
      </c>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row>
    <row r="935" spans="1:56" ht="56" x14ac:dyDescent="0.25">
      <c r="A935" s="11" t="s">
        <v>4865</v>
      </c>
      <c r="B935" s="11" t="s">
        <v>4866</v>
      </c>
      <c r="C935" s="11"/>
      <c r="D935" s="11" t="s">
        <v>91</v>
      </c>
      <c r="E935" s="11"/>
      <c r="F935" s="11" t="s">
        <v>4867</v>
      </c>
      <c r="G935" s="11" t="s">
        <v>4868</v>
      </c>
      <c r="H935" s="11" t="s">
        <v>94</v>
      </c>
      <c r="I935" s="11" t="s">
        <v>121</v>
      </c>
      <c r="J935" s="11" t="s">
        <v>131</v>
      </c>
      <c r="K935" s="11"/>
      <c r="L935" s="11" t="s">
        <v>4869</v>
      </c>
      <c r="M935" s="11" t="s">
        <v>183</v>
      </c>
      <c r="N935" s="11"/>
      <c r="O935" s="11"/>
      <c r="P935" s="11" t="s">
        <v>102</v>
      </c>
      <c r="Q935" s="12">
        <v>113.560473</v>
      </c>
      <c r="R935" s="13">
        <v>23.119831999999999</v>
      </c>
      <c r="S935" s="11" t="s">
        <v>4865</v>
      </c>
      <c r="T935" s="11"/>
      <c r="U935" s="11" t="s">
        <v>104</v>
      </c>
      <c r="V935" s="11" t="s">
        <v>105</v>
      </c>
      <c r="W935" s="11" t="s">
        <v>106</v>
      </c>
      <c r="X935" s="11"/>
      <c r="Y935" s="11"/>
      <c r="Z935" s="11"/>
      <c r="AA935" s="12">
        <v>934</v>
      </c>
      <c r="AB935" s="12"/>
      <c r="AC935" s="11" t="s">
        <v>116</v>
      </c>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row>
    <row r="936" spans="1:56" ht="56" x14ac:dyDescent="0.25">
      <c r="A936" s="11" t="s">
        <v>4870</v>
      </c>
      <c r="B936" s="11" t="s">
        <v>4871</v>
      </c>
      <c r="C936" s="11"/>
      <c r="D936" s="11" t="s">
        <v>91</v>
      </c>
      <c r="E936" s="11"/>
      <c r="F936" s="11" t="s">
        <v>4872</v>
      </c>
      <c r="G936" s="11" t="s">
        <v>4873</v>
      </c>
      <c r="H936" s="11" t="s">
        <v>94</v>
      </c>
      <c r="I936" s="11" t="s">
        <v>121</v>
      </c>
      <c r="J936" s="11" t="s">
        <v>792</v>
      </c>
      <c r="K936" s="11"/>
      <c r="L936" s="11" t="s">
        <v>4874</v>
      </c>
      <c r="M936" s="11"/>
      <c r="N936" s="11"/>
      <c r="O936" s="11"/>
      <c r="P936" s="11" t="s">
        <v>102</v>
      </c>
      <c r="Q936" s="12">
        <v>113.446934</v>
      </c>
      <c r="R936" s="13">
        <v>23.109453999999999</v>
      </c>
      <c r="S936" s="11" t="s">
        <v>4870</v>
      </c>
      <c r="T936" s="11"/>
      <c r="U936" s="11" t="s">
        <v>104</v>
      </c>
      <c r="V936" s="11" t="s">
        <v>105</v>
      </c>
      <c r="W936" s="11" t="s">
        <v>106</v>
      </c>
      <c r="X936" s="11"/>
      <c r="Y936" s="11"/>
      <c r="Z936" s="11"/>
      <c r="AA936" s="12">
        <v>935</v>
      </c>
      <c r="AB936" s="12"/>
      <c r="AC936" s="11" t="s">
        <v>116</v>
      </c>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row>
    <row r="937" spans="1:56" ht="56" x14ac:dyDescent="0.25">
      <c r="A937" s="11" t="s">
        <v>4875</v>
      </c>
      <c r="B937" s="11" t="s">
        <v>4876</v>
      </c>
      <c r="C937" s="11"/>
      <c r="D937" s="11" t="s">
        <v>91</v>
      </c>
      <c r="E937" s="11"/>
      <c r="F937" s="11" t="s">
        <v>4877</v>
      </c>
      <c r="G937" s="11" t="s">
        <v>4878</v>
      </c>
      <c r="H937" s="11" t="s">
        <v>94</v>
      </c>
      <c r="I937" s="11" t="s">
        <v>343</v>
      </c>
      <c r="J937" s="11" t="s">
        <v>344</v>
      </c>
      <c r="K937" s="11"/>
      <c r="L937" s="11" t="s">
        <v>4879</v>
      </c>
      <c r="M937" s="11" t="s">
        <v>115</v>
      </c>
      <c r="N937" s="11"/>
      <c r="O937" s="11"/>
      <c r="P937" s="11" t="s">
        <v>102</v>
      </c>
      <c r="Q937" s="12">
        <v>113.52002</v>
      </c>
      <c r="R937" s="13">
        <v>22.257415000000002</v>
      </c>
      <c r="S937" s="11" t="s">
        <v>4875</v>
      </c>
      <c r="T937" s="11"/>
      <c r="U937" s="11" t="s">
        <v>104</v>
      </c>
      <c r="V937" s="11" t="s">
        <v>105</v>
      </c>
      <c r="W937" s="11" t="s">
        <v>106</v>
      </c>
      <c r="X937" s="11"/>
      <c r="Y937" s="11"/>
      <c r="Z937" s="11"/>
      <c r="AA937" s="12">
        <v>936</v>
      </c>
      <c r="AB937" s="12"/>
      <c r="AC937" s="11" t="s">
        <v>116</v>
      </c>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row>
    <row r="938" spans="1:56" ht="56" x14ac:dyDescent="0.25">
      <c r="A938" s="11" t="s">
        <v>4880</v>
      </c>
      <c r="B938" s="11" t="s">
        <v>4881</v>
      </c>
      <c r="C938" s="11"/>
      <c r="D938" s="11" t="s">
        <v>91</v>
      </c>
      <c r="E938" s="11"/>
      <c r="F938" s="11" t="s">
        <v>4882</v>
      </c>
      <c r="G938" s="11" t="s">
        <v>31</v>
      </c>
      <c r="H938" s="11" t="s">
        <v>94</v>
      </c>
      <c r="I938" s="11" t="s">
        <v>343</v>
      </c>
      <c r="J938" s="11" t="s">
        <v>344</v>
      </c>
      <c r="K938" s="11"/>
      <c r="L938" s="11" t="s">
        <v>4883</v>
      </c>
      <c r="M938" s="11"/>
      <c r="N938" s="11"/>
      <c r="O938" s="11"/>
      <c r="P938" s="11" t="s">
        <v>102</v>
      </c>
      <c r="Q938" s="12">
        <v>113.548041</v>
      </c>
      <c r="R938" s="13">
        <v>22.113851</v>
      </c>
      <c r="S938" s="11" t="s">
        <v>4880</v>
      </c>
      <c r="T938" s="11"/>
      <c r="U938" s="11" t="s">
        <v>104</v>
      </c>
      <c r="V938" s="11" t="s">
        <v>105</v>
      </c>
      <c r="W938" s="11" t="s">
        <v>106</v>
      </c>
      <c r="X938" s="11"/>
      <c r="Y938" s="11"/>
      <c r="Z938" s="11"/>
      <c r="AA938" s="12">
        <v>937</v>
      </c>
      <c r="AB938" s="12"/>
      <c r="AC938" s="11" t="s">
        <v>116</v>
      </c>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row>
    <row r="939" spans="1:56" ht="56" x14ac:dyDescent="0.25">
      <c r="A939" s="11" t="s">
        <v>4884</v>
      </c>
      <c r="B939" s="11" t="s">
        <v>4885</v>
      </c>
      <c r="C939" s="11"/>
      <c r="D939" s="11" t="s">
        <v>91</v>
      </c>
      <c r="E939" s="11"/>
      <c r="F939" s="11" t="s">
        <v>4886</v>
      </c>
      <c r="G939" s="11" t="s">
        <v>4887</v>
      </c>
      <c r="H939" s="11" t="s">
        <v>94</v>
      </c>
      <c r="I939" s="11" t="s">
        <v>3494</v>
      </c>
      <c r="J939" s="11" t="s">
        <v>4888</v>
      </c>
      <c r="K939" s="11"/>
      <c r="L939" s="11" t="s">
        <v>4889</v>
      </c>
      <c r="M939" s="11"/>
      <c r="N939" s="11"/>
      <c r="O939" s="11"/>
      <c r="P939" s="11" t="s">
        <v>102</v>
      </c>
      <c r="Q939" s="12">
        <v>113.02052500000001</v>
      </c>
      <c r="R939" s="13">
        <v>23.729724999999998</v>
      </c>
      <c r="S939" s="11" t="s">
        <v>4884</v>
      </c>
      <c r="T939" s="11"/>
      <c r="U939" s="11" t="s">
        <v>104</v>
      </c>
      <c r="V939" s="11" t="s">
        <v>105</v>
      </c>
      <c r="W939" s="11" t="s">
        <v>106</v>
      </c>
      <c r="X939" s="11"/>
      <c r="Y939" s="11"/>
      <c r="Z939" s="11"/>
      <c r="AA939" s="12">
        <v>938</v>
      </c>
      <c r="AB939" s="12"/>
      <c r="AC939" s="11" t="s">
        <v>116</v>
      </c>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row>
    <row r="940" spans="1:56" ht="56" x14ac:dyDescent="0.25">
      <c r="A940" s="11" t="s">
        <v>4890</v>
      </c>
      <c r="B940" s="11" t="s">
        <v>4891</v>
      </c>
      <c r="C940" s="11"/>
      <c r="D940" s="11" t="s">
        <v>91</v>
      </c>
      <c r="E940" s="11"/>
      <c r="F940" s="11" t="s">
        <v>4892</v>
      </c>
      <c r="G940" s="11" t="s">
        <v>4893</v>
      </c>
      <c r="H940" s="11" t="s">
        <v>94</v>
      </c>
      <c r="I940" s="11" t="s">
        <v>343</v>
      </c>
      <c r="J940" s="11" t="s">
        <v>411</v>
      </c>
      <c r="K940" s="11"/>
      <c r="L940" s="11" t="s">
        <v>4894</v>
      </c>
      <c r="M940" s="11"/>
      <c r="N940" s="11"/>
      <c r="O940" s="11"/>
      <c r="P940" s="11" t="s">
        <v>102</v>
      </c>
      <c r="Q940" s="12">
        <v>113.309478</v>
      </c>
      <c r="R940" s="13">
        <v>22.226324000000002</v>
      </c>
      <c r="S940" s="11" t="s">
        <v>4890</v>
      </c>
      <c r="T940" s="11"/>
      <c r="U940" s="11" t="s">
        <v>104</v>
      </c>
      <c r="V940" s="11" t="s">
        <v>105</v>
      </c>
      <c r="W940" s="11" t="s">
        <v>106</v>
      </c>
      <c r="X940" s="11"/>
      <c r="Y940" s="11"/>
      <c r="Z940" s="11"/>
      <c r="AA940" s="12">
        <v>939</v>
      </c>
      <c r="AB940" s="12"/>
      <c r="AC940" s="11" t="s">
        <v>116</v>
      </c>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row>
    <row r="941" spans="1:56" ht="70" x14ac:dyDescent="0.25">
      <c r="A941" s="11" t="s">
        <v>4895</v>
      </c>
      <c r="B941" s="11" t="s">
        <v>4896</v>
      </c>
      <c r="C941" s="11"/>
      <c r="D941" s="11" t="s">
        <v>91</v>
      </c>
      <c r="E941" s="11" t="s">
        <v>92</v>
      </c>
      <c r="F941" s="11" t="s">
        <v>4897</v>
      </c>
      <c r="G941" s="11" t="s">
        <v>4898</v>
      </c>
      <c r="H941" s="11" t="s">
        <v>94</v>
      </c>
      <c r="I941" s="11" t="s">
        <v>343</v>
      </c>
      <c r="J941" s="11" t="s">
        <v>344</v>
      </c>
      <c r="K941" s="11"/>
      <c r="L941" s="11" t="s">
        <v>4899</v>
      </c>
      <c r="M941" s="11" t="s">
        <v>115</v>
      </c>
      <c r="N941" s="11" t="s">
        <v>174</v>
      </c>
      <c r="O941" s="11" t="s">
        <v>101</v>
      </c>
      <c r="P941" s="11" t="s">
        <v>102</v>
      </c>
      <c r="Q941" s="12">
        <v>113.542554</v>
      </c>
      <c r="R941" s="13">
        <v>22.269193999999999</v>
      </c>
      <c r="S941" s="11" t="s">
        <v>4895</v>
      </c>
      <c r="T941" s="11"/>
      <c r="U941" s="11" t="s">
        <v>104</v>
      </c>
      <c r="V941" s="11" t="s">
        <v>105</v>
      </c>
      <c r="W941" s="11" t="s">
        <v>106</v>
      </c>
      <c r="X941" s="11"/>
      <c r="Y941" s="11"/>
      <c r="Z941" s="11"/>
      <c r="AA941" s="12">
        <v>940</v>
      </c>
      <c r="AB941" s="12"/>
      <c r="AC941" s="11" t="s">
        <v>116</v>
      </c>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row>
    <row r="942" spans="1:56" ht="56" x14ac:dyDescent="0.25">
      <c r="A942" s="11" t="s">
        <v>4900</v>
      </c>
      <c r="B942" s="11" t="s">
        <v>4901</v>
      </c>
      <c r="C942" s="11"/>
      <c r="D942" s="11" t="s">
        <v>91</v>
      </c>
      <c r="E942" s="11"/>
      <c r="F942" s="11" t="s">
        <v>4902</v>
      </c>
      <c r="G942" s="11" t="s">
        <v>4903</v>
      </c>
      <c r="H942" s="11" t="s">
        <v>94</v>
      </c>
      <c r="I942" s="11" t="s">
        <v>343</v>
      </c>
      <c r="J942" s="11" t="s">
        <v>404</v>
      </c>
      <c r="K942" s="11"/>
      <c r="L942" s="11" t="s">
        <v>4904</v>
      </c>
      <c r="M942" s="11" t="s">
        <v>115</v>
      </c>
      <c r="N942" s="11"/>
      <c r="O942" s="11"/>
      <c r="P942" s="11" t="s">
        <v>102</v>
      </c>
      <c r="Q942" s="12">
        <v>113.35185</v>
      </c>
      <c r="R942" s="13">
        <v>22.144541</v>
      </c>
      <c r="S942" s="11" t="s">
        <v>4900</v>
      </c>
      <c r="T942" s="11"/>
      <c r="U942" s="11" t="s">
        <v>104</v>
      </c>
      <c r="V942" s="11" t="s">
        <v>105</v>
      </c>
      <c r="W942" s="11" t="s">
        <v>106</v>
      </c>
      <c r="X942" s="11"/>
      <c r="Y942" s="11"/>
      <c r="Z942" s="11"/>
      <c r="AA942" s="12">
        <v>941</v>
      </c>
      <c r="AB942" s="12"/>
      <c r="AC942" s="11" t="s">
        <v>116</v>
      </c>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row>
    <row r="943" spans="1:56" ht="56" x14ac:dyDescent="0.25">
      <c r="A943" s="11" t="s">
        <v>4905</v>
      </c>
      <c r="B943" s="11" t="s">
        <v>4906</v>
      </c>
      <c r="C943" s="11"/>
      <c r="D943" s="11" t="s">
        <v>91</v>
      </c>
      <c r="E943" s="11"/>
      <c r="F943" s="11" t="s">
        <v>4907</v>
      </c>
      <c r="G943" s="11" t="s">
        <v>4908</v>
      </c>
      <c r="H943" s="11" t="s">
        <v>94</v>
      </c>
      <c r="I943" s="11" t="s">
        <v>180</v>
      </c>
      <c r="J943" s="11" t="s">
        <v>233</v>
      </c>
      <c r="K943" s="11"/>
      <c r="L943" s="11" t="s">
        <v>4909</v>
      </c>
      <c r="M943" s="11"/>
      <c r="N943" s="11"/>
      <c r="O943" s="11"/>
      <c r="P943" s="11" t="s">
        <v>102</v>
      </c>
      <c r="Q943" s="12">
        <v>114.428793</v>
      </c>
      <c r="R943" s="13">
        <v>22.630178999999998</v>
      </c>
      <c r="S943" s="11" t="s">
        <v>4905</v>
      </c>
      <c r="T943" s="11"/>
      <c r="U943" s="11" t="s">
        <v>104</v>
      </c>
      <c r="V943" s="11" t="s">
        <v>105</v>
      </c>
      <c r="W943" s="11" t="s">
        <v>106</v>
      </c>
      <c r="X943" s="11"/>
      <c r="Y943" s="11"/>
      <c r="Z943" s="11"/>
      <c r="AA943" s="12">
        <v>942</v>
      </c>
      <c r="AB943" s="12"/>
      <c r="AC943" s="11" t="s">
        <v>116</v>
      </c>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row>
    <row r="944" spans="1:56" ht="56" x14ac:dyDescent="0.25">
      <c r="A944" s="11" t="s">
        <v>4910</v>
      </c>
      <c r="B944" s="11" t="s">
        <v>4911</v>
      </c>
      <c r="C944" s="11"/>
      <c r="D944" s="11" t="s">
        <v>91</v>
      </c>
      <c r="E944" s="11"/>
      <c r="F944" s="11" t="s">
        <v>4912</v>
      </c>
      <c r="G944" s="11" t="s">
        <v>4908</v>
      </c>
      <c r="H944" s="11" t="s">
        <v>94</v>
      </c>
      <c r="I944" s="11" t="s">
        <v>121</v>
      </c>
      <c r="J944" s="11" t="s">
        <v>145</v>
      </c>
      <c r="K944" s="11"/>
      <c r="L944" s="11" t="s">
        <v>4913</v>
      </c>
      <c r="M944" s="11"/>
      <c r="N944" s="11"/>
      <c r="O944" s="11"/>
      <c r="P944" s="11" t="s">
        <v>102</v>
      </c>
      <c r="Q944" s="12">
        <v>113.539592</v>
      </c>
      <c r="R944" s="13">
        <v>22.797226999999999</v>
      </c>
      <c r="S944" s="11" t="s">
        <v>4910</v>
      </c>
      <c r="T944" s="11"/>
      <c r="U944" s="11" t="s">
        <v>104</v>
      </c>
      <c r="V944" s="11" t="s">
        <v>105</v>
      </c>
      <c r="W944" s="11" t="s">
        <v>106</v>
      </c>
      <c r="X944" s="11"/>
      <c r="Y944" s="11"/>
      <c r="Z944" s="11"/>
      <c r="AA944" s="12">
        <v>943</v>
      </c>
      <c r="AB944" s="12"/>
      <c r="AC944" s="11" t="s">
        <v>116</v>
      </c>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row>
    <row r="945" spans="1:56" ht="56" x14ac:dyDescent="0.25">
      <c r="A945" s="11" t="s">
        <v>4914</v>
      </c>
      <c r="B945" s="11" t="s">
        <v>4915</v>
      </c>
      <c r="C945" s="11"/>
      <c r="D945" s="11" t="s">
        <v>91</v>
      </c>
      <c r="E945" s="11"/>
      <c r="F945" s="11" t="s">
        <v>4916</v>
      </c>
      <c r="G945" s="11" t="s">
        <v>4917</v>
      </c>
      <c r="H945" s="11" t="s">
        <v>94</v>
      </c>
      <c r="I945" s="11" t="s">
        <v>95</v>
      </c>
      <c r="J945" s="11" t="s">
        <v>96</v>
      </c>
      <c r="K945" s="11"/>
      <c r="L945" s="11" t="s">
        <v>4918</v>
      </c>
      <c r="M945" s="11"/>
      <c r="N945" s="11"/>
      <c r="O945" s="11"/>
      <c r="P945" s="11" t="s">
        <v>102</v>
      </c>
      <c r="Q945" s="12">
        <v>113.049521</v>
      </c>
      <c r="R945" s="13">
        <v>23.060120000000001</v>
      </c>
      <c r="S945" s="11" t="s">
        <v>4914</v>
      </c>
      <c r="T945" s="11"/>
      <c r="U945" s="11" t="s">
        <v>104</v>
      </c>
      <c r="V945" s="11" t="s">
        <v>105</v>
      </c>
      <c r="W945" s="11" t="s">
        <v>106</v>
      </c>
      <c r="X945" s="11"/>
      <c r="Y945" s="11"/>
      <c r="Z945" s="11"/>
      <c r="AA945" s="12">
        <v>944</v>
      </c>
      <c r="AB945" s="12"/>
      <c r="AC945" s="11" t="s">
        <v>116</v>
      </c>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row>
    <row r="946" spans="1:56" ht="56" x14ac:dyDescent="0.25">
      <c r="A946" s="11" t="s">
        <v>4919</v>
      </c>
      <c r="B946" s="11" t="s">
        <v>4920</v>
      </c>
      <c r="C946" s="11"/>
      <c r="D946" s="11" t="s">
        <v>91</v>
      </c>
      <c r="E946" s="11"/>
      <c r="F946" s="11" t="s">
        <v>4921</v>
      </c>
      <c r="G946" s="11" t="s">
        <v>4922</v>
      </c>
      <c r="H946" s="11" t="s">
        <v>94</v>
      </c>
      <c r="I946" s="11" t="s">
        <v>3494</v>
      </c>
      <c r="J946" s="11" t="s">
        <v>4923</v>
      </c>
      <c r="K946" s="11"/>
      <c r="L946" s="11" t="s">
        <v>4924</v>
      </c>
      <c r="M946" s="11"/>
      <c r="N946" s="11"/>
      <c r="O946" s="11"/>
      <c r="P946" s="11" t="s">
        <v>102</v>
      </c>
      <c r="Q946" s="12">
        <v>113.40554299999999</v>
      </c>
      <c r="R946" s="13">
        <v>24.188337000000001</v>
      </c>
      <c r="S946" s="11" t="s">
        <v>4919</v>
      </c>
      <c r="T946" s="11"/>
      <c r="U946" s="11" t="s">
        <v>104</v>
      </c>
      <c r="V946" s="11" t="s">
        <v>105</v>
      </c>
      <c r="W946" s="11" t="s">
        <v>106</v>
      </c>
      <c r="X946" s="11"/>
      <c r="Y946" s="11"/>
      <c r="Z946" s="11"/>
      <c r="AA946" s="12">
        <v>945</v>
      </c>
      <c r="AB946" s="12"/>
      <c r="AC946" s="11" t="s">
        <v>116</v>
      </c>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row>
    <row r="947" spans="1:56" ht="56" x14ac:dyDescent="0.25">
      <c r="A947" s="11" t="s">
        <v>4925</v>
      </c>
      <c r="B947" s="11" t="s">
        <v>4926</v>
      </c>
      <c r="C947" s="11"/>
      <c r="D947" s="11" t="s">
        <v>91</v>
      </c>
      <c r="E947" s="11"/>
      <c r="F947" s="11" t="s">
        <v>4927</v>
      </c>
      <c r="G947" s="11" t="s">
        <v>4928</v>
      </c>
      <c r="H947" s="11" t="s">
        <v>94</v>
      </c>
      <c r="I947" s="11" t="s">
        <v>121</v>
      </c>
      <c r="J947" s="11" t="s">
        <v>737</v>
      </c>
      <c r="K947" s="11"/>
      <c r="L947" s="11" t="s">
        <v>4929</v>
      </c>
      <c r="M947" s="11" t="s">
        <v>139</v>
      </c>
      <c r="N947" s="11"/>
      <c r="O947" s="11"/>
      <c r="P947" s="11" t="s">
        <v>102</v>
      </c>
      <c r="Q947" s="12">
        <v>113.297375</v>
      </c>
      <c r="R947" s="13">
        <v>23.043679000000001</v>
      </c>
      <c r="S947" s="11" t="s">
        <v>4925</v>
      </c>
      <c r="T947" s="11"/>
      <c r="U947" s="11" t="s">
        <v>104</v>
      </c>
      <c r="V947" s="11" t="s">
        <v>105</v>
      </c>
      <c r="W947" s="11" t="s">
        <v>106</v>
      </c>
      <c r="X947" s="11"/>
      <c r="Y947" s="11"/>
      <c r="Z947" s="11"/>
      <c r="AA947" s="12">
        <v>946</v>
      </c>
      <c r="AB947" s="12"/>
      <c r="AC947" s="11" t="s">
        <v>116</v>
      </c>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row>
    <row r="948" spans="1:56" ht="98" x14ac:dyDescent="0.25">
      <c r="A948" s="11" t="s">
        <v>4930</v>
      </c>
      <c r="B948" s="11" t="s">
        <v>4931</v>
      </c>
      <c r="C948" s="11"/>
      <c r="D948" s="11" t="s">
        <v>91</v>
      </c>
      <c r="E948" s="11" t="s">
        <v>92</v>
      </c>
      <c r="F948" s="11" t="s">
        <v>4932</v>
      </c>
      <c r="G948" s="11" t="s">
        <v>4933</v>
      </c>
      <c r="H948" s="11" t="s">
        <v>94</v>
      </c>
      <c r="I948" s="11" t="s">
        <v>278</v>
      </c>
      <c r="J948" s="11" t="s">
        <v>4934</v>
      </c>
      <c r="K948" s="11"/>
      <c r="L948" s="11" t="s">
        <v>4935</v>
      </c>
      <c r="M948" s="11" t="s">
        <v>183</v>
      </c>
      <c r="N948" s="11" t="s">
        <v>100</v>
      </c>
      <c r="O948" s="11" t="s">
        <v>101</v>
      </c>
      <c r="P948" s="11" t="s">
        <v>102</v>
      </c>
      <c r="Q948" s="12">
        <v>113.03606499999999</v>
      </c>
      <c r="R948" s="13">
        <v>22.500772999999999</v>
      </c>
      <c r="S948" s="11" t="s">
        <v>4930</v>
      </c>
      <c r="T948" s="11"/>
      <c r="U948" s="11" t="s">
        <v>104</v>
      </c>
      <c r="V948" s="11" t="s">
        <v>105</v>
      </c>
      <c r="W948" s="11" t="s">
        <v>106</v>
      </c>
      <c r="X948" s="11"/>
      <c r="Y948" s="11"/>
      <c r="Z948" s="11"/>
      <c r="AA948" s="12">
        <v>947</v>
      </c>
      <c r="AB948" s="12"/>
      <c r="AC948" s="11" t="s">
        <v>116</v>
      </c>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row>
    <row r="949" spans="1:56" ht="56" x14ac:dyDescent="0.25">
      <c r="A949" s="11" t="s">
        <v>4936</v>
      </c>
      <c r="B949" s="11" t="s">
        <v>4937</v>
      </c>
      <c r="C949" s="11"/>
      <c r="D949" s="11" t="s">
        <v>91</v>
      </c>
      <c r="E949" s="11"/>
      <c r="F949" s="11" t="s">
        <v>4938</v>
      </c>
      <c r="G949" s="11" t="s">
        <v>4939</v>
      </c>
      <c r="H949" s="11" t="s">
        <v>94</v>
      </c>
      <c r="I949" s="11" t="s">
        <v>2470</v>
      </c>
      <c r="J949" s="11" t="s">
        <v>3417</v>
      </c>
      <c r="K949" s="11"/>
      <c r="L949" s="11" t="s">
        <v>4940</v>
      </c>
      <c r="M949" s="11"/>
      <c r="N949" s="11"/>
      <c r="O949" s="11"/>
      <c r="P949" s="11" t="s">
        <v>102</v>
      </c>
      <c r="Q949" s="12">
        <v>112.44797199999999</v>
      </c>
      <c r="R949" s="13">
        <v>23.051347</v>
      </c>
      <c r="S949" s="11" t="s">
        <v>4936</v>
      </c>
      <c r="T949" s="11"/>
      <c r="U949" s="11" t="s">
        <v>104</v>
      </c>
      <c r="V949" s="11" t="s">
        <v>105</v>
      </c>
      <c r="W949" s="11" t="s">
        <v>106</v>
      </c>
      <c r="X949" s="11"/>
      <c r="Y949" s="11"/>
      <c r="Z949" s="11"/>
      <c r="AA949" s="12">
        <v>948</v>
      </c>
      <c r="AB949" s="12"/>
      <c r="AC949" s="11" t="s">
        <v>116</v>
      </c>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row>
    <row r="950" spans="1:56" ht="56" x14ac:dyDescent="0.25">
      <c r="A950" s="11" t="s">
        <v>4941</v>
      </c>
      <c r="B950" s="11" t="s">
        <v>4942</v>
      </c>
      <c r="C950" s="11"/>
      <c r="D950" s="11" t="s">
        <v>91</v>
      </c>
      <c r="E950" s="11"/>
      <c r="F950" s="11" t="s">
        <v>4943</v>
      </c>
      <c r="G950" s="11" t="s">
        <v>4944</v>
      </c>
      <c r="H950" s="11" t="s">
        <v>94</v>
      </c>
      <c r="I950" s="11" t="s">
        <v>95</v>
      </c>
      <c r="J950" s="11" t="s">
        <v>96</v>
      </c>
      <c r="K950" s="11"/>
      <c r="L950" s="11" t="s">
        <v>4945</v>
      </c>
      <c r="M950" s="11"/>
      <c r="N950" s="11"/>
      <c r="O950" s="11"/>
      <c r="P950" s="11" t="s">
        <v>102</v>
      </c>
      <c r="Q950" s="12">
        <v>113.19784</v>
      </c>
      <c r="R950" s="13">
        <v>23.184335999999998</v>
      </c>
      <c r="S950" s="11" t="s">
        <v>4941</v>
      </c>
      <c r="T950" s="11"/>
      <c r="U950" s="11" t="s">
        <v>104</v>
      </c>
      <c r="V950" s="11" t="s">
        <v>105</v>
      </c>
      <c r="W950" s="11" t="s">
        <v>106</v>
      </c>
      <c r="X950" s="11"/>
      <c r="Y950" s="11"/>
      <c r="Z950" s="11"/>
      <c r="AA950" s="12">
        <v>949</v>
      </c>
      <c r="AB950" s="12"/>
      <c r="AC950" s="11" t="s">
        <v>116</v>
      </c>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row>
    <row r="951" spans="1:56" ht="70" x14ac:dyDescent="0.25">
      <c r="A951" s="11" t="s">
        <v>4946</v>
      </c>
      <c r="B951" s="11" t="s">
        <v>4947</v>
      </c>
      <c r="C951" s="11"/>
      <c r="D951" s="11" t="s">
        <v>91</v>
      </c>
      <c r="E951" s="11"/>
      <c r="F951" s="11" t="s">
        <v>4948</v>
      </c>
      <c r="G951" s="11" t="s">
        <v>4949</v>
      </c>
      <c r="H951" s="11" t="s">
        <v>94</v>
      </c>
      <c r="I951" s="11" t="s">
        <v>2470</v>
      </c>
      <c r="J951" s="11" t="s">
        <v>3360</v>
      </c>
      <c r="K951" s="11"/>
      <c r="L951" s="11" t="s">
        <v>4950</v>
      </c>
      <c r="M951" s="11"/>
      <c r="N951" s="11"/>
      <c r="O951" s="11"/>
      <c r="P951" s="11" t="s">
        <v>102</v>
      </c>
      <c r="Q951" s="12">
        <v>112.69932</v>
      </c>
      <c r="R951" s="13">
        <v>23.343285000000002</v>
      </c>
      <c r="S951" s="11" t="s">
        <v>4946</v>
      </c>
      <c r="T951" s="11"/>
      <c r="U951" s="11" t="s">
        <v>104</v>
      </c>
      <c r="V951" s="11" t="s">
        <v>105</v>
      </c>
      <c r="W951" s="11" t="s">
        <v>106</v>
      </c>
      <c r="X951" s="11"/>
      <c r="Y951" s="11"/>
      <c r="Z951" s="11"/>
      <c r="AA951" s="12">
        <v>950</v>
      </c>
      <c r="AB951" s="12"/>
      <c r="AC951" s="11" t="s">
        <v>116</v>
      </c>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row>
    <row r="952" spans="1:56" ht="56" x14ac:dyDescent="0.25">
      <c r="A952" s="11" t="s">
        <v>4951</v>
      </c>
      <c r="B952" s="11" t="s">
        <v>4952</v>
      </c>
      <c r="C952" s="11"/>
      <c r="D952" s="11" t="s">
        <v>91</v>
      </c>
      <c r="E952" s="11"/>
      <c r="F952" s="11" t="s">
        <v>4953</v>
      </c>
      <c r="G952" s="11" t="s">
        <v>4954</v>
      </c>
      <c r="H952" s="11" t="s">
        <v>94</v>
      </c>
      <c r="I952" s="11" t="s">
        <v>278</v>
      </c>
      <c r="J952" s="11" t="s">
        <v>390</v>
      </c>
      <c r="K952" s="11"/>
      <c r="L952" s="11" t="s">
        <v>4955</v>
      </c>
      <c r="M952" s="11"/>
      <c r="N952" s="11"/>
      <c r="O952" s="11"/>
      <c r="P952" s="11" t="s">
        <v>102</v>
      </c>
      <c r="Q952" s="12">
        <v>113.087529</v>
      </c>
      <c r="R952" s="13">
        <v>22.579516999999999</v>
      </c>
      <c r="S952" s="11" t="s">
        <v>4951</v>
      </c>
      <c r="T952" s="11"/>
      <c r="U952" s="11" t="s">
        <v>104</v>
      </c>
      <c r="V952" s="11" t="s">
        <v>105</v>
      </c>
      <c r="W952" s="11" t="s">
        <v>106</v>
      </c>
      <c r="X952" s="11"/>
      <c r="Y952" s="11"/>
      <c r="Z952" s="11"/>
      <c r="AA952" s="12">
        <v>951</v>
      </c>
      <c r="AB952" s="12"/>
      <c r="AC952" s="11" t="s">
        <v>116</v>
      </c>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row>
    <row r="953" spans="1:56" ht="56" x14ac:dyDescent="0.25">
      <c r="A953" s="11" t="s">
        <v>4956</v>
      </c>
      <c r="B953" s="11" t="s">
        <v>4957</v>
      </c>
      <c r="C953" s="11"/>
      <c r="D953" s="11" t="s">
        <v>91</v>
      </c>
      <c r="E953" s="11"/>
      <c r="F953" s="11" t="s">
        <v>4958</v>
      </c>
      <c r="G953" s="11" t="s">
        <v>4959</v>
      </c>
      <c r="H953" s="11" t="s">
        <v>94</v>
      </c>
      <c r="I953" s="11" t="s">
        <v>2470</v>
      </c>
      <c r="J953" s="11" t="s">
        <v>3360</v>
      </c>
      <c r="K953" s="11"/>
      <c r="L953" s="11" t="s">
        <v>4960</v>
      </c>
      <c r="M953" s="11"/>
      <c r="N953" s="11"/>
      <c r="O953" s="11"/>
      <c r="P953" s="11" t="s">
        <v>102</v>
      </c>
      <c r="Q953" s="12">
        <v>112.816294</v>
      </c>
      <c r="R953" s="13">
        <v>23.309728</v>
      </c>
      <c r="S953" s="11" t="s">
        <v>4956</v>
      </c>
      <c r="T953" s="11"/>
      <c r="U953" s="11" t="s">
        <v>104</v>
      </c>
      <c r="V953" s="11" t="s">
        <v>105</v>
      </c>
      <c r="W953" s="11" t="s">
        <v>106</v>
      </c>
      <c r="X953" s="11"/>
      <c r="Y953" s="11"/>
      <c r="Z953" s="11"/>
      <c r="AA953" s="12">
        <v>952</v>
      </c>
      <c r="AB953" s="12"/>
      <c r="AC953" s="11" t="s">
        <v>116</v>
      </c>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row>
    <row r="954" spans="1:56" ht="56" x14ac:dyDescent="0.25">
      <c r="A954" s="11" t="s">
        <v>4961</v>
      </c>
      <c r="B954" s="11" t="s">
        <v>4962</v>
      </c>
      <c r="C954" s="11"/>
      <c r="D954" s="11" t="s">
        <v>91</v>
      </c>
      <c r="E954" s="11"/>
      <c r="F954" s="11" t="s">
        <v>4963</v>
      </c>
      <c r="G954" s="11" t="s">
        <v>4964</v>
      </c>
      <c r="H954" s="11" t="s">
        <v>94</v>
      </c>
      <c r="I954" s="11" t="s">
        <v>2470</v>
      </c>
      <c r="J954" s="11" t="s">
        <v>3417</v>
      </c>
      <c r="K954" s="11"/>
      <c r="L954" s="11" t="s">
        <v>4965</v>
      </c>
      <c r="M954" s="11"/>
      <c r="N954" s="11"/>
      <c r="O954" s="11"/>
      <c r="P954" s="11" t="s">
        <v>102</v>
      </c>
      <c r="Q954" s="12">
        <v>112.510594</v>
      </c>
      <c r="R954" s="13">
        <v>23.067316000000002</v>
      </c>
      <c r="S954" s="11" t="s">
        <v>4961</v>
      </c>
      <c r="T954" s="11"/>
      <c r="U954" s="11" t="s">
        <v>104</v>
      </c>
      <c r="V954" s="11" t="s">
        <v>105</v>
      </c>
      <c r="W954" s="11" t="s">
        <v>106</v>
      </c>
      <c r="X954" s="11"/>
      <c r="Y954" s="11"/>
      <c r="Z954" s="11"/>
      <c r="AA954" s="12">
        <v>953</v>
      </c>
      <c r="AB954" s="12"/>
      <c r="AC954" s="11" t="s">
        <v>116</v>
      </c>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row>
    <row r="955" spans="1:56" ht="70" x14ac:dyDescent="0.25">
      <c r="A955" s="11" t="s">
        <v>4966</v>
      </c>
      <c r="B955" s="11" t="s">
        <v>4967</v>
      </c>
      <c r="C955" s="11"/>
      <c r="D955" s="11" t="s">
        <v>91</v>
      </c>
      <c r="E955" s="11"/>
      <c r="F955" s="11" t="s">
        <v>4968</v>
      </c>
      <c r="G955" s="11" t="s">
        <v>4969</v>
      </c>
      <c r="H955" s="11" t="s">
        <v>94</v>
      </c>
      <c r="I955" s="11" t="s">
        <v>278</v>
      </c>
      <c r="J955" s="11" t="s">
        <v>390</v>
      </c>
      <c r="K955" s="11"/>
      <c r="L955" s="11" t="s">
        <v>4970</v>
      </c>
      <c r="M955" s="11"/>
      <c r="N955" s="11"/>
      <c r="O955" s="11"/>
      <c r="P955" s="11" t="s">
        <v>102</v>
      </c>
      <c r="Q955" s="12">
        <v>113.0774</v>
      </c>
      <c r="R955" s="13">
        <v>22.613662999999999</v>
      </c>
      <c r="S955" s="11" t="s">
        <v>4966</v>
      </c>
      <c r="T955" s="11"/>
      <c r="U955" s="11" t="s">
        <v>104</v>
      </c>
      <c r="V955" s="11" t="s">
        <v>105</v>
      </c>
      <c r="W955" s="11" t="s">
        <v>106</v>
      </c>
      <c r="X955" s="11"/>
      <c r="Y955" s="11"/>
      <c r="Z955" s="11"/>
      <c r="AA955" s="12">
        <v>954</v>
      </c>
      <c r="AB955" s="12"/>
      <c r="AC955" s="11" t="s">
        <v>116</v>
      </c>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row>
    <row r="956" spans="1:56" ht="56" x14ac:dyDescent="0.25">
      <c r="A956" s="11" t="s">
        <v>4971</v>
      </c>
      <c r="B956" s="11" t="s">
        <v>4972</v>
      </c>
      <c r="C956" s="11"/>
      <c r="D956" s="11" t="s">
        <v>91</v>
      </c>
      <c r="E956" s="11"/>
      <c r="F956" s="11" t="s">
        <v>4973</v>
      </c>
      <c r="G956" s="11" t="s">
        <v>4974</v>
      </c>
      <c r="H956" s="11" t="s">
        <v>94</v>
      </c>
      <c r="I956" s="11" t="s">
        <v>278</v>
      </c>
      <c r="J956" s="11" t="s">
        <v>4975</v>
      </c>
      <c r="K956" s="11"/>
      <c r="L956" s="11" t="s">
        <v>4976</v>
      </c>
      <c r="M956" s="11"/>
      <c r="N956" s="11"/>
      <c r="O956" s="11"/>
      <c r="P956" s="11" t="s">
        <v>102</v>
      </c>
      <c r="Q956" s="12">
        <v>112.965508</v>
      </c>
      <c r="R956" s="13">
        <v>22.770802</v>
      </c>
      <c r="S956" s="11" t="s">
        <v>4971</v>
      </c>
      <c r="T956" s="11"/>
      <c r="U956" s="11" t="s">
        <v>104</v>
      </c>
      <c r="V956" s="11" t="s">
        <v>105</v>
      </c>
      <c r="W956" s="11" t="s">
        <v>106</v>
      </c>
      <c r="X956" s="11"/>
      <c r="Y956" s="11"/>
      <c r="Z956" s="11"/>
      <c r="AA956" s="12">
        <v>955</v>
      </c>
      <c r="AB956" s="12"/>
      <c r="AC956" s="11" t="s">
        <v>116</v>
      </c>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row>
    <row r="957" spans="1:56" ht="56" x14ac:dyDescent="0.25">
      <c r="A957" s="11" t="s">
        <v>4977</v>
      </c>
      <c r="B957" s="11" t="s">
        <v>4978</v>
      </c>
      <c r="C957" s="11"/>
      <c r="D957" s="11" t="s">
        <v>91</v>
      </c>
      <c r="E957" s="11"/>
      <c r="F957" s="11" t="s">
        <v>4979</v>
      </c>
      <c r="G957" s="11" t="s">
        <v>4980</v>
      </c>
      <c r="H957" s="11" t="s">
        <v>94</v>
      </c>
      <c r="I957" s="11" t="s">
        <v>278</v>
      </c>
      <c r="J957" s="11" t="s">
        <v>286</v>
      </c>
      <c r="K957" s="11"/>
      <c r="L957" s="11" t="s">
        <v>4981</v>
      </c>
      <c r="M957" s="11"/>
      <c r="N957" s="11"/>
      <c r="O957" s="11"/>
      <c r="P957" s="11" t="s">
        <v>102</v>
      </c>
      <c r="Q957" s="12">
        <v>112.80869800000001</v>
      </c>
      <c r="R957" s="13">
        <v>22.246490999999999</v>
      </c>
      <c r="S957" s="11" t="s">
        <v>4977</v>
      </c>
      <c r="T957" s="11"/>
      <c r="U957" s="11" t="s">
        <v>104</v>
      </c>
      <c r="V957" s="11" t="s">
        <v>105</v>
      </c>
      <c r="W957" s="11" t="s">
        <v>106</v>
      </c>
      <c r="X957" s="11"/>
      <c r="Y957" s="11"/>
      <c r="Z957" s="11"/>
      <c r="AA957" s="12">
        <v>956</v>
      </c>
      <c r="AB957" s="12"/>
      <c r="AC957" s="11" t="s">
        <v>116</v>
      </c>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row>
    <row r="958" spans="1:56" ht="56" x14ac:dyDescent="0.25">
      <c r="A958" s="11" t="s">
        <v>4982</v>
      </c>
      <c r="B958" s="11" t="s">
        <v>4983</v>
      </c>
      <c r="C958" s="11"/>
      <c r="D958" s="11" t="s">
        <v>91</v>
      </c>
      <c r="E958" s="11" t="s">
        <v>92</v>
      </c>
      <c r="F958" s="11" t="s">
        <v>4984</v>
      </c>
      <c r="G958" s="11" t="s">
        <v>4985</v>
      </c>
      <c r="H958" s="11" t="s">
        <v>94</v>
      </c>
      <c r="I958" s="11" t="s">
        <v>95</v>
      </c>
      <c r="J958" s="11" t="s">
        <v>96</v>
      </c>
      <c r="K958" s="11"/>
      <c r="L958" s="11" t="s">
        <v>4986</v>
      </c>
      <c r="M958" s="11" t="s">
        <v>115</v>
      </c>
      <c r="N958" s="11" t="s">
        <v>100</v>
      </c>
      <c r="O958" s="11" t="s">
        <v>101</v>
      </c>
      <c r="P958" s="11" t="s">
        <v>102</v>
      </c>
      <c r="Q958" s="12">
        <v>113.159854</v>
      </c>
      <c r="R958" s="13">
        <v>23.195239999999998</v>
      </c>
      <c r="S958" s="11" t="s">
        <v>4982</v>
      </c>
      <c r="T958" s="11"/>
      <c r="U958" s="11" t="s">
        <v>104</v>
      </c>
      <c r="V958" s="11" t="s">
        <v>105</v>
      </c>
      <c r="W958" s="11" t="s">
        <v>106</v>
      </c>
      <c r="X958" s="11"/>
      <c r="Y958" s="11"/>
      <c r="Z958" s="11"/>
      <c r="AA958" s="12">
        <v>957</v>
      </c>
      <c r="AB958" s="12"/>
      <c r="AC958" s="11" t="s">
        <v>116</v>
      </c>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row>
    <row r="959" spans="1:56" ht="70" x14ac:dyDescent="0.25">
      <c r="A959" s="11" t="s">
        <v>4987</v>
      </c>
      <c r="B959" s="11" t="s">
        <v>4988</v>
      </c>
      <c r="C959" s="11"/>
      <c r="D959" s="11" t="s">
        <v>91</v>
      </c>
      <c r="E959" s="11"/>
      <c r="F959" s="11" t="s">
        <v>4989</v>
      </c>
      <c r="G959" s="11" t="s">
        <v>4990</v>
      </c>
      <c r="H959" s="11" t="s">
        <v>94</v>
      </c>
      <c r="I959" s="11" t="s">
        <v>2470</v>
      </c>
      <c r="J959" s="11" t="s">
        <v>3360</v>
      </c>
      <c r="K959" s="11"/>
      <c r="L959" s="11" t="s">
        <v>4991</v>
      </c>
      <c r="M959" s="11" t="s">
        <v>115</v>
      </c>
      <c r="N959" s="11"/>
      <c r="O959" s="11"/>
      <c r="P959" s="11" t="s">
        <v>102</v>
      </c>
      <c r="Q959" s="12">
        <v>112.811976</v>
      </c>
      <c r="R959" s="13">
        <v>23.290120999999999</v>
      </c>
      <c r="S959" s="11" t="s">
        <v>4987</v>
      </c>
      <c r="T959" s="11"/>
      <c r="U959" s="11" t="s">
        <v>104</v>
      </c>
      <c r="V959" s="11" t="s">
        <v>105</v>
      </c>
      <c r="W959" s="11" t="s">
        <v>106</v>
      </c>
      <c r="X959" s="11"/>
      <c r="Y959" s="11"/>
      <c r="Z959" s="11"/>
      <c r="AA959" s="12">
        <v>958</v>
      </c>
      <c r="AB959" s="12"/>
      <c r="AC959" s="11" t="s">
        <v>116</v>
      </c>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row>
    <row r="960" spans="1:56" ht="56" x14ac:dyDescent="0.25">
      <c r="A960" s="11" t="s">
        <v>4992</v>
      </c>
      <c r="B960" s="11" t="s">
        <v>4993</v>
      </c>
      <c r="C960" s="11"/>
      <c r="D960" s="11" t="s">
        <v>91</v>
      </c>
      <c r="E960" s="11"/>
      <c r="F960" s="11" t="s">
        <v>4994</v>
      </c>
      <c r="G960" s="11" t="s">
        <v>4995</v>
      </c>
      <c r="H960" s="11" t="s">
        <v>94</v>
      </c>
      <c r="I960" s="11" t="s">
        <v>278</v>
      </c>
      <c r="J960" s="11" t="s">
        <v>279</v>
      </c>
      <c r="K960" s="11"/>
      <c r="L960" s="11" t="s">
        <v>4996</v>
      </c>
      <c r="M960" s="11"/>
      <c r="N960" s="11"/>
      <c r="O960" s="11"/>
      <c r="P960" s="11" t="s">
        <v>102</v>
      </c>
      <c r="Q960" s="12">
        <v>112.699208</v>
      </c>
      <c r="R960" s="13">
        <v>22.359549000000001</v>
      </c>
      <c r="S960" s="11" t="s">
        <v>4992</v>
      </c>
      <c r="T960" s="11"/>
      <c r="U960" s="11" t="s">
        <v>104</v>
      </c>
      <c r="V960" s="11" t="s">
        <v>105</v>
      </c>
      <c r="W960" s="11" t="s">
        <v>106</v>
      </c>
      <c r="X960" s="11"/>
      <c r="Y960" s="11"/>
      <c r="Z960" s="11"/>
      <c r="AA960" s="12">
        <v>959</v>
      </c>
      <c r="AB960" s="12"/>
      <c r="AC960" s="11" t="s">
        <v>116</v>
      </c>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row>
    <row r="961" spans="1:56" ht="56" x14ac:dyDescent="0.25">
      <c r="A961" s="11" t="s">
        <v>4997</v>
      </c>
      <c r="B961" s="11" t="s">
        <v>4998</v>
      </c>
      <c r="C961" s="11"/>
      <c r="D961" s="11" t="s">
        <v>91</v>
      </c>
      <c r="E961" s="11"/>
      <c r="F961" s="11" t="s">
        <v>4999</v>
      </c>
      <c r="G961" s="11" t="s">
        <v>5000</v>
      </c>
      <c r="H961" s="11" t="s">
        <v>94</v>
      </c>
      <c r="I961" s="11" t="s">
        <v>278</v>
      </c>
      <c r="J961" s="11" t="s">
        <v>397</v>
      </c>
      <c r="K961" s="11"/>
      <c r="L961" s="11" t="s">
        <v>5001</v>
      </c>
      <c r="M961" s="11" t="s">
        <v>115</v>
      </c>
      <c r="N961" s="11"/>
      <c r="O961" s="11"/>
      <c r="P961" s="11" t="s">
        <v>102</v>
      </c>
      <c r="Q961" s="12">
        <v>113.130922</v>
      </c>
      <c r="R961" s="13">
        <v>22.561461999999999</v>
      </c>
      <c r="S961" s="11" t="s">
        <v>4997</v>
      </c>
      <c r="T961" s="11"/>
      <c r="U961" s="11" t="s">
        <v>104</v>
      </c>
      <c r="V961" s="11" t="s">
        <v>105</v>
      </c>
      <c r="W961" s="11" t="s">
        <v>106</v>
      </c>
      <c r="X961" s="11"/>
      <c r="Y961" s="11"/>
      <c r="Z961" s="11"/>
      <c r="AA961" s="12">
        <v>960</v>
      </c>
      <c r="AB961" s="12"/>
      <c r="AC961" s="11" t="s">
        <v>116</v>
      </c>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row>
    <row r="962" spans="1:56" ht="56" x14ac:dyDescent="0.25">
      <c r="A962" s="11" t="s">
        <v>5002</v>
      </c>
      <c r="B962" s="11" t="s">
        <v>5003</v>
      </c>
      <c r="C962" s="11"/>
      <c r="D962" s="11" t="s">
        <v>91</v>
      </c>
      <c r="E962" s="11"/>
      <c r="F962" s="11" t="s">
        <v>5004</v>
      </c>
      <c r="G962" s="11" t="s">
        <v>5005</v>
      </c>
      <c r="H962" s="11" t="s">
        <v>94</v>
      </c>
      <c r="I962" s="11" t="s">
        <v>121</v>
      </c>
      <c r="J962" s="11" t="s">
        <v>971</v>
      </c>
      <c r="K962" s="11"/>
      <c r="L962" s="11" t="s">
        <v>5006</v>
      </c>
      <c r="M962" s="11" t="s">
        <v>183</v>
      </c>
      <c r="N962" s="11"/>
      <c r="O962" s="11"/>
      <c r="P962" s="11" t="s">
        <v>102</v>
      </c>
      <c r="Q962" s="12">
        <v>113.357719</v>
      </c>
      <c r="R962" s="13">
        <v>23.296053000000001</v>
      </c>
      <c r="S962" s="11" t="s">
        <v>5002</v>
      </c>
      <c r="T962" s="11"/>
      <c r="U962" s="11" t="s">
        <v>104</v>
      </c>
      <c r="V962" s="11" t="s">
        <v>105</v>
      </c>
      <c r="W962" s="11" t="s">
        <v>106</v>
      </c>
      <c r="X962" s="11"/>
      <c r="Y962" s="11"/>
      <c r="Z962" s="11"/>
      <c r="AA962" s="12">
        <v>961</v>
      </c>
      <c r="AB962" s="12"/>
      <c r="AC962" s="11" t="s">
        <v>116</v>
      </c>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row>
    <row r="963" spans="1:56" ht="56" x14ac:dyDescent="0.25">
      <c r="A963" s="11" t="s">
        <v>5007</v>
      </c>
      <c r="B963" s="11" t="s">
        <v>5008</v>
      </c>
      <c r="C963" s="11"/>
      <c r="D963" s="11" t="s">
        <v>91</v>
      </c>
      <c r="E963" s="11"/>
      <c r="F963" s="11" t="s">
        <v>5009</v>
      </c>
      <c r="G963" s="11" t="s">
        <v>5010</v>
      </c>
      <c r="H963" s="11" t="s">
        <v>94</v>
      </c>
      <c r="I963" s="11" t="s">
        <v>121</v>
      </c>
      <c r="J963" s="11" t="s">
        <v>737</v>
      </c>
      <c r="K963" s="11"/>
      <c r="L963" s="11" t="s">
        <v>5011</v>
      </c>
      <c r="M963" s="11"/>
      <c r="N963" s="11"/>
      <c r="O963" s="11"/>
      <c r="P963" s="11" t="s">
        <v>102</v>
      </c>
      <c r="Q963" s="12">
        <v>113.432768</v>
      </c>
      <c r="R963" s="13">
        <v>22.954726999999998</v>
      </c>
      <c r="S963" s="11" t="s">
        <v>5007</v>
      </c>
      <c r="T963" s="11"/>
      <c r="U963" s="11" t="s">
        <v>104</v>
      </c>
      <c r="V963" s="11" t="s">
        <v>105</v>
      </c>
      <c r="W963" s="11" t="s">
        <v>106</v>
      </c>
      <c r="X963" s="11"/>
      <c r="Y963" s="11"/>
      <c r="Z963" s="11"/>
      <c r="AA963" s="12">
        <v>962</v>
      </c>
      <c r="AB963" s="12"/>
      <c r="AC963" s="11" t="s">
        <v>116</v>
      </c>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row>
    <row r="964" spans="1:56" ht="56" x14ac:dyDescent="0.25">
      <c r="A964" s="11" t="s">
        <v>5012</v>
      </c>
      <c r="B964" s="11" t="s">
        <v>5013</v>
      </c>
      <c r="C964" s="11"/>
      <c r="D964" s="11" t="s">
        <v>91</v>
      </c>
      <c r="E964" s="11"/>
      <c r="F964" s="11" t="s">
        <v>5014</v>
      </c>
      <c r="G964" s="11" t="s">
        <v>5015</v>
      </c>
      <c r="H964" s="11" t="s">
        <v>94</v>
      </c>
      <c r="I964" s="11" t="s">
        <v>95</v>
      </c>
      <c r="J964" s="11" t="s">
        <v>96</v>
      </c>
      <c r="K964" s="11"/>
      <c r="L964" s="11" t="s">
        <v>5016</v>
      </c>
      <c r="M964" s="11"/>
      <c r="N964" s="11"/>
      <c r="O964" s="11"/>
      <c r="P964" s="11" t="s">
        <v>102</v>
      </c>
      <c r="Q964" s="12">
        <v>113.195173</v>
      </c>
      <c r="R964" s="13">
        <v>23.185701000000002</v>
      </c>
      <c r="S964" s="11" t="s">
        <v>5012</v>
      </c>
      <c r="T964" s="11"/>
      <c r="U964" s="11" t="s">
        <v>104</v>
      </c>
      <c r="V964" s="11" t="s">
        <v>105</v>
      </c>
      <c r="W964" s="11" t="s">
        <v>106</v>
      </c>
      <c r="X964" s="11"/>
      <c r="Y964" s="11"/>
      <c r="Z964" s="11"/>
      <c r="AA964" s="12">
        <v>963</v>
      </c>
      <c r="AB964" s="12"/>
      <c r="AC964" s="11" t="s">
        <v>116</v>
      </c>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row>
    <row r="965" spans="1:56" ht="84" x14ac:dyDescent="0.25">
      <c r="A965" s="11" t="s">
        <v>5017</v>
      </c>
      <c r="B965" s="11" t="s">
        <v>17</v>
      </c>
      <c r="C965" s="11"/>
      <c r="D965" s="11" t="s">
        <v>91</v>
      </c>
      <c r="E965" s="11"/>
      <c r="F965" s="11" t="s">
        <v>5018</v>
      </c>
      <c r="G965" s="11" t="s">
        <v>31</v>
      </c>
      <c r="H965" s="11" t="s">
        <v>94</v>
      </c>
      <c r="I965" s="11" t="s">
        <v>343</v>
      </c>
      <c r="J965" s="11" t="s">
        <v>344</v>
      </c>
      <c r="K965" s="11"/>
      <c r="L965" s="11" t="s">
        <v>24</v>
      </c>
      <c r="M965" s="11"/>
      <c r="N965" s="11"/>
      <c r="O965" s="11"/>
      <c r="P965" s="11" t="s">
        <v>102</v>
      </c>
      <c r="Q965" s="12">
        <v>113.548041</v>
      </c>
      <c r="R965" s="13">
        <v>22.113851</v>
      </c>
      <c r="S965" s="11" t="s">
        <v>5017</v>
      </c>
      <c r="T965" s="11"/>
      <c r="U965" s="11" t="s">
        <v>104</v>
      </c>
      <c r="V965" s="11" t="s">
        <v>105</v>
      </c>
      <c r="W965" s="11" t="s">
        <v>106</v>
      </c>
      <c r="X965" s="11"/>
      <c r="Y965" s="11"/>
      <c r="Z965" s="11"/>
      <c r="AA965" s="12">
        <v>964</v>
      </c>
      <c r="AB965" s="12"/>
      <c r="AC965" s="11" t="s">
        <v>116</v>
      </c>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row>
    <row r="966" spans="1:56" ht="56" x14ac:dyDescent="0.25">
      <c r="A966" s="11" t="s">
        <v>5019</v>
      </c>
      <c r="B966" s="11" t="s">
        <v>5020</v>
      </c>
      <c r="C966" s="11"/>
      <c r="D966" s="11" t="s">
        <v>91</v>
      </c>
      <c r="E966" s="11"/>
      <c r="F966" s="11" t="s">
        <v>5021</v>
      </c>
      <c r="G966" s="11" t="s">
        <v>5022</v>
      </c>
      <c r="H966" s="11" t="s">
        <v>94</v>
      </c>
      <c r="I966" s="11" t="s">
        <v>2470</v>
      </c>
      <c r="J966" s="11" t="s">
        <v>2471</v>
      </c>
      <c r="K966" s="11"/>
      <c r="L966" s="11" t="s">
        <v>5023</v>
      </c>
      <c r="M966" s="11" t="s">
        <v>115</v>
      </c>
      <c r="N966" s="11" t="s">
        <v>174</v>
      </c>
      <c r="O966" s="11" t="s">
        <v>101</v>
      </c>
      <c r="P966" s="11" t="s">
        <v>102</v>
      </c>
      <c r="Q966" s="12">
        <v>112.78262599999999</v>
      </c>
      <c r="R966" s="13">
        <v>23.086472000000001</v>
      </c>
      <c r="S966" s="11" t="s">
        <v>5019</v>
      </c>
      <c r="T966" s="11"/>
      <c r="U966" s="11" t="s">
        <v>104</v>
      </c>
      <c r="V966" s="11" t="s">
        <v>105</v>
      </c>
      <c r="W966" s="11" t="s">
        <v>106</v>
      </c>
      <c r="X966" s="11"/>
      <c r="Y966" s="11"/>
      <c r="Z966" s="11"/>
      <c r="AA966" s="12">
        <v>965</v>
      </c>
      <c r="AB966" s="12"/>
      <c r="AC966" s="11" t="s">
        <v>116</v>
      </c>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row>
    <row r="967" spans="1:56" ht="56" x14ac:dyDescent="0.25">
      <c r="A967" s="11" t="s">
        <v>5024</v>
      </c>
      <c r="B967" s="11" t="s">
        <v>5025</v>
      </c>
      <c r="C967" s="11"/>
      <c r="D967" s="11" t="s">
        <v>91</v>
      </c>
      <c r="E967" s="11"/>
      <c r="F967" s="11" t="s">
        <v>5026</v>
      </c>
      <c r="G967" s="11" t="s">
        <v>5027</v>
      </c>
      <c r="H967" s="11" t="s">
        <v>94</v>
      </c>
      <c r="I967" s="11" t="s">
        <v>121</v>
      </c>
      <c r="J967" s="11" t="s">
        <v>737</v>
      </c>
      <c r="K967" s="11"/>
      <c r="L967" s="11" t="s">
        <v>5028</v>
      </c>
      <c r="M967" s="11"/>
      <c r="N967" s="11"/>
      <c r="O967" s="11"/>
      <c r="P967" s="11" t="s">
        <v>102</v>
      </c>
      <c r="Q967" s="12">
        <v>113.44673899999999</v>
      </c>
      <c r="R967" s="13">
        <v>23.042393000000001</v>
      </c>
      <c r="S967" s="11" t="s">
        <v>5024</v>
      </c>
      <c r="T967" s="11"/>
      <c r="U967" s="11" t="s">
        <v>104</v>
      </c>
      <c r="V967" s="11" t="s">
        <v>105</v>
      </c>
      <c r="W967" s="11" t="s">
        <v>106</v>
      </c>
      <c r="X967" s="11"/>
      <c r="Y967" s="11"/>
      <c r="Z967" s="11"/>
      <c r="AA967" s="12">
        <v>966</v>
      </c>
      <c r="AB967" s="12"/>
      <c r="AC967" s="11" t="s">
        <v>116</v>
      </c>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row>
    <row r="968" spans="1:56" ht="70" x14ac:dyDescent="0.25">
      <c r="A968" s="11" t="s">
        <v>5029</v>
      </c>
      <c r="B968" s="11" t="s">
        <v>5030</v>
      </c>
      <c r="C968" s="11"/>
      <c r="D968" s="11" t="s">
        <v>91</v>
      </c>
      <c r="E968" s="11"/>
      <c r="F968" s="11" t="s">
        <v>5031</v>
      </c>
      <c r="G968" s="11" t="s">
        <v>5032</v>
      </c>
      <c r="H968" s="11" t="s">
        <v>94</v>
      </c>
      <c r="I968" s="11" t="s">
        <v>121</v>
      </c>
      <c r="J968" s="11" t="s">
        <v>971</v>
      </c>
      <c r="K968" s="11"/>
      <c r="L968" s="11" t="s">
        <v>5033</v>
      </c>
      <c r="M968" s="11"/>
      <c r="N968" s="11"/>
      <c r="O968" s="11"/>
      <c r="P968" s="11" t="s">
        <v>102</v>
      </c>
      <c r="Q968" s="12">
        <v>113.22824799999999</v>
      </c>
      <c r="R968" s="13">
        <v>23.217196000000001</v>
      </c>
      <c r="S968" s="11" t="s">
        <v>5029</v>
      </c>
      <c r="T968" s="11"/>
      <c r="U968" s="11" t="s">
        <v>104</v>
      </c>
      <c r="V968" s="11" t="s">
        <v>105</v>
      </c>
      <c r="W968" s="11" t="s">
        <v>106</v>
      </c>
      <c r="X968" s="11"/>
      <c r="Y968" s="11"/>
      <c r="Z968" s="11"/>
      <c r="AA968" s="12">
        <v>967</v>
      </c>
      <c r="AB968" s="12"/>
      <c r="AC968" s="11" t="s">
        <v>116</v>
      </c>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row>
    <row r="969" spans="1:56" ht="56" x14ac:dyDescent="0.25">
      <c r="A969" s="11" t="s">
        <v>5034</v>
      </c>
      <c r="B969" s="11" t="s">
        <v>5035</v>
      </c>
      <c r="C969" s="11"/>
      <c r="D969" s="11" t="s">
        <v>91</v>
      </c>
      <c r="E969" s="11"/>
      <c r="F969" s="11" t="s">
        <v>5036</v>
      </c>
      <c r="G969" s="11" t="s">
        <v>5037</v>
      </c>
      <c r="H969" s="11" t="s">
        <v>94</v>
      </c>
      <c r="I969" s="11" t="s">
        <v>95</v>
      </c>
      <c r="J969" s="11" t="s">
        <v>1087</v>
      </c>
      <c r="K969" s="11"/>
      <c r="L969" s="11" t="s">
        <v>5038</v>
      </c>
      <c r="M969" s="11" t="s">
        <v>115</v>
      </c>
      <c r="N969" s="11"/>
      <c r="O969" s="11"/>
      <c r="P969" s="11" t="s">
        <v>102</v>
      </c>
      <c r="Q969" s="12">
        <v>113.010469</v>
      </c>
      <c r="R969" s="13">
        <v>22.971910000000001</v>
      </c>
      <c r="S969" s="11" t="s">
        <v>5034</v>
      </c>
      <c r="T969" s="11"/>
      <c r="U969" s="11" t="s">
        <v>104</v>
      </c>
      <c r="V969" s="11" t="s">
        <v>105</v>
      </c>
      <c r="W969" s="11" t="s">
        <v>106</v>
      </c>
      <c r="X969" s="11"/>
      <c r="Y969" s="11"/>
      <c r="Z969" s="11"/>
      <c r="AA969" s="12">
        <v>968</v>
      </c>
      <c r="AB969" s="12"/>
      <c r="AC969" s="11" t="s">
        <v>116</v>
      </c>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row>
    <row r="970" spans="1:56" ht="56" x14ac:dyDescent="0.25">
      <c r="A970" s="11" t="s">
        <v>5039</v>
      </c>
      <c r="B970" s="11" t="s">
        <v>5040</v>
      </c>
      <c r="C970" s="11"/>
      <c r="D970" s="11" t="s">
        <v>91</v>
      </c>
      <c r="E970" s="11"/>
      <c r="F970" s="11" t="s">
        <v>5041</v>
      </c>
      <c r="G970" s="11" t="s">
        <v>5042</v>
      </c>
      <c r="H970" s="11" t="s">
        <v>94</v>
      </c>
      <c r="I970" s="11" t="s">
        <v>121</v>
      </c>
      <c r="J970" s="11" t="s">
        <v>122</v>
      </c>
      <c r="K970" s="11"/>
      <c r="L970" s="11" t="s">
        <v>5043</v>
      </c>
      <c r="M970" s="11"/>
      <c r="N970" s="11"/>
      <c r="O970" s="11"/>
      <c r="P970" s="11" t="s">
        <v>102</v>
      </c>
      <c r="Q970" s="12">
        <v>113.33068799999999</v>
      </c>
      <c r="R970" s="13">
        <v>23.137725</v>
      </c>
      <c r="S970" s="11" t="s">
        <v>5039</v>
      </c>
      <c r="T970" s="11"/>
      <c r="U970" s="11" t="s">
        <v>104</v>
      </c>
      <c r="V970" s="11" t="s">
        <v>105</v>
      </c>
      <c r="W970" s="11" t="s">
        <v>106</v>
      </c>
      <c r="X970" s="11"/>
      <c r="Y970" s="11"/>
      <c r="Z970" s="11"/>
      <c r="AA970" s="12">
        <v>969</v>
      </c>
      <c r="AB970" s="12"/>
      <c r="AC970" s="11" t="s">
        <v>116</v>
      </c>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row>
    <row r="971" spans="1:56" ht="56" x14ac:dyDescent="0.25">
      <c r="A971" s="11" t="s">
        <v>5044</v>
      </c>
      <c r="B971" s="11" t="s">
        <v>5045</v>
      </c>
      <c r="C971" s="11"/>
      <c r="D971" s="11" t="s">
        <v>91</v>
      </c>
      <c r="E971" s="11"/>
      <c r="F971" s="11" t="s">
        <v>5046</v>
      </c>
      <c r="G971" s="11" t="s">
        <v>5047</v>
      </c>
      <c r="H971" s="11" t="s">
        <v>94</v>
      </c>
      <c r="I971" s="11" t="s">
        <v>95</v>
      </c>
      <c r="J971" s="11" t="s">
        <v>96</v>
      </c>
      <c r="K971" s="11"/>
      <c r="L971" s="11" t="s">
        <v>5048</v>
      </c>
      <c r="M971" s="11" t="s">
        <v>115</v>
      </c>
      <c r="N971" s="11"/>
      <c r="O971" s="11"/>
      <c r="P971" s="11" t="s">
        <v>102</v>
      </c>
      <c r="Q971" s="12">
        <v>113.192775</v>
      </c>
      <c r="R971" s="13">
        <v>23.028825999999999</v>
      </c>
      <c r="S971" s="11" t="s">
        <v>5044</v>
      </c>
      <c r="T971" s="11"/>
      <c r="U971" s="11" t="s">
        <v>104</v>
      </c>
      <c r="V971" s="11" t="s">
        <v>105</v>
      </c>
      <c r="W971" s="11" t="s">
        <v>106</v>
      </c>
      <c r="X971" s="11"/>
      <c r="Y971" s="11"/>
      <c r="Z971" s="11"/>
      <c r="AA971" s="12">
        <v>970</v>
      </c>
      <c r="AB971" s="12"/>
      <c r="AC971" s="11" t="s">
        <v>116</v>
      </c>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row>
    <row r="972" spans="1:56" ht="56" x14ac:dyDescent="0.25">
      <c r="A972" s="11" t="s">
        <v>5049</v>
      </c>
      <c r="B972" s="11" t="s">
        <v>5050</v>
      </c>
      <c r="C972" s="11"/>
      <c r="D972" s="11" t="s">
        <v>91</v>
      </c>
      <c r="E972" s="11"/>
      <c r="F972" s="11" t="s">
        <v>5051</v>
      </c>
      <c r="G972" s="11" t="s">
        <v>5052</v>
      </c>
      <c r="H972" s="11" t="s">
        <v>94</v>
      </c>
      <c r="I972" s="11" t="s">
        <v>121</v>
      </c>
      <c r="J972" s="11" t="s">
        <v>131</v>
      </c>
      <c r="K972" s="11"/>
      <c r="L972" s="11" t="s">
        <v>5053</v>
      </c>
      <c r="M972" s="11"/>
      <c r="N972" s="11"/>
      <c r="O972" s="11"/>
      <c r="P972" s="11" t="s">
        <v>102</v>
      </c>
      <c r="Q972" s="12">
        <v>113.827236</v>
      </c>
      <c r="R972" s="13">
        <v>23.287087</v>
      </c>
      <c r="S972" s="11" t="s">
        <v>5049</v>
      </c>
      <c r="T972" s="11"/>
      <c r="U972" s="11" t="s">
        <v>104</v>
      </c>
      <c r="V972" s="11" t="s">
        <v>105</v>
      </c>
      <c r="W972" s="11" t="s">
        <v>106</v>
      </c>
      <c r="X972" s="11"/>
      <c r="Y972" s="11"/>
      <c r="Z972" s="11"/>
      <c r="AA972" s="12">
        <v>971</v>
      </c>
      <c r="AB972" s="12"/>
      <c r="AC972" s="11" t="s">
        <v>116</v>
      </c>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row>
    <row r="973" spans="1:56" ht="56" x14ac:dyDescent="0.25">
      <c r="A973" s="11" t="s">
        <v>5054</v>
      </c>
      <c r="B973" s="11" t="s">
        <v>5055</v>
      </c>
      <c r="C973" s="11"/>
      <c r="D973" s="11" t="s">
        <v>91</v>
      </c>
      <c r="E973" s="11"/>
      <c r="F973" s="11" t="s">
        <v>5056</v>
      </c>
      <c r="G973" s="11" t="s">
        <v>5057</v>
      </c>
      <c r="H973" s="11" t="s">
        <v>94</v>
      </c>
      <c r="I973" s="11" t="s">
        <v>112</v>
      </c>
      <c r="J973" s="11" t="s">
        <v>112</v>
      </c>
      <c r="K973" s="11"/>
      <c r="L973" s="11" t="s">
        <v>5058</v>
      </c>
      <c r="M973" s="11"/>
      <c r="N973" s="11"/>
      <c r="O973" s="11"/>
      <c r="P973" s="11" t="s">
        <v>102</v>
      </c>
      <c r="Q973" s="12">
        <v>113.721397</v>
      </c>
      <c r="R973" s="13">
        <v>22.830873</v>
      </c>
      <c r="S973" s="11" t="s">
        <v>5054</v>
      </c>
      <c r="T973" s="11"/>
      <c r="U973" s="11" t="s">
        <v>104</v>
      </c>
      <c r="V973" s="11" t="s">
        <v>105</v>
      </c>
      <c r="W973" s="11" t="s">
        <v>106</v>
      </c>
      <c r="X973" s="11"/>
      <c r="Y973" s="11"/>
      <c r="Z973" s="11"/>
      <c r="AA973" s="12">
        <v>972</v>
      </c>
      <c r="AB973" s="12"/>
      <c r="AC973" s="11" t="s">
        <v>116</v>
      </c>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row>
    <row r="974" spans="1:56" ht="56" x14ac:dyDescent="0.25">
      <c r="A974" s="11" t="s">
        <v>5059</v>
      </c>
      <c r="B974" s="11" t="s">
        <v>5060</v>
      </c>
      <c r="C974" s="11"/>
      <c r="D974" s="11" t="s">
        <v>91</v>
      </c>
      <c r="E974" s="11"/>
      <c r="F974" s="11" t="s">
        <v>5061</v>
      </c>
      <c r="G974" s="11" t="s">
        <v>5062</v>
      </c>
      <c r="H974" s="11" t="s">
        <v>94</v>
      </c>
      <c r="I974" s="11" t="s">
        <v>121</v>
      </c>
      <c r="J974" s="11" t="s">
        <v>971</v>
      </c>
      <c r="K974" s="11"/>
      <c r="L974" s="11" t="s">
        <v>5063</v>
      </c>
      <c r="M974" s="11" t="s">
        <v>115</v>
      </c>
      <c r="N974" s="11"/>
      <c r="O974" s="11"/>
      <c r="P974" s="11" t="s">
        <v>102</v>
      </c>
      <c r="Q974" s="12">
        <v>113.29874599999999</v>
      </c>
      <c r="R974" s="13">
        <v>23.279040999999999</v>
      </c>
      <c r="S974" s="11" t="s">
        <v>5059</v>
      </c>
      <c r="T974" s="11"/>
      <c r="U974" s="11" t="s">
        <v>104</v>
      </c>
      <c r="V974" s="11" t="s">
        <v>105</v>
      </c>
      <c r="W974" s="11" t="s">
        <v>106</v>
      </c>
      <c r="X974" s="11"/>
      <c r="Y974" s="11"/>
      <c r="Z974" s="11"/>
      <c r="AA974" s="12">
        <v>973</v>
      </c>
      <c r="AB974" s="12"/>
      <c r="AC974" s="11" t="s">
        <v>116</v>
      </c>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row>
    <row r="975" spans="1:56" ht="56" x14ac:dyDescent="0.25">
      <c r="A975" s="11" t="s">
        <v>5064</v>
      </c>
      <c r="B975" s="11" t="s">
        <v>5065</v>
      </c>
      <c r="C975" s="11"/>
      <c r="D975" s="11" t="s">
        <v>91</v>
      </c>
      <c r="E975" s="11"/>
      <c r="F975" s="11" t="s">
        <v>5066</v>
      </c>
      <c r="G975" s="11" t="s">
        <v>5067</v>
      </c>
      <c r="H975" s="11" t="s">
        <v>94</v>
      </c>
      <c r="I975" s="11" t="s">
        <v>95</v>
      </c>
      <c r="J975" s="11" t="s">
        <v>749</v>
      </c>
      <c r="K975" s="11"/>
      <c r="L975" s="11" t="s">
        <v>5068</v>
      </c>
      <c r="M975" s="11" t="s">
        <v>115</v>
      </c>
      <c r="N975" s="11"/>
      <c r="O975" s="11"/>
      <c r="P975" s="11" t="s">
        <v>102</v>
      </c>
      <c r="Q975" s="12">
        <v>113.209451</v>
      </c>
      <c r="R975" s="13">
        <v>22.882895999999999</v>
      </c>
      <c r="S975" s="11" t="s">
        <v>5064</v>
      </c>
      <c r="T975" s="11"/>
      <c r="U975" s="11" t="s">
        <v>104</v>
      </c>
      <c r="V975" s="11" t="s">
        <v>105</v>
      </c>
      <c r="W975" s="11" t="s">
        <v>106</v>
      </c>
      <c r="X975" s="11"/>
      <c r="Y975" s="11"/>
      <c r="Z975" s="11"/>
      <c r="AA975" s="12">
        <v>974</v>
      </c>
      <c r="AB975" s="12"/>
      <c r="AC975" s="11" t="s">
        <v>116</v>
      </c>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row>
    <row r="976" spans="1:56" ht="56" x14ac:dyDescent="0.25">
      <c r="A976" s="11" t="s">
        <v>5069</v>
      </c>
      <c r="B976" s="11" t="s">
        <v>5070</v>
      </c>
      <c r="C976" s="11"/>
      <c r="D976" s="11" t="s">
        <v>91</v>
      </c>
      <c r="E976" s="11"/>
      <c r="F976" s="11" t="s">
        <v>5071</v>
      </c>
      <c r="G976" s="11" t="s">
        <v>5072</v>
      </c>
      <c r="H976" s="11" t="s">
        <v>94</v>
      </c>
      <c r="I976" s="11" t="s">
        <v>95</v>
      </c>
      <c r="J976" s="11" t="s">
        <v>749</v>
      </c>
      <c r="K976" s="11"/>
      <c r="L976" s="11" t="s">
        <v>5073</v>
      </c>
      <c r="M976" s="11"/>
      <c r="N976" s="11"/>
      <c r="O976" s="11"/>
      <c r="P976" s="11" t="s">
        <v>102</v>
      </c>
      <c r="Q976" s="12">
        <v>113.239653</v>
      </c>
      <c r="R976" s="13">
        <v>22.959686000000001</v>
      </c>
      <c r="S976" s="11" t="s">
        <v>5069</v>
      </c>
      <c r="T976" s="11"/>
      <c r="U976" s="11" t="s">
        <v>104</v>
      </c>
      <c r="V976" s="11" t="s">
        <v>105</v>
      </c>
      <c r="W976" s="11" t="s">
        <v>106</v>
      </c>
      <c r="X976" s="11"/>
      <c r="Y976" s="11"/>
      <c r="Z976" s="11"/>
      <c r="AA976" s="12">
        <v>975</v>
      </c>
      <c r="AB976" s="12"/>
      <c r="AC976" s="11" t="s">
        <v>116</v>
      </c>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row>
    <row r="977" spans="1:56" ht="56" x14ac:dyDescent="0.25">
      <c r="A977" s="11" t="s">
        <v>5074</v>
      </c>
      <c r="B977" s="11" t="s">
        <v>5075</v>
      </c>
      <c r="C977" s="11"/>
      <c r="D977" s="11" t="s">
        <v>91</v>
      </c>
      <c r="E977" s="11"/>
      <c r="F977" s="11" t="s">
        <v>5076</v>
      </c>
      <c r="G977" s="11" t="s">
        <v>5077</v>
      </c>
      <c r="H977" s="11" t="s">
        <v>94</v>
      </c>
      <c r="I977" s="11" t="s">
        <v>121</v>
      </c>
      <c r="J977" s="11" t="s">
        <v>799</v>
      </c>
      <c r="K977" s="11"/>
      <c r="L977" s="11" t="s">
        <v>5078</v>
      </c>
      <c r="M977" s="11" t="s">
        <v>115</v>
      </c>
      <c r="N977" s="11"/>
      <c r="O977" s="11"/>
      <c r="P977" s="11" t="s">
        <v>102</v>
      </c>
      <c r="Q977" s="12">
        <v>113.24589</v>
      </c>
      <c r="R977" s="13">
        <v>23.361961999999998</v>
      </c>
      <c r="S977" s="11" t="s">
        <v>5074</v>
      </c>
      <c r="T977" s="11"/>
      <c r="U977" s="11" t="s">
        <v>104</v>
      </c>
      <c r="V977" s="11" t="s">
        <v>105</v>
      </c>
      <c r="W977" s="11" t="s">
        <v>106</v>
      </c>
      <c r="X977" s="11"/>
      <c r="Y977" s="11"/>
      <c r="Z977" s="11"/>
      <c r="AA977" s="12">
        <v>976</v>
      </c>
      <c r="AB977" s="12"/>
      <c r="AC977" s="11" t="s">
        <v>116</v>
      </c>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row>
    <row r="978" spans="1:56" ht="56" x14ac:dyDescent="0.25">
      <c r="A978" s="11" t="s">
        <v>5079</v>
      </c>
      <c r="B978" s="11" t="s">
        <v>5080</v>
      </c>
      <c r="C978" s="11"/>
      <c r="D978" s="11" t="s">
        <v>91</v>
      </c>
      <c r="E978" s="11"/>
      <c r="F978" s="11" t="s">
        <v>5081</v>
      </c>
      <c r="G978" s="11" t="s">
        <v>5082</v>
      </c>
      <c r="H978" s="11" t="s">
        <v>94</v>
      </c>
      <c r="I978" s="11" t="s">
        <v>343</v>
      </c>
      <c r="J978" s="11" t="s">
        <v>404</v>
      </c>
      <c r="K978" s="11"/>
      <c r="L978" s="11" t="s">
        <v>5083</v>
      </c>
      <c r="M978" s="11" t="s">
        <v>115</v>
      </c>
      <c r="N978" s="11"/>
      <c r="O978" s="11"/>
      <c r="P978" s="11" t="s">
        <v>102</v>
      </c>
      <c r="Q978" s="12">
        <v>113.35405</v>
      </c>
      <c r="R978" s="13">
        <v>22.054044999999999</v>
      </c>
      <c r="S978" s="11" t="s">
        <v>5079</v>
      </c>
      <c r="T978" s="11"/>
      <c r="U978" s="11" t="s">
        <v>104</v>
      </c>
      <c r="V978" s="11" t="s">
        <v>105</v>
      </c>
      <c r="W978" s="11" t="s">
        <v>106</v>
      </c>
      <c r="X978" s="11"/>
      <c r="Y978" s="11"/>
      <c r="Z978" s="11"/>
      <c r="AA978" s="12">
        <v>977</v>
      </c>
      <c r="AB978" s="12"/>
      <c r="AC978" s="11" t="s">
        <v>116</v>
      </c>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row>
    <row r="979" spans="1:56" ht="56" x14ac:dyDescent="0.25">
      <c r="A979" s="11" t="s">
        <v>5084</v>
      </c>
      <c r="B979" s="11" t="s">
        <v>5085</v>
      </c>
      <c r="C979" s="11"/>
      <c r="D979" s="11" t="s">
        <v>91</v>
      </c>
      <c r="E979" s="11"/>
      <c r="F979" s="11" t="s">
        <v>5086</v>
      </c>
      <c r="G979" s="11" t="s">
        <v>5087</v>
      </c>
      <c r="H979" s="11" t="s">
        <v>94</v>
      </c>
      <c r="I979" s="11" t="s">
        <v>121</v>
      </c>
      <c r="J979" s="11" t="s">
        <v>971</v>
      </c>
      <c r="K979" s="11"/>
      <c r="L979" s="11" t="s">
        <v>5088</v>
      </c>
      <c r="M979" s="11"/>
      <c r="N979" s="11"/>
      <c r="O979" s="11"/>
      <c r="P979" s="11" t="s">
        <v>102</v>
      </c>
      <c r="Q979" s="12">
        <v>113.401768</v>
      </c>
      <c r="R979" s="13">
        <v>23.38007</v>
      </c>
      <c r="S979" s="11" t="s">
        <v>5084</v>
      </c>
      <c r="T979" s="11"/>
      <c r="U979" s="11" t="s">
        <v>104</v>
      </c>
      <c r="V979" s="11" t="s">
        <v>105</v>
      </c>
      <c r="W979" s="11" t="s">
        <v>106</v>
      </c>
      <c r="X979" s="11"/>
      <c r="Y979" s="11"/>
      <c r="Z979" s="11"/>
      <c r="AA979" s="12">
        <v>978</v>
      </c>
      <c r="AB979" s="12"/>
      <c r="AC979" s="11" t="s">
        <v>116</v>
      </c>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row>
    <row r="980" spans="1:56" ht="56" x14ac:dyDescent="0.25">
      <c r="A980" s="11" t="s">
        <v>5089</v>
      </c>
      <c r="B980" s="11" t="s">
        <v>5090</v>
      </c>
      <c r="C980" s="11"/>
      <c r="D980" s="11" t="s">
        <v>91</v>
      </c>
      <c r="E980" s="11"/>
      <c r="F980" s="11" t="s">
        <v>5091</v>
      </c>
      <c r="G980" s="11" t="s">
        <v>5092</v>
      </c>
      <c r="H980" s="11" t="s">
        <v>94</v>
      </c>
      <c r="I980" s="11" t="s">
        <v>95</v>
      </c>
      <c r="J980" s="11" t="s">
        <v>749</v>
      </c>
      <c r="K980" s="11"/>
      <c r="L980" s="11" t="s">
        <v>5093</v>
      </c>
      <c r="M980" s="11"/>
      <c r="N980" s="11"/>
      <c r="O980" s="11"/>
      <c r="P980" s="11" t="s">
        <v>102</v>
      </c>
      <c r="Q980" s="12">
        <v>113.075575</v>
      </c>
      <c r="R980" s="13">
        <v>22.871656999999999</v>
      </c>
      <c r="S980" s="11" t="s">
        <v>5089</v>
      </c>
      <c r="T980" s="11"/>
      <c r="U980" s="11" t="s">
        <v>104</v>
      </c>
      <c r="V980" s="11" t="s">
        <v>105</v>
      </c>
      <c r="W980" s="11" t="s">
        <v>106</v>
      </c>
      <c r="X980" s="11"/>
      <c r="Y980" s="11"/>
      <c r="Z980" s="11"/>
      <c r="AA980" s="12">
        <v>979</v>
      </c>
      <c r="AB980" s="12"/>
      <c r="AC980" s="11" t="s">
        <v>116</v>
      </c>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row>
    <row r="981" spans="1:56" ht="56" x14ac:dyDescent="0.25">
      <c r="A981" s="11" t="s">
        <v>5094</v>
      </c>
      <c r="B981" s="11" t="s">
        <v>5095</v>
      </c>
      <c r="C981" s="11"/>
      <c r="D981" s="11" t="s">
        <v>91</v>
      </c>
      <c r="E981" s="11"/>
      <c r="F981" s="11" t="s">
        <v>5096</v>
      </c>
      <c r="G981" s="11" t="s">
        <v>5097</v>
      </c>
      <c r="H981" s="11" t="s">
        <v>94</v>
      </c>
      <c r="I981" s="11" t="s">
        <v>112</v>
      </c>
      <c r="J981" s="11" t="s">
        <v>112</v>
      </c>
      <c r="K981" s="11"/>
      <c r="L981" s="11" t="s">
        <v>5098</v>
      </c>
      <c r="M981" s="11"/>
      <c r="N981" s="11"/>
      <c r="O981" s="11"/>
      <c r="P981" s="11" t="s">
        <v>102</v>
      </c>
      <c r="Q981" s="12">
        <v>114.072464</v>
      </c>
      <c r="R981" s="13">
        <v>22.903231000000002</v>
      </c>
      <c r="S981" s="11" t="s">
        <v>5094</v>
      </c>
      <c r="T981" s="11"/>
      <c r="U981" s="11" t="s">
        <v>104</v>
      </c>
      <c r="V981" s="11" t="s">
        <v>105</v>
      </c>
      <c r="W981" s="11" t="s">
        <v>106</v>
      </c>
      <c r="X981" s="11"/>
      <c r="Y981" s="11"/>
      <c r="Z981" s="11"/>
      <c r="AA981" s="12">
        <v>980</v>
      </c>
      <c r="AB981" s="12"/>
      <c r="AC981" s="11" t="s">
        <v>116</v>
      </c>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row>
    <row r="982" spans="1:56" ht="56" x14ac:dyDescent="0.25">
      <c r="A982" s="11" t="s">
        <v>5099</v>
      </c>
      <c r="B982" s="11" t="s">
        <v>5100</v>
      </c>
      <c r="C982" s="11"/>
      <c r="D982" s="11" t="s">
        <v>91</v>
      </c>
      <c r="E982" s="11"/>
      <c r="F982" s="11" t="s">
        <v>5101</v>
      </c>
      <c r="G982" s="11" t="s">
        <v>5102</v>
      </c>
      <c r="H982" s="11" t="s">
        <v>94</v>
      </c>
      <c r="I982" s="11" t="s">
        <v>278</v>
      </c>
      <c r="J982" s="11" t="s">
        <v>390</v>
      </c>
      <c r="K982" s="11"/>
      <c r="L982" s="11" t="s">
        <v>5103</v>
      </c>
      <c r="M982" s="11" t="s">
        <v>115</v>
      </c>
      <c r="N982" s="11"/>
      <c r="O982" s="11"/>
      <c r="P982" s="11" t="s">
        <v>102</v>
      </c>
      <c r="Q982" s="12">
        <v>113.07507200000001</v>
      </c>
      <c r="R982" s="13">
        <v>22.64311</v>
      </c>
      <c r="S982" s="11" t="s">
        <v>5099</v>
      </c>
      <c r="T982" s="11"/>
      <c r="U982" s="11" t="s">
        <v>104</v>
      </c>
      <c r="V982" s="11" t="s">
        <v>105</v>
      </c>
      <c r="W982" s="11" t="s">
        <v>106</v>
      </c>
      <c r="X982" s="11"/>
      <c r="Y982" s="11"/>
      <c r="Z982" s="11"/>
      <c r="AA982" s="12">
        <v>981</v>
      </c>
      <c r="AB982" s="12"/>
      <c r="AC982" s="11" t="s">
        <v>116</v>
      </c>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row>
    <row r="983" spans="1:56" ht="70" x14ac:dyDescent="0.25">
      <c r="A983" s="11" t="s">
        <v>5104</v>
      </c>
      <c r="B983" s="11" t="s">
        <v>5105</v>
      </c>
      <c r="C983" s="11"/>
      <c r="D983" s="11" t="s">
        <v>91</v>
      </c>
      <c r="E983" s="11"/>
      <c r="F983" s="11" t="s">
        <v>5106</v>
      </c>
      <c r="G983" s="11" t="s">
        <v>5107</v>
      </c>
      <c r="H983" s="11" t="s">
        <v>94</v>
      </c>
      <c r="I983" s="11" t="s">
        <v>121</v>
      </c>
      <c r="J983" s="11" t="s">
        <v>145</v>
      </c>
      <c r="K983" s="11"/>
      <c r="L983" s="11" t="s">
        <v>5108</v>
      </c>
      <c r="M983" s="11" t="s">
        <v>183</v>
      </c>
      <c r="N983" s="11"/>
      <c r="O983" s="11"/>
      <c r="P983" s="11" t="s">
        <v>102</v>
      </c>
      <c r="Q983" s="12">
        <v>113.550119</v>
      </c>
      <c r="R983" s="13">
        <v>22.792736999999999</v>
      </c>
      <c r="S983" s="11" t="s">
        <v>5104</v>
      </c>
      <c r="T983" s="11"/>
      <c r="U983" s="11" t="s">
        <v>104</v>
      </c>
      <c r="V983" s="11" t="s">
        <v>105</v>
      </c>
      <c r="W983" s="11" t="s">
        <v>106</v>
      </c>
      <c r="X983" s="11"/>
      <c r="Y983" s="11"/>
      <c r="Z983" s="11"/>
      <c r="AA983" s="12">
        <v>982</v>
      </c>
      <c r="AB983" s="12"/>
      <c r="AC983" s="11" t="s">
        <v>2189</v>
      </c>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row>
    <row r="984" spans="1:56" ht="42" x14ac:dyDescent="0.25">
      <c r="A984" s="11" t="s">
        <v>5109</v>
      </c>
      <c r="B984" s="11" t="s">
        <v>5110</v>
      </c>
      <c r="C984" s="11"/>
      <c r="D984" s="11" t="s">
        <v>91</v>
      </c>
      <c r="E984" s="11"/>
      <c r="F984" s="11" t="s">
        <v>5111</v>
      </c>
      <c r="G984" s="11" t="s">
        <v>5112</v>
      </c>
      <c r="H984" s="11" t="s">
        <v>94</v>
      </c>
      <c r="I984" s="11" t="s">
        <v>121</v>
      </c>
      <c r="J984" s="11" t="s">
        <v>799</v>
      </c>
      <c r="K984" s="11"/>
      <c r="L984" s="11" t="s">
        <v>5113</v>
      </c>
      <c r="M984" s="11" t="s">
        <v>183</v>
      </c>
      <c r="N984" s="11"/>
      <c r="O984" s="11"/>
      <c r="P984" s="11" t="s">
        <v>102</v>
      </c>
      <c r="Q984" s="12">
        <v>113.18223500000001</v>
      </c>
      <c r="R984" s="13">
        <v>23.447111</v>
      </c>
      <c r="S984" s="11" t="s">
        <v>5109</v>
      </c>
      <c r="T984" s="11"/>
      <c r="U984" s="11" t="s">
        <v>104</v>
      </c>
      <c r="V984" s="11" t="s">
        <v>105</v>
      </c>
      <c r="W984" s="11" t="s">
        <v>106</v>
      </c>
      <c r="X984" s="11"/>
      <c r="Y984" s="11"/>
      <c r="Z984" s="11"/>
      <c r="AA984" s="12">
        <v>983</v>
      </c>
      <c r="AB984" s="12"/>
      <c r="AC984" s="11" t="s">
        <v>2189</v>
      </c>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row>
    <row r="985" spans="1:56" ht="42" x14ac:dyDescent="0.25">
      <c r="A985" s="11" t="s">
        <v>5114</v>
      </c>
      <c r="B985" s="11" t="s">
        <v>5115</v>
      </c>
      <c r="C985" s="11"/>
      <c r="D985" s="11" t="s">
        <v>91</v>
      </c>
      <c r="E985" s="11"/>
      <c r="F985" s="11" t="s">
        <v>5116</v>
      </c>
      <c r="G985" s="11" t="s">
        <v>3500</v>
      </c>
      <c r="H985" s="11" t="s">
        <v>94</v>
      </c>
      <c r="I985" s="11" t="s">
        <v>95</v>
      </c>
      <c r="J985" s="11" t="s">
        <v>96</v>
      </c>
      <c r="K985" s="11"/>
      <c r="L985" s="11" t="s">
        <v>5117</v>
      </c>
      <c r="M985" s="11" t="s">
        <v>183</v>
      </c>
      <c r="N985" s="11"/>
      <c r="O985" s="11"/>
      <c r="P985" s="11" t="s">
        <v>102</v>
      </c>
      <c r="Q985" s="12">
        <v>113.198106</v>
      </c>
      <c r="R985" s="13">
        <v>23.190294000000002</v>
      </c>
      <c r="S985" s="11" t="s">
        <v>5114</v>
      </c>
      <c r="T985" s="11"/>
      <c r="U985" s="11" t="s">
        <v>104</v>
      </c>
      <c r="V985" s="11" t="s">
        <v>105</v>
      </c>
      <c r="W985" s="11" t="s">
        <v>106</v>
      </c>
      <c r="X985" s="11"/>
      <c r="Y985" s="11"/>
      <c r="Z985" s="11"/>
      <c r="AA985" s="12">
        <v>984</v>
      </c>
      <c r="AB985" s="12"/>
      <c r="AC985" s="11" t="s">
        <v>2189</v>
      </c>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row>
    <row r="986" spans="1:56" ht="56" x14ac:dyDescent="0.25">
      <c r="A986" s="11" t="s">
        <v>5118</v>
      </c>
      <c r="B986" s="11" t="s">
        <v>5119</v>
      </c>
      <c r="C986" s="11"/>
      <c r="D986" s="11" t="s">
        <v>91</v>
      </c>
      <c r="E986" s="11"/>
      <c r="F986" s="11" t="s">
        <v>5120</v>
      </c>
      <c r="G986" s="11" t="s">
        <v>5121</v>
      </c>
      <c r="H986" s="11" t="s">
        <v>94</v>
      </c>
      <c r="I986" s="11" t="s">
        <v>121</v>
      </c>
      <c r="J986" s="11" t="s">
        <v>971</v>
      </c>
      <c r="K986" s="11"/>
      <c r="L986" s="11" t="s">
        <v>5122</v>
      </c>
      <c r="M986" s="11" t="s">
        <v>183</v>
      </c>
      <c r="N986" s="11"/>
      <c r="O986" s="11"/>
      <c r="P986" s="11" t="s">
        <v>102</v>
      </c>
      <c r="Q986" s="12">
        <v>113.208066</v>
      </c>
      <c r="R986" s="13">
        <v>23.154997999999999</v>
      </c>
      <c r="S986" s="11" t="s">
        <v>5118</v>
      </c>
      <c r="T986" s="11"/>
      <c r="U986" s="11" t="s">
        <v>104</v>
      </c>
      <c r="V986" s="11" t="s">
        <v>105</v>
      </c>
      <c r="W986" s="11" t="s">
        <v>106</v>
      </c>
      <c r="X986" s="11"/>
      <c r="Y986" s="11"/>
      <c r="Z986" s="11"/>
      <c r="AA986" s="12">
        <v>985</v>
      </c>
      <c r="AB986" s="12"/>
      <c r="AC986" s="11" t="s">
        <v>2189</v>
      </c>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row>
    <row r="987" spans="1:56" ht="42" x14ac:dyDescent="0.25">
      <c r="A987" s="11" t="s">
        <v>5123</v>
      </c>
      <c r="B987" s="11" t="s">
        <v>5124</v>
      </c>
      <c r="C987" s="11"/>
      <c r="D987" s="11" t="s">
        <v>91</v>
      </c>
      <c r="E987" s="11"/>
      <c r="F987" s="11" t="s">
        <v>5125</v>
      </c>
      <c r="G987" s="11" t="s">
        <v>5126</v>
      </c>
      <c r="H987" s="11" t="s">
        <v>94</v>
      </c>
      <c r="I987" s="11" t="s">
        <v>121</v>
      </c>
      <c r="J987" s="11" t="s">
        <v>792</v>
      </c>
      <c r="K987" s="11"/>
      <c r="L987" s="11" t="s">
        <v>5127</v>
      </c>
      <c r="M987" s="11" t="s">
        <v>183</v>
      </c>
      <c r="N987" s="11"/>
      <c r="O987" s="11"/>
      <c r="P987" s="11" t="s">
        <v>102</v>
      </c>
      <c r="Q987" s="12">
        <v>113.55014799999999</v>
      </c>
      <c r="R987" s="13">
        <v>23.330257</v>
      </c>
      <c r="S987" s="11" t="s">
        <v>5123</v>
      </c>
      <c r="T987" s="11"/>
      <c r="U987" s="11" t="s">
        <v>104</v>
      </c>
      <c r="V987" s="11" t="s">
        <v>105</v>
      </c>
      <c r="W987" s="11" t="s">
        <v>106</v>
      </c>
      <c r="X987" s="11"/>
      <c r="Y987" s="11"/>
      <c r="Z987" s="11"/>
      <c r="AA987" s="12">
        <v>986</v>
      </c>
      <c r="AB987" s="12"/>
      <c r="AC987" s="11" t="s">
        <v>2189</v>
      </c>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row>
    <row r="988" spans="1:56" ht="42" x14ac:dyDescent="0.25">
      <c r="A988" s="11" t="s">
        <v>5128</v>
      </c>
      <c r="B988" s="11" t="s">
        <v>5129</v>
      </c>
      <c r="C988" s="11"/>
      <c r="D988" s="11" t="s">
        <v>91</v>
      </c>
      <c r="E988" s="11"/>
      <c r="F988" s="11" t="s">
        <v>5130</v>
      </c>
      <c r="G988" s="11" t="s">
        <v>5131</v>
      </c>
      <c r="H988" s="11" t="s">
        <v>94</v>
      </c>
      <c r="I988" s="11" t="s">
        <v>121</v>
      </c>
      <c r="J988" s="11" t="s">
        <v>737</v>
      </c>
      <c r="K988" s="11"/>
      <c r="L988" s="11" t="s">
        <v>5132</v>
      </c>
      <c r="M988" s="11"/>
      <c r="N988" s="11"/>
      <c r="O988" s="11"/>
      <c r="P988" s="11" t="s">
        <v>102</v>
      </c>
      <c r="Q988" s="12">
        <v>113.276956</v>
      </c>
      <c r="R988" s="13">
        <v>23.001124999999998</v>
      </c>
      <c r="S988" s="11" t="s">
        <v>5128</v>
      </c>
      <c r="T988" s="11"/>
      <c r="U988" s="11" t="s">
        <v>104</v>
      </c>
      <c r="V988" s="11" t="s">
        <v>105</v>
      </c>
      <c r="W988" s="11" t="s">
        <v>106</v>
      </c>
      <c r="X988" s="11"/>
      <c r="Y988" s="11"/>
      <c r="Z988" s="11"/>
      <c r="AA988" s="12">
        <v>987</v>
      </c>
      <c r="AB988" s="12"/>
      <c r="AC988" s="11" t="s">
        <v>2189</v>
      </c>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row>
    <row r="989" spans="1:56" ht="42" x14ac:dyDescent="0.25">
      <c r="A989" s="11" t="s">
        <v>5133</v>
      </c>
      <c r="B989" s="11" t="s">
        <v>5134</v>
      </c>
      <c r="C989" s="11"/>
      <c r="D989" s="11" t="s">
        <v>91</v>
      </c>
      <c r="E989" s="11"/>
      <c r="F989" s="11" t="s">
        <v>5135</v>
      </c>
      <c r="G989" s="11" t="s">
        <v>5136</v>
      </c>
      <c r="H989" s="11" t="s">
        <v>94</v>
      </c>
      <c r="I989" s="11" t="s">
        <v>121</v>
      </c>
      <c r="J989" s="11" t="s">
        <v>122</v>
      </c>
      <c r="K989" s="11"/>
      <c r="L989" s="11" t="s">
        <v>5137</v>
      </c>
      <c r="M989" s="11" t="s">
        <v>183</v>
      </c>
      <c r="N989" s="11"/>
      <c r="O989" s="11"/>
      <c r="P989" s="11" t="s">
        <v>102</v>
      </c>
      <c r="Q989" s="12">
        <v>113.361323</v>
      </c>
      <c r="R989" s="13">
        <v>23.139437000000001</v>
      </c>
      <c r="S989" s="11" t="s">
        <v>5133</v>
      </c>
      <c r="T989" s="11"/>
      <c r="U989" s="11" t="s">
        <v>104</v>
      </c>
      <c r="V989" s="11" t="s">
        <v>105</v>
      </c>
      <c r="W989" s="11" t="s">
        <v>106</v>
      </c>
      <c r="X989" s="11"/>
      <c r="Y989" s="11"/>
      <c r="Z989" s="11"/>
      <c r="AA989" s="12">
        <v>988</v>
      </c>
      <c r="AB989" s="12"/>
      <c r="AC989" s="11" t="s">
        <v>2189</v>
      </c>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row>
    <row r="990" spans="1:56" ht="42" x14ac:dyDescent="0.25">
      <c r="A990" s="11" t="s">
        <v>5138</v>
      </c>
      <c r="B990" s="11" t="s">
        <v>5139</v>
      </c>
      <c r="C990" s="11"/>
      <c r="D990" s="11" t="s">
        <v>91</v>
      </c>
      <c r="E990" s="11"/>
      <c r="F990" s="11" t="s">
        <v>5140</v>
      </c>
      <c r="G990" s="11" t="s">
        <v>5141</v>
      </c>
      <c r="H990" s="11" t="s">
        <v>94</v>
      </c>
      <c r="I990" s="11" t="s">
        <v>121</v>
      </c>
      <c r="J990" s="11" t="s">
        <v>2285</v>
      </c>
      <c r="K990" s="11"/>
      <c r="L990" s="11" t="s">
        <v>5142</v>
      </c>
      <c r="M990" s="11" t="s">
        <v>183</v>
      </c>
      <c r="N990" s="11"/>
      <c r="O990" s="11"/>
      <c r="P990" s="11" t="s">
        <v>102</v>
      </c>
      <c r="Q990" s="12">
        <v>113.27618699999999</v>
      </c>
      <c r="R990" s="13">
        <v>23.086905000000002</v>
      </c>
      <c r="S990" s="11" t="s">
        <v>5138</v>
      </c>
      <c r="T990" s="11"/>
      <c r="U990" s="11" t="s">
        <v>104</v>
      </c>
      <c r="V990" s="11" t="s">
        <v>105</v>
      </c>
      <c r="W990" s="11" t="s">
        <v>106</v>
      </c>
      <c r="X990" s="11"/>
      <c r="Y990" s="11"/>
      <c r="Z990" s="11"/>
      <c r="AA990" s="12">
        <v>989</v>
      </c>
      <c r="AB990" s="12"/>
      <c r="AC990" s="11" t="s">
        <v>2189</v>
      </c>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row>
    <row r="991" spans="1:56" ht="42" x14ac:dyDescent="0.25">
      <c r="A991" s="11" t="s">
        <v>5143</v>
      </c>
      <c r="B991" s="11" t="s">
        <v>5144</v>
      </c>
      <c r="C991" s="11"/>
      <c r="D991" s="11" t="s">
        <v>91</v>
      </c>
      <c r="E991" s="11"/>
      <c r="F991" s="11" t="s">
        <v>5145</v>
      </c>
      <c r="G991" s="11" t="s">
        <v>5146</v>
      </c>
      <c r="H991" s="11" t="s">
        <v>94</v>
      </c>
      <c r="I991" s="11" t="s">
        <v>121</v>
      </c>
      <c r="J991" s="11" t="s">
        <v>737</v>
      </c>
      <c r="K991" s="11"/>
      <c r="L991" s="11" t="s">
        <v>5147</v>
      </c>
      <c r="M991" s="11" t="s">
        <v>183</v>
      </c>
      <c r="N991" s="11"/>
      <c r="O991" s="11"/>
      <c r="P991" s="11" t="s">
        <v>102</v>
      </c>
      <c r="Q991" s="12">
        <v>113.326655</v>
      </c>
      <c r="R991" s="13">
        <v>23.025017999999999</v>
      </c>
      <c r="S991" s="11" t="s">
        <v>5143</v>
      </c>
      <c r="T991" s="11"/>
      <c r="U991" s="11" t="s">
        <v>104</v>
      </c>
      <c r="V991" s="11" t="s">
        <v>105</v>
      </c>
      <c r="W991" s="11" t="s">
        <v>106</v>
      </c>
      <c r="X991" s="11"/>
      <c r="Y991" s="11"/>
      <c r="Z991" s="11"/>
      <c r="AA991" s="12">
        <v>990</v>
      </c>
      <c r="AB991" s="12"/>
      <c r="AC991" s="11" t="s">
        <v>2189</v>
      </c>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row>
    <row r="992" spans="1:56" ht="42" x14ac:dyDescent="0.25">
      <c r="A992" s="11" t="s">
        <v>5148</v>
      </c>
      <c r="B992" s="11" t="s">
        <v>5149</v>
      </c>
      <c r="C992" s="11"/>
      <c r="D992" s="11" t="s">
        <v>91</v>
      </c>
      <c r="E992" s="11"/>
      <c r="F992" s="11" t="s">
        <v>5150</v>
      </c>
      <c r="G992" s="11" t="s">
        <v>5151</v>
      </c>
      <c r="H992" s="11" t="s">
        <v>94</v>
      </c>
      <c r="I992" s="11" t="s">
        <v>121</v>
      </c>
      <c r="J992" s="11" t="s">
        <v>2264</v>
      </c>
      <c r="K992" s="11"/>
      <c r="L992" s="11" t="s">
        <v>5152</v>
      </c>
      <c r="M992" s="11" t="s">
        <v>183</v>
      </c>
      <c r="N992" s="11"/>
      <c r="O992" s="11"/>
      <c r="P992" s="11" t="s">
        <v>102</v>
      </c>
      <c r="Q992" s="12">
        <v>113.232242</v>
      </c>
      <c r="R992" s="13">
        <v>23.095627</v>
      </c>
      <c r="S992" s="11" t="s">
        <v>5148</v>
      </c>
      <c r="T992" s="11"/>
      <c r="U992" s="11" t="s">
        <v>104</v>
      </c>
      <c r="V992" s="11" t="s">
        <v>105</v>
      </c>
      <c r="W992" s="11" t="s">
        <v>106</v>
      </c>
      <c r="X992" s="11"/>
      <c r="Y992" s="11"/>
      <c r="Z992" s="11"/>
      <c r="AA992" s="12">
        <v>991</v>
      </c>
      <c r="AB992" s="12"/>
      <c r="AC992" s="11" t="s">
        <v>2189</v>
      </c>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row>
    <row r="993" spans="1:56" ht="42" x14ac:dyDescent="0.25">
      <c r="A993" s="11" t="s">
        <v>5153</v>
      </c>
      <c r="B993" s="11" t="s">
        <v>5154</v>
      </c>
      <c r="C993" s="11"/>
      <c r="D993" s="11" t="s">
        <v>91</v>
      </c>
      <c r="E993" s="11"/>
      <c r="F993" s="11" t="s">
        <v>5155</v>
      </c>
      <c r="G993" s="11" t="s">
        <v>5156</v>
      </c>
      <c r="H993" s="11" t="s">
        <v>94</v>
      </c>
      <c r="I993" s="11" t="s">
        <v>121</v>
      </c>
      <c r="J993" s="11" t="s">
        <v>971</v>
      </c>
      <c r="K993" s="11"/>
      <c r="L993" s="11" t="s">
        <v>5157</v>
      </c>
      <c r="M993" s="11" t="s">
        <v>183</v>
      </c>
      <c r="N993" s="11"/>
      <c r="O993" s="11"/>
      <c r="P993" s="11" t="s">
        <v>102</v>
      </c>
      <c r="Q993" s="12">
        <v>113.282625</v>
      </c>
      <c r="R993" s="13">
        <v>23.242625</v>
      </c>
      <c r="S993" s="11" t="s">
        <v>5153</v>
      </c>
      <c r="T993" s="11"/>
      <c r="U993" s="11" t="s">
        <v>104</v>
      </c>
      <c r="V993" s="11" t="s">
        <v>105</v>
      </c>
      <c r="W993" s="11" t="s">
        <v>106</v>
      </c>
      <c r="X993" s="11"/>
      <c r="Y993" s="11"/>
      <c r="Z993" s="11"/>
      <c r="AA993" s="12">
        <v>992</v>
      </c>
      <c r="AB993" s="12"/>
      <c r="AC993" s="11" t="s">
        <v>2189</v>
      </c>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row>
    <row r="994" spans="1:56" ht="42" x14ac:dyDescent="0.25">
      <c r="A994" s="11" t="s">
        <v>5158</v>
      </c>
      <c r="B994" s="11" t="s">
        <v>5159</v>
      </c>
      <c r="C994" s="11"/>
      <c r="D994" s="11" t="s">
        <v>91</v>
      </c>
      <c r="E994" s="11"/>
      <c r="F994" s="11" t="s">
        <v>5160</v>
      </c>
      <c r="G994" s="11" t="s">
        <v>5161</v>
      </c>
      <c r="H994" s="11" t="s">
        <v>94</v>
      </c>
      <c r="I994" s="11" t="s">
        <v>121</v>
      </c>
      <c r="J994" s="11" t="s">
        <v>2264</v>
      </c>
      <c r="K994" s="11"/>
      <c r="L994" s="11" t="s">
        <v>5162</v>
      </c>
      <c r="M994" s="11" t="s">
        <v>183</v>
      </c>
      <c r="N994" s="11"/>
      <c r="O994" s="11"/>
      <c r="P994" s="11" t="s">
        <v>102</v>
      </c>
      <c r="Q994" s="12">
        <v>113.31187799999999</v>
      </c>
      <c r="R994" s="13">
        <v>23.138273000000002</v>
      </c>
      <c r="S994" s="11" t="s">
        <v>5158</v>
      </c>
      <c r="T994" s="11"/>
      <c r="U994" s="11" t="s">
        <v>104</v>
      </c>
      <c r="V994" s="11" t="s">
        <v>105</v>
      </c>
      <c r="W994" s="11" t="s">
        <v>106</v>
      </c>
      <c r="X994" s="11"/>
      <c r="Y994" s="11"/>
      <c r="Z994" s="11"/>
      <c r="AA994" s="12">
        <v>993</v>
      </c>
      <c r="AB994" s="12"/>
      <c r="AC994" s="11" t="s">
        <v>2189</v>
      </c>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row>
    <row r="995" spans="1:56" ht="56" x14ac:dyDescent="0.25">
      <c r="A995" s="11" t="s">
        <v>5163</v>
      </c>
      <c r="B995" s="11" t="s">
        <v>5164</v>
      </c>
      <c r="C995" s="11"/>
      <c r="D995" s="11" t="s">
        <v>91</v>
      </c>
      <c r="E995" s="11"/>
      <c r="F995" s="11" t="s">
        <v>5165</v>
      </c>
      <c r="G995" s="11" t="s">
        <v>5166</v>
      </c>
      <c r="H995" s="11" t="s">
        <v>94</v>
      </c>
      <c r="I995" s="11" t="s">
        <v>121</v>
      </c>
      <c r="J995" s="11" t="s">
        <v>2264</v>
      </c>
      <c r="K995" s="11"/>
      <c r="L995" s="11" t="s">
        <v>5167</v>
      </c>
      <c r="M995" s="11" t="s">
        <v>183</v>
      </c>
      <c r="N995" s="11"/>
      <c r="O995" s="11"/>
      <c r="P995" s="11" t="s">
        <v>102</v>
      </c>
      <c r="Q995" s="12">
        <v>113.252888</v>
      </c>
      <c r="R995" s="13">
        <v>23.158750000000001</v>
      </c>
      <c r="S995" s="11" t="s">
        <v>5163</v>
      </c>
      <c r="T995" s="11"/>
      <c r="U995" s="11" t="s">
        <v>104</v>
      </c>
      <c r="V995" s="11" t="s">
        <v>105</v>
      </c>
      <c r="W995" s="11" t="s">
        <v>106</v>
      </c>
      <c r="X995" s="11"/>
      <c r="Y995" s="11"/>
      <c r="Z995" s="11"/>
      <c r="AA995" s="12">
        <v>994</v>
      </c>
      <c r="AB995" s="12"/>
      <c r="AC995" s="11" t="s">
        <v>2189</v>
      </c>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row>
    <row r="996" spans="1:56" ht="42" x14ac:dyDescent="0.25">
      <c r="A996" s="11" t="s">
        <v>5168</v>
      </c>
      <c r="B996" s="11" t="s">
        <v>5169</v>
      </c>
      <c r="C996" s="11"/>
      <c r="D996" s="11" t="s">
        <v>91</v>
      </c>
      <c r="E996" s="11"/>
      <c r="F996" s="11" t="s">
        <v>5170</v>
      </c>
      <c r="G996" s="11" t="s">
        <v>5171</v>
      </c>
      <c r="H996" s="11" t="s">
        <v>94</v>
      </c>
      <c r="I996" s="11" t="s">
        <v>121</v>
      </c>
      <c r="J996" s="11" t="s">
        <v>737</v>
      </c>
      <c r="K996" s="11"/>
      <c r="L996" s="11" t="s">
        <v>5172</v>
      </c>
      <c r="M996" s="11" t="s">
        <v>183</v>
      </c>
      <c r="N996" s="11"/>
      <c r="O996" s="11"/>
      <c r="P996" s="11" t="s">
        <v>102</v>
      </c>
      <c r="Q996" s="12">
        <v>113.35416600000001</v>
      </c>
      <c r="R996" s="13">
        <v>22.952463999999999</v>
      </c>
      <c r="S996" s="11" t="s">
        <v>5168</v>
      </c>
      <c r="T996" s="11"/>
      <c r="U996" s="11" t="s">
        <v>104</v>
      </c>
      <c r="V996" s="11" t="s">
        <v>105</v>
      </c>
      <c r="W996" s="11" t="s">
        <v>106</v>
      </c>
      <c r="X996" s="11"/>
      <c r="Y996" s="11"/>
      <c r="Z996" s="11"/>
      <c r="AA996" s="12">
        <v>995</v>
      </c>
      <c r="AB996" s="12"/>
      <c r="AC996" s="11" t="s">
        <v>2189</v>
      </c>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row>
    <row r="997" spans="1:56" ht="56" x14ac:dyDescent="0.25">
      <c r="A997" s="11" t="s">
        <v>5173</v>
      </c>
      <c r="B997" s="11" t="s">
        <v>5174</v>
      </c>
      <c r="C997" s="11"/>
      <c r="D997" s="11" t="s">
        <v>91</v>
      </c>
      <c r="E997" s="11"/>
      <c r="F997" s="11" t="s">
        <v>5135</v>
      </c>
      <c r="G997" s="11" t="s">
        <v>5175</v>
      </c>
      <c r="H997" s="11" t="s">
        <v>94</v>
      </c>
      <c r="I997" s="11" t="s">
        <v>121</v>
      </c>
      <c r="J997" s="11" t="s">
        <v>799</v>
      </c>
      <c r="K997" s="11"/>
      <c r="L997" s="11" t="s">
        <v>5176</v>
      </c>
      <c r="M997" s="11" t="s">
        <v>183</v>
      </c>
      <c r="N997" s="11"/>
      <c r="O997" s="11"/>
      <c r="P997" s="11" t="s">
        <v>102</v>
      </c>
      <c r="Q997" s="12">
        <v>113.227825</v>
      </c>
      <c r="R997" s="13">
        <v>23.392925000000002</v>
      </c>
      <c r="S997" s="11" t="s">
        <v>5173</v>
      </c>
      <c r="T997" s="11"/>
      <c r="U997" s="11" t="s">
        <v>104</v>
      </c>
      <c r="V997" s="11" t="s">
        <v>105</v>
      </c>
      <c r="W997" s="11" t="s">
        <v>106</v>
      </c>
      <c r="X997" s="11"/>
      <c r="Y997" s="11"/>
      <c r="Z997" s="11"/>
      <c r="AA997" s="12">
        <v>996</v>
      </c>
      <c r="AB997" s="12"/>
      <c r="AC997" s="11" t="s">
        <v>2189</v>
      </c>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row>
    <row r="998" spans="1:56" ht="42" x14ac:dyDescent="0.25">
      <c r="A998" s="11" t="s">
        <v>5177</v>
      </c>
      <c r="B998" s="11" t="s">
        <v>5178</v>
      </c>
      <c r="C998" s="11"/>
      <c r="D998" s="11" t="s">
        <v>91</v>
      </c>
      <c r="E998" s="11"/>
      <c r="F998" s="11" t="s">
        <v>5179</v>
      </c>
      <c r="G998" s="11" t="s">
        <v>5180</v>
      </c>
      <c r="H998" s="11" t="s">
        <v>94</v>
      </c>
      <c r="I998" s="11" t="s">
        <v>121</v>
      </c>
      <c r="J998" s="11" t="s">
        <v>971</v>
      </c>
      <c r="K998" s="11"/>
      <c r="L998" s="11" t="s">
        <v>5181</v>
      </c>
      <c r="M998" s="11" t="s">
        <v>183</v>
      </c>
      <c r="N998" s="11"/>
      <c r="O998" s="11"/>
      <c r="P998" s="11" t="s">
        <v>102</v>
      </c>
      <c r="Q998" s="12">
        <v>113.30920500000001</v>
      </c>
      <c r="R998" s="13">
        <v>23.250926</v>
      </c>
      <c r="S998" s="11" t="s">
        <v>5177</v>
      </c>
      <c r="T998" s="11"/>
      <c r="U998" s="11" t="s">
        <v>104</v>
      </c>
      <c r="V998" s="11" t="s">
        <v>105</v>
      </c>
      <c r="W998" s="11" t="s">
        <v>106</v>
      </c>
      <c r="X998" s="11"/>
      <c r="Y998" s="11"/>
      <c r="Z998" s="11"/>
      <c r="AA998" s="12">
        <v>997</v>
      </c>
      <c r="AB998" s="12"/>
      <c r="AC998" s="11" t="s">
        <v>2189</v>
      </c>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row>
    <row r="999" spans="1:56" ht="56" x14ac:dyDescent="0.25">
      <c r="A999" s="11" t="s">
        <v>5182</v>
      </c>
      <c r="B999" s="11" t="s">
        <v>5183</v>
      </c>
      <c r="C999" s="11"/>
      <c r="D999" s="11" t="s">
        <v>91</v>
      </c>
      <c r="E999" s="11"/>
      <c r="F999" s="11" t="s">
        <v>5184</v>
      </c>
      <c r="G999" s="11" t="s">
        <v>5185</v>
      </c>
      <c r="H999" s="11" t="s">
        <v>94</v>
      </c>
      <c r="I999" s="11" t="s">
        <v>121</v>
      </c>
      <c r="J999" s="11" t="s">
        <v>792</v>
      </c>
      <c r="K999" s="11"/>
      <c r="L999" s="11" t="s">
        <v>5186</v>
      </c>
      <c r="M999" s="11" t="s">
        <v>183</v>
      </c>
      <c r="N999" s="11"/>
      <c r="O999" s="11"/>
      <c r="P999" s="11" t="s">
        <v>102</v>
      </c>
      <c r="Q999" s="12">
        <v>113.45908</v>
      </c>
      <c r="R999" s="13">
        <v>23.101686000000001</v>
      </c>
      <c r="S999" s="11" t="s">
        <v>5182</v>
      </c>
      <c r="T999" s="11"/>
      <c r="U999" s="11" t="s">
        <v>104</v>
      </c>
      <c r="V999" s="11" t="s">
        <v>105</v>
      </c>
      <c r="W999" s="11" t="s">
        <v>106</v>
      </c>
      <c r="X999" s="11"/>
      <c r="Y999" s="11"/>
      <c r="Z999" s="11"/>
      <c r="AA999" s="12">
        <v>998</v>
      </c>
      <c r="AB999" s="12"/>
      <c r="AC999" s="11" t="s">
        <v>2189</v>
      </c>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row>
    <row r="1000" spans="1:56" ht="42" x14ac:dyDescent="0.25">
      <c r="A1000" s="11" t="s">
        <v>5187</v>
      </c>
      <c r="B1000" s="11" t="s">
        <v>5188</v>
      </c>
      <c r="C1000" s="11"/>
      <c r="D1000" s="11" t="s">
        <v>91</v>
      </c>
      <c r="E1000" s="11"/>
      <c r="F1000" s="11" t="s">
        <v>5189</v>
      </c>
      <c r="G1000" s="11" t="s">
        <v>5190</v>
      </c>
      <c r="H1000" s="11" t="s">
        <v>94</v>
      </c>
      <c r="I1000" s="11" t="s">
        <v>121</v>
      </c>
      <c r="J1000" s="11" t="s">
        <v>737</v>
      </c>
      <c r="K1000" s="11"/>
      <c r="L1000" s="11" t="s">
        <v>5191</v>
      </c>
      <c r="M1000" s="11" t="s">
        <v>183</v>
      </c>
      <c r="N1000" s="11"/>
      <c r="O1000" s="11"/>
      <c r="P1000" s="11" t="s">
        <v>102</v>
      </c>
      <c r="Q1000" s="12">
        <v>113.32700800000001</v>
      </c>
      <c r="R1000" s="13">
        <v>22.972816999999999</v>
      </c>
      <c r="S1000" s="11" t="s">
        <v>5187</v>
      </c>
      <c r="T1000" s="11"/>
      <c r="U1000" s="11" t="s">
        <v>104</v>
      </c>
      <c r="V1000" s="11" t="s">
        <v>105</v>
      </c>
      <c r="W1000" s="11" t="s">
        <v>106</v>
      </c>
      <c r="X1000" s="11"/>
      <c r="Y1000" s="11"/>
      <c r="Z1000" s="11"/>
      <c r="AA1000" s="12">
        <v>999</v>
      </c>
      <c r="AB1000" s="12"/>
      <c r="AC1000" s="11" t="s">
        <v>2189</v>
      </c>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row>
    <row r="1001" spans="1:56" ht="42" x14ac:dyDescent="0.25">
      <c r="A1001" s="11" t="s">
        <v>5192</v>
      </c>
      <c r="B1001" s="11" t="s">
        <v>5193</v>
      </c>
      <c r="C1001" s="11"/>
      <c r="D1001" s="11" t="s">
        <v>91</v>
      </c>
      <c r="E1001" s="11"/>
      <c r="F1001" s="11" t="s">
        <v>5194</v>
      </c>
      <c r="G1001" s="11" t="s">
        <v>5195</v>
      </c>
      <c r="H1001" s="11" t="s">
        <v>94</v>
      </c>
      <c r="I1001" s="11" t="s">
        <v>95</v>
      </c>
      <c r="J1001" s="11" t="s">
        <v>1056</v>
      </c>
      <c r="K1001" s="11"/>
      <c r="L1001" s="11" t="s">
        <v>5196</v>
      </c>
      <c r="M1001" s="11" t="s">
        <v>183</v>
      </c>
      <c r="N1001" s="11"/>
      <c r="O1001" s="11"/>
      <c r="P1001" s="11" t="s">
        <v>102</v>
      </c>
      <c r="Q1001" s="12">
        <v>112.88971600000001</v>
      </c>
      <c r="R1001" s="13">
        <v>23.162212</v>
      </c>
      <c r="S1001" s="11" t="s">
        <v>5192</v>
      </c>
      <c r="T1001" s="11"/>
      <c r="U1001" s="11" t="s">
        <v>104</v>
      </c>
      <c r="V1001" s="11" t="s">
        <v>105</v>
      </c>
      <c r="W1001" s="11" t="s">
        <v>106</v>
      </c>
      <c r="X1001" s="11"/>
      <c r="Y1001" s="11"/>
      <c r="Z1001" s="11"/>
      <c r="AA1001" s="12">
        <v>1000</v>
      </c>
      <c r="AB1001" s="12"/>
      <c r="AC1001" s="11" t="s">
        <v>2189</v>
      </c>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row>
    <row r="1002" spans="1:56" ht="42" x14ac:dyDescent="0.25">
      <c r="A1002" s="11" t="s">
        <v>5197</v>
      </c>
      <c r="B1002" s="11" t="s">
        <v>5198</v>
      </c>
      <c r="C1002" s="11"/>
      <c r="D1002" s="11" t="s">
        <v>91</v>
      </c>
      <c r="E1002" s="11"/>
      <c r="F1002" s="11" t="s">
        <v>5199</v>
      </c>
      <c r="G1002" s="11" t="s">
        <v>5200</v>
      </c>
      <c r="H1002" s="11" t="s">
        <v>94</v>
      </c>
      <c r="I1002" s="11" t="s">
        <v>95</v>
      </c>
      <c r="J1002" s="11" t="s">
        <v>96</v>
      </c>
      <c r="K1002" s="11"/>
      <c r="L1002" s="11" t="s">
        <v>5201</v>
      </c>
      <c r="M1002" s="11" t="s">
        <v>183</v>
      </c>
      <c r="N1002" s="11"/>
      <c r="O1002" s="11"/>
      <c r="P1002" s="11" t="s">
        <v>102</v>
      </c>
      <c r="Q1002" s="12">
        <v>113.191627</v>
      </c>
      <c r="R1002" s="13">
        <v>23.105186</v>
      </c>
      <c r="S1002" s="11" t="s">
        <v>5197</v>
      </c>
      <c r="T1002" s="11"/>
      <c r="U1002" s="11" t="s">
        <v>104</v>
      </c>
      <c r="V1002" s="11" t="s">
        <v>105</v>
      </c>
      <c r="W1002" s="11" t="s">
        <v>106</v>
      </c>
      <c r="X1002" s="11"/>
      <c r="Y1002" s="11"/>
      <c r="Z1002" s="11"/>
      <c r="AA1002" s="12">
        <v>1001</v>
      </c>
      <c r="AB1002" s="12"/>
      <c r="AC1002" s="11" t="s">
        <v>2189</v>
      </c>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row>
    <row r="1003" spans="1:56" ht="56" x14ac:dyDescent="0.25">
      <c r="A1003" s="11" t="s">
        <v>5202</v>
      </c>
      <c r="B1003" s="11" t="s">
        <v>5203</v>
      </c>
      <c r="C1003" s="11"/>
      <c r="D1003" s="11" t="s">
        <v>91</v>
      </c>
      <c r="E1003" s="11"/>
      <c r="F1003" s="11" t="s">
        <v>5203</v>
      </c>
      <c r="G1003" s="11" t="s">
        <v>5204</v>
      </c>
      <c r="H1003" s="11" t="s">
        <v>94</v>
      </c>
      <c r="I1003" s="11" t="s">
        <v>3494</v>
      </c>
      <c r="J1003" s="11" t="s">
        <v>3495</v>
      </c>
      <c r="K1003" s="11"/>
      <c r="L1003" s="11" t="s">
        <v>5205</v>
      </c>
      <c r="M1003" s="11" t="s">
        <v>183</v>
      </c>
      <c r="N1003" s="11"/>
      <c r="O1003" s="11"/>
      <c r="P1003" s="11" t="s">
        <v>102</v>
      </c>
      <c r="Q1003" s="12">
        <v>113.020448</v>
      </c>
      <c r="R1003" s="13">
        <v>23.706060999999998</v>
      </c>
      <c r="S1003" s="11" t="s">
        <v>5202</v>
      </c>
      <c r="T1003" s="11"/>
      <c r="U1003" s="11" t="s">
        <v>104</v>
      </c>
      <c r="V1003" s="11" t="s">
        <v>105</v>
      </c>
      <c r="W1003" s="11" t="s">
        <v>106</v>
      </c>
      <c r="X1003" s="11"/>
      <c r="Y1003" s="11"/>
      <c r="Z1003" s="11"/>
      <c r="AA1003" s="12">
        <v>1002</v>
      </c>
      <c r="AB1003" s="12"/>
      <c r="AC1003" s="11" t="s">
        <v>2189</v>
      </c>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row>
    <row r="1004" spans="1:56" ht="56" x14ac:dyDescent="0.25">
      <c r="A1004" s="11" t="s">
        <v>5206</v>
      </c>
      <c r="B1004" s="11" t="s">
        <v>5207</v>
      </c>
      <c r="C1004" s="11"/>
      <c r="D1004" s="11" t="s">
        <v>91</v>
      </c>
      <c r="E1004" s="11"/>
      <c r="F1004" s="11" t="s">
        <v>5207</v>
      </c>
      <c r="G1004" s="11" t="s">
        <v>5208</v>
      </c>
      <c r="H1004" s="11" t="s">
        <v>94</v>
      </c>
      <c r="I1004" s="11" t="s">
        <v>3494</v>
      </c>
      <c r="J1004" s="11" t="s">
        <v>3495</v>
      </c>
      <c r="K1004" s="11"/>
      <c r="L1004" s="11" t="s">
        <v>5209</v>
      </c>
      <c r="M1004" s="11" t="s">
        <v>183</v>
      </c>
      <c r="N1004" s="11"/>
      <c r="O1004" s="11"/>
      <c r="P1004" s="11" t="s">
        <v>102</v>
      </c>
      <c r="Q1004" s="12">
        <v>113.066788</v>
      </c>
      <c r="R1004" s="13">
        <v>23.672332999999998</v>
      </c>
      <c r="S1004" s="11" t="s">
        <v>5206</v>
      </c>
      <c r="T1004" s="11"/>
      <c r="U1004" s="11" t="s">
        <v>104</v>
      </c>
      <c r="V1004" s="11" t="s">
        <v>105</v>
      </c>
      <c r="W1004" s="11" t="s">
        <v>106</v>
      </c>
      <c r="X1004" s="11"/>
      <c r="Y1004" s="11"/>
      <c r="Z1004" s="11"/>
      <c r="AA1004" s="12">
        <v>1003</v>
      </c>
      <c r="AB1004" s="12"/>
      <c r="AC1004" s="11" t="s">
        <v>2189</v>
      </c>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row>
    <row r="1005" spans="1:56" ht="56" x14ac:dyDescent="0.25">
      <c r="A1005" s="11" t="s">
        <v>5210</v>
      </c>
      <c r="B1005" s="11" t="s">
        <v>5211</v>
      </c>
      <c r="C1005" s="11"/>
      <c r="D1005" s="11" t="s">
        <v>91</v>
      </c>
      <c r="E1005" s="11"/>
      <c r="F1005" s="11" t="s">
        <v>5211</v>
      </c>
      <c r="G1005" s="11" t="s">
        <v>5212</v>
      </c>
      <c r="H1005" s="11" t="s">
        <v>94</v>
      </c>
      <c r="I1005" s="11" t="s">
        <v>3494</v>
      </c>
      <c r="J1005" s="11" t="s">
        <v>3495</v>
      </c>
      <c r="K1005" s="11"/>
      <c r="L1005" s="11" t="s">
        <v>5213</v>
      </c>
      <c r="M1005" s="11" t="s">
        <v>183</v>
      </c>
      <c r="N1005" s="11"/>
      <c r="O1005" s="11"/>
      <c r="P1005" s="11" t="s">
        <v>102</v>
      </c>
      <c r="Q1005" s="12">
        <v>113.043757</v>
      </c>
      <c r="R1005" s="13">
        <v>23.684367000000002</v>
      </c>
      <c r="S1005" s="11" t="s">
        <v>5210</v>
      </c>
      <c r="T1005" s="11"/>
      <c r="U1005" s="11" t="s">
        <v>104</v>
      </c>
      <c r="V1005" s="11" t="s">
        <v>105</v>
      </c>
      <c r="W1005" s="11" t="s">
        <v>106</v>
      </c>
      <c r="X1005" s="11"/>
      <c r="Y1005" s="11"/>
      <c r="Z1005" s="11"/>
      <c r="AA1005" s="12">
        <v>1004</v>
      </c>
      <c r="AB1005" s="12"/>
      <c r="AC1005" s="11" t="s">
        <v>2189</v>
      </c>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row>
    <row r="1006" spans="1:56" ht="56" x14ac:dyDescent="0.25">
      <c r="A1006" s="11" t="s">
        <v>5214</v>
      </c>
      <c r="B1006" s="11" t="s">
        <v>5215</v>
      </c>
      <c r="C1006" s="11"/>
      <c r="D1006" s="11" t="s">
        <v>91</v>
      </c>
      <c r="E1006" s="11"/>
      <c r="F1006" s="11" t="s">
        <v>5215</v>
      </c>
      <c r="G1006" s="11" t="s">
        <v>5216</v>
      </c>
      <c r="H1006" s="11" t="s">
        <v>94</v>
      </c>
      <c r="I1006" s="11" t="s">
        <v>3494</v>
      </c>
      <c r="J1006" s="11" t="s">
        <v>3495</v>
      </c>
      <c r="K1006" s="11"/>
      <c r="L1006" s="11" t="s">
        <v>5217</v>
      </c>
      <c r="M1006" s="11" t="s">
        <v>183</v>
      </c>
      <c r="N1006" s="11"/>
      <c r="O1006" s="11"/>
      <c r="P1006" s="11" t="s">
        <v>102</v>
      </c>
      <c r="Q1006" s="12">
        <v>113.052024</v>
      </c>
      <c r="R1006" s="13">
        <v>23.706517999999999</v>
      </c>
      <c r="S1006" s="11" t="s">
        <v>5214</v>
      </c>
      <c r="T1006" s="11"/>
      <c r="U1006" s="11" t="s">
        <v>104</v>
      </c>
      <c r="V1006" s="11" t="s">
        <v>105</v>
      </c>
      <c r="W1006" s="11" t="s">
        <v>106</v>
      </c>
      <c r="X1006" s="11"/>
      <c r="Y1006" s="11"/>
      <c r="Z1006" s="11"/>
      <c r="AA1006" s="12">
        <v>1005</v>
      </c>
      <c r="AB1006" s="12"/>
      <c r="AC1006" s="11" t="s">
        <v>2189</v>
      </c>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3"/>
      <c r="BA1006" s="13"/>
      <c r="BB1006" s="13"/>
      <c r="BC1006" s="13"/>
      <c r="BD1006" s="13"/>
    </row>
    <row r="1007" spans="1:56" ht="56" x14ac:dyDescent="0.25">
      <c r="A1007" s="11" t="s">
        <v>5218</v>
      </c>
      <c r="B1007" s="11" t="s">
        <v>5219</v>
      </c>
      <c r="C1007" s="11"/>
      <c r="D1007" s="11" t="s">
        <v>91</v>
      </c>
      <c r="E1007" s="11"/>
      <c r="F1007" s="11" t="s">
        <v>5219</v>
      </c>
      <c r="G1007" s="11" t="s">
        <v>5220</v>
      </c>
      <c r="H1007" s="11" t="s">
        <v>94</v>
      </c>
      <c r="I1007" s="11" t="s">
        <v>3494</v>
      </c>
      <c r="J1007" s="11" t="s">
        <v>3495</v>
      </c>
      <c r="K1007" s="11"/>
      <c r="L1007" s="11" t="s">
        <v>5221</v>
      </c>
      <c r="M1007" s="11" t="s">
        <v>183</v>
      </c>
      <c r="N1007" s="11"/>
      <c r="O1007" s="11"/>
      <c r="P1007" s="11" t="s">
        <v>102</v>
      </c>
      <c r="Q1007" s="12">
        <v>113.03437700000001</v>
      </c>
      <c r="R1007" s="13">
        <v>23.722678999999999</v>
      </c>
      <c r="S1007" s="11" t="s">
        <v>5218</v>
      </c>
      <c r="T1007" s="11"/>
      <c r="U1007" s="11" t="s">
        <v>104</v>
      </c>
      <c r="V1007" s="11" t="s">
        <v>105</v>
      </c>
      <c r="W1007" s="11" t="s">
        <v>106</v>
      </c>
      <c r="X1007" s="11"/>
      <c r="Y1007" s="11"/>
      <c r="Z1007" s="11"/>
      <c r="AA1007" s="12">
        <v>1006</v>
      </c>
      <c r="AB1007" s="12"/>
      <c r="AC1007" s="11" t="s">
        <v>2189</v>
      </c>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3"/>
      <c r="BA1007" s="13"/>
      <c r="BB1007" s="13"/>
      <c r="BC1007" s="13"/>
      <c r="BD1007" s="13"/>
    </row>
    <row r="1008" spans="1:56" ht="42" x14ac:dyDescent="0.25">
      <c r="A1008" s="11" t="s">
        <v>5222</v>
      </c>
      <c r="B1008" s="11" t="s">
        <v>5223</v>
      </c>
      <c r="C1008" s="11"/>
      <c r="D1008" s="11" t="s">
        <v>91</v>
      </c>
      <c r="E1008" s="11"/>
      <c r="F1008" s="11" t="s">
        <v>5224</v>
      </c>
      <c r="G1008" s="11" t="s">
        <v>5225</v>
      </c>
      <c r="H1008" s="11" t="s">
        <v>94</v>
      </c>
      <c r="I1008" s="11" t="s">
        <v>95</v>
      </c>
      <c r="J1008" s="11" t="s">
        <v>96</v>
      </c>
      <c r="K1008" s="11"/>
      <c r="L1008" s="11" t="s">
        <v>5226</v>
      </c>
      <c r="M1008" s="11" t="s">
        <v>183</v>
      </c>
      <c r="N1008" s="11"/>
      <c r="O1008" s="11"/>
      <c r="P1008" s="11" t="s">
        <v>102</v>
      </c>
      <c r="Q1008" s="12">
        <v>113.18629</v>
      </c>
      <c r="R1008" s="13">
        <v>23.138399</v>
      </c>
      <c r="S1008" s="11" t="s">
        <v>5222</v>
      </c>
      <c r="T1008" s="11"/>
      <c r="U1008" s="11" t="s">
        <v>104</v>
      </c>
      <c r="V1008" s="11" t="s">
        <v>105</v>
      </c>
      <c r="W1008" s="11" t="s">
        <v>106</v>
      </c>
      <c r="X1008" s="11"/>
      <c r="Y1008" s="11"/>
      <c r="Z1008" s="11"/>
      <c r="AA1008" s="12">
        <v>1007</v>
      </c>
      <c r="AB1008" s="12"/>
      <c r="AC1008" s="11" t="s">
        <v>2189</v>
      </c>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row>
    <row r="1009" spans="1:56" ht="70" x14ac:dyDescent="0.25">
      <c r="A1009" s="11" t="s">
        <v>5227</v>
      </c>
      <c r="B1009" s="11" t="s">
        <v>5228</v>
      </c>
      <c r="C1009" s="11"/>
      <c r="D1009" s="11" t="s">
        <v>91</v>
      </c>
      <c r="E1009" s="11"/>
      <c r="F1009" s="11" t="s">
        <v>5229</v>
      </c>
      <c r="G1009" s="11" t="s">
        <v>5230</v>
      </c>
      <c r="H1009" s="11" t="s">
        <v>94</v>
      </c>
      <c r="I1009" s="11" t="s">
        <v>95</v>
      </c>
      <c r="J1009" s="11" t="s">
        <v>749</v>
      </c>
      <c r="K1009" s="11"/>
      <c r="L1009" s="11" t="s">
        <v>5231</v>
      </c>
      <c r="M1009" s="11" t="s">
        <v>183</v>
      </c>
      <c r="N1009" s="11"/>
      <c r="O1009" s="11"/>
      <c r="P1009" s="11" t="s">
        <v>102</v>
      </c>
      <c r="Q1009" s="12">
        <v>113.245732</v>
      </c>
      <c r="R1009" s="13">
        <v>22.840627000000001</v>
      </c>
      <c r="S1009" s="11" t="s">
        <v>5227</v>
      </c>
      <c r="T1009" s="11"/>
      <c r="U1009" s="11" t="s">
        <v>104</v>
      </c>
      <c r="V1009" s="11" t="s">
        <v>105</v>
      </c>
      <c r="W1009" s="11" t="s">
        <v>106</v>
      </c>
      <c r="X1009" s="11"/>
      <c r="Y1009" s="11"/>
      <c r="Z1009" s="11"/>
      <c r="AA1009" s="12">
        <v>1008</v>
      </c>
      <c r="AB1009" s="12"/>
      <c r="AC1009" s="11" t="s">
        <v>2189</v>
      </c>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row>
    <row r="1010" spans="1:56" ht="42" x14ac:dyDescent="0.25">
      <c r="A1010" s="11" t="s">
        <v>5232</v>
      </c>
      <c r="B1010" s="11" t="s">
        <v>5233</v>
      </c>
      <c r="C1010" s="11"/>
      <c r="D1010" s="11" t="s">
        <v>91</v>
      </c>
      <c r="E1010" s="11"/>
      <c r="F1010" s="11" t="s">
        <v>5234</v>
      </c>
      <c r="G1010" s="11" t="s">
        <v>5235</v>
      </c>
      <c r="H1010" s="11" t="s">
        <v>94</v>
      </c>
      <c r="I1010" s="11" t="s">
        <v>95</v>
      </c>
      <c r="J1010" s="11" t="s">
        <v>749</v>
      </c>
      <c r="K1010" s="11"/>
      <c r="L1010" s="11" t="s">
        <v>5236</v>
      </c>
      <c r="M1010" s="11" t="s">
        <v>183</v>
      </c>
      <c r="N1010" s="11"/>
      <c r="O1010" s="11"/>
      <c r="P1010" s="11" t="s">
        <v>102</v>
      </c>
      <c r="Q1010" s="12">
        <v>113.261934</v>
      </c>
      <c r="R1010" s="13">
        <v>22.755057000000001</v>
      </c>
      <c r="S1010" s="11" t="s">
        <v>5232</v>
      </c>
      <c r="T1010" s="11"/>
      <c r="U1010" s="11" t="s">
        <v>104</v>
      </c>
      <c r="V1010" s="11" t="s">
        <v>105</v>
      </c>
      <c r="W1010" s="11" t="s">
        <v>106</v>
      </c>
      <c r="X1010" s="11"/>
      <c r="Y1010" s="11"/>
      <c r="Z1010" s="11"/>
      <c r="AA1010" s="12">
        <v>1009</v>
      </c>
      <c r="AB1010" s="12"/>
      <c r="AC1010" s="11" t="s">
        <v>2189</v>
      </c>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3"/>
      <c r="AZ1010" s="13"/>
      <c r="BA1010" s="13"/>
      <c r="BB1010" s="13"/>
      <c r="BC1010" s="13"/>
      <c r="BD1010" s="13"/>
    </row>
    <row r="1011" spans="1:56" ht="56" x14ac:dyDescent="0.25">
      <c r="A1011" s="11" t="s">
        <v>5237</v>
      </c>
      <c r="B1011" s="11" t="s">
        <v>5238</v>
      </c>
      <c r="C1011" s="11"/>
      <c r="D1011" s="11" t="s">
        <v>91</v>
      </c>
      <c r="E1011" s="11"/>
      <c r="F1011" s="11" t="s">
        <v>5239</v>
      </c>
      <c r="G1011" s="11" t="s">
        <v>5240</v>
      </c>
      <c r="H1011" s="11" t="s">
        <v>94</v>
      </c>
      <c r="I1011" s="11" t="s">
        <v>121</v>
      </c>
      <c r="J1011" s="11" t="s">
        <v>737</v>
      </c>
      <c r="K1011" s="11"/>
      <c r="L1011" s="11" t="s">
        <v>5241</v>
      </c>
      <c r="M1011" s="11" t="s">
        <v>183</v>
      </c>
      <c r="N1011" s="11"/>
      <c r="O1011" s="11"/>
      <c r="P1011" s="11" t="s">
        <v>102</v>
      </c>
      <c r="Q1011" s="12">
        <v>113.412659</v>
      </c>
      <c r="R1011" s="13">
        <v>23.048511000000001</v>
      </c>
      <c r="S1011" s="11" t="s">
        <v>5237</v>
      </c>
      <c r="T1011" s="11"/>
      <c r="U1011" s="11" t="s">
        <v>104</v>
      </c>
      <c r="V1011" s="11" t="s">
        <v>105</v>
      </c>
      <c r="W1011" s="11" t="s">
        <v>106</v>
      </c>
      <c r="X1011" s="11"/>
      <c r="Y1011" s="11"/>
      <c r="Z1011" s="11"/>
      <c r="AA1011" s="12">
        <v>1010</v>
      </c>
      <c r="AB1011" s="12"/>
      <c r="AC1011" s="11" t="s">
        <v>2189</v>
      </c>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3"/>
      <c r="AZ1011" s="13"/>
      <c r="BA1011" s="13"/>
      <c r="BB1011" s="13"/>
      <c r="BC1011" s="13"/>
      <c r="BD1011" s="13"/>
    </row>
    <row r="1012" spans="1:56" ht="42" x14ac:dyDescent="0.25">
      <c r="A1012" s="11" t="s">
        <v>5242</v>
      </c>
      <c r="B1012" s="11" t="s">
        <v>5243</v>
      </c>
      <c r="C1012" s="11"/>
      <c r="D1012" s="11" t="s">
        <v>91</v>
      </c>
      <c r="E1012" s="11"/>
      <c r="F1012" s="11" t="s">
        <v>5244</v>
      </c>
      <c r="G1012" s="11" t="s">
        <v>5245</v>
      </c>
      <c r="H1012" s="11" t="s">
        <v>94</v>
      </c>
      <c r="I1012" s="11" t="s">
        <v>95</v>
      </c>
      <c r="J1012" s="11" t="s">
        <v>96</v>
      </c>
      <c r="K1012" s="11"/>
      <c r="L1012" s="11" t="s">
        <v>5246</v>
      </c>
      <c r="M1012" s="11" t="s">
        <v>183</v>
      </c>
      <c r="N1012" s="11"/>
      <c r="O1012" s="11"/>
      <c r="P1012" s="11" t="s">
        <v>102</v>
      </c>
      <c r="Q1012" s="12">
        <v>113.14880599999999</v>
      </c>
      <c r="R1012" s="13">
        <v>23.029779000000001</v>
      </c>
      <c r="S1012" s="11" t="s">
        <v>5242</v>
      </c>
      <c r="T1012" s="11"/>
      <c r="U1012" s="11" t="s">
        <v>104</v>
      </c>
      <c r="V1012" s="11" t="s">
        <v>105</v>
      </c>
      <c r="W1012" s="11" t="s">
        <v>106</v>
      </c>
      <c r="X1012" s="11"/>
      <c r="Y1012" s="11"/>
      <c r="Z1012" s="11"/>
      <c r="AA1012" s="12">
        <v>1011</v>
      </c>
      <c r="AB1012" s="12"/>
      <c r="AC1012" s="11" t="s">
        <v>2189</v>
      </c>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3"/>
      <c r="AZ1012" s="13"/>
      <c r="BA1012" s="13"/>
      <c r="BB1012" s="13"/>
      <c r="BC1012" s="13"/>
      <c r="BD1012" s="13"/>
    </row>
    <row r="1013" spans="1:56" ht="56" x14ac:dyDescent="0.25">
      <c r="A1013" s="11" t="s">
        <v>5247</v>
      </c>
      <c r="B1013" s="11" t="s">
        <v>5248</v>
      </c>
      <c r="C1013" s="11"/>
      <c r="D1013" s="11" t="s">
        <v>91</v>
      </c>
      <c r="E1013" s="11"/>
      <c r="F1013" s="11" t="s">
        <v>5249</v>
      </c>
      <c r="G1013" s="11" t="s">
        <v>5250</v>
      </c>
      <c r="H1013" s="11" t="s">
        <v>94</v>
      </c>
      <c r="I1013" s="11" t="s">
        <v>95</v>
      </c>
      <c r="J1013" s="11" t="s">
        <v>96</v>
      </c>
      <c r="K1013" s="11"/>
      <c r="L1013" s="11" t="s">
        <v>5251</v>
      </c>
      <c r="M1013" s="11" t="s">
        <v>183</v>
      </c>
      <c r="N1013" s="11"/>
      <c r="O1013" s="11"/>
      <c r="P1013" s="11" t="s">
        <v>102</v>
      </c>
      <c r="Q1013" s="12">
        <v>113.14771399999999</v>
      </c>
      <c r="R1013" s="13">
        <v>23.113931000000001</v>
      </c>
      <c r="S1013" s="11" t="s">
        <v>5247</v>
      </c>
      <c r="T1013" s="11"/>
      <c r="U1013" s="11" t="s">
        <v>104</v>
      </c>
      <c r="V1013" s="11" t="s">
        <v>105</v>
      </c>
      <c r="W1013" s="11" t="s">
        <v>106</v>
      </c>
      <c r="X1013" s="11"/>
      <c r="Y1013" s="11"/>
      <c r="Z1013" s="11"/>
      <c r="AA1013" s="12">
        <v>1012</v>
      </c>
      <c r="AB1013" s="12"/>
      <c r="AC1013" s="11" t="s">
        <v>2189</v>
      </c>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3"/>
      <c r="BA1013" s="13"/>
      <c r="BB1013" s="13"/>
      <c r="BC1013" s="13"/>
      <c r="BD1013" s="13"/>
    </row>
    <row r="1014" spans="1:56" ht="56" x14ac:dyDescent="0.25">
      <c r="A1014" s="11" t="s">
        <v>5252</v>
      </c>
      <c r="B1014" s="11" t="s">
        <v>5253</v>
      </c>
      <c r="C1014" s="11"/>
      <c r="D1014" s="11" t="s">
        <v>91</v>
      </c>
      <c r="E1014" s="11"/>
      <c r="F1014" s="11" t="s">
        <v>5254</v>
      </c>
      <c r="G1014" s="11" t="s">
        <v>5255</v>
      </c>
      <c r="H1014" s="11" t="s">
        <v>94</v>
      </c>
      <c r="I1014" s="11" t="s">
        <v>95</v>
      </c>
      <c r="J1014" s="11" t="s">
        <v>1087</v>
      </c>
      <c r="K1014" s="11"/>
      <c r="L1014" s="11" t="s">
        <v>5256</v>
      </c>
      <c r="M1014" s="11" t="s">
        <v>183</v>
      </c>
      <c r="N1014" s="11"/>
      <c r="O1014" s="11"/>
      <c r="P1014" s="11" t="s">
        <v>102</v>
      </c>
      <c r="Q1014" s="12">
        <v>113.101079</v>
      </c>
      <c r="R1014" s="13">
        <v>23.040876000000001</v>
      </c>
      <c r="S1014" s="11" t="s">
        <v>5252</v>
      </c>
      <c r="T1014" s="11"/>
      <c r="U1014" s="11" t="s">
        <v>104</v>
      </c>
      <c r="V1014" s="11" t="s">
        <v>105</v>
      </c>
      <c r="W1014" s="11" t="s">
        <v>106</v>
      </c>
      <c r="X1014" s="11"/>
      <c r="Y1014" s="11"/>
      <c r="Z1014" s="11"/>
      <c r="AA1014" s="12">
        <v>1013</v>
      </c>
      <c r="AB1014" s="12"/>
      <c r="AC1014" s="11" t="s">
        <v>2189</v>
      </c>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3"/>
      <c r="BA1014" s="13"/>
      <c r="BB1014" s="13"/>
      <c r="BC1014" s="13"/>
      <c r="BD1014" s="13"/>
    </row>
    <row r="1015" spans="1:56" ht="42" x14ac:dyDescent="0.25">
      <c r="A1015" s="11" t="s">
        <v>5257</v>
      </c>
      <c r="B1015" s="11" t="s">
        <v>5258</v>
      </c>
      <c r="C1015" s="11"/>
      <c r="D1015" s="11" t="s">
        <v>91</v>
      </c>
      <c r="E1015" s="11"/>
      <c r="F1015" s="11" t="s">
        <v>5259</v>
      </c>
      <c r="G1015" s="11" t="s">
        <v>5260</v>
      </c>
      <c r="H1015" s="11" t="s">
        <v>94</v>
      </c>
      <c r="I1015" s="11" t="s">
        <v>121</v>
      </c>
      <c r="J1015" s="11" t="s">
        <v>971</v>
      </c>
      <c r="K1015" s="11"/>
      <c r="L1015" s="11" t="s">
        <v>5261</v>
      </c>
      <c r="M1015" s="11" t="s">
        <v>183</v>
      </c>
      <c r="N1015" s="11"/>
      <c r="O1015" s="11"/>
      <c r="P1015" s="11" t="s">
        <v>102</v>
      </c>
      <c r="Q1015" s="12">
        <v>113.331284</v>
      </c>
      <c r="R1015" s="13">
        <v>23.193798000000001</v>
      </c>
      <c r="S1015" s="11" t="s">
        <v>5257</v>
      </c>
      <c r="T1015" s="11"/>
      <c r="U1015" s="11" t="s">
        <v>104</v>
      </c>
      <c r="V1015" s="11" t="s">
        <v>105</v>
      </c>
      <c r="W1015" s="11" t="s">
        <v>106</v>
      </c>
      <c r="X1015" s="11"/>
      <c r="Y1015" s="11"/>
      <c r="Z1015" s="11"/>
      <c r="AA1015" s="12">
        <v>1014</v>
      </c>
      <c r="AB1015" s="12"/>
      <c r="AC1015" s="11" t="s">
        <v>2189</v>
      </c>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3"/>
      <c r="AZ1015" s="13"/>
      <c r="BA1015" s="13"/>
      <c r="BB1015" s="13"/>
      <c r="BC1015" s="13"/>
      <c r="BD1015" s="13"/>
    </row>
    <row r="1016" spans="1:56" ht="42" x14ac:dyDescent="0.25">
      <c r="A1016" s="11" t="s">
        <v>5262</v>
      </c>
      <c r="B1016" s="11" t="s">
        <v>5263</v>
      </c>
      <c r="C1016" s="11"/>
      <c r="D1016" s="11" t="s">
        <v>91</v>
      </c>
      <c r="E1016" s="11"/>
      <c r="F1016" s="11" t="s">
        <v>1529</v>
      </c>
      <c r="G1016" s="11" t="s">
        <v>5264</v>
      </c>
      <c r="H1016" s="11" t="s">
        <v>94</v>
      </c>
      <c r="I1016" s="11" t="s">
        <v>95</v>
      </c>
      <c r="J1016" s="11" t="s">
        <v>1087</v>
      </c>
      <c r="K1016" s="11"/>
      <c r="L1016" s="11" t="s">
        <v>5265</v>
      </c>
      <c r="M1016" s="11" t="s">
        <v>183</v>
      </c>
      <c r="N1016" s="11"/>
      <c r="O1016" s="11"/>
      <c r="P1016" s="11" t="s">
        <v>102</v>
      </c>
      <c r="Q1016" s="12">
        <v>113.099564</v>
      </c>
      <c r="R1016" s="13">
        <v>22.997131</v>
      </c>
      <c r="S1016" s="11" t="s">
        <v>5262</v>
      </c>
      <c r="T1016" s="11"/>
      <c r="U1016" s="11" t="s">
        <v>104</v>
      </c>
      <c r="V1016" s="11" t="s">
        <v>105</v>
      </c>
      <c r="W1016" s="11" t="s">
        <v>106</v>
      </c>
      <c r="X1016" s="11"/>
      <c r="Y1016" s="11"/>
      <c r="Z1016" s="11"/>
      <c r="AA1016" s="12">
        <v>1015</v>
      </c>
      <c r="AB1016" s="12"/>
      <c r="AC1016" s="11" t="s">
        <v>2189</v>
      </c>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3"/>
      <c r="AZ1016" s="13"/>
      <c r="BA1016" s="13"/>
      <c r="BB1016" s="13"/>
      <c r="BC1016" s="13"/>
      <c r="BD1016" s="13"/>
    </row>
    <row r="1017" spans="1:56" ht="56" x14ac:dyDescent="0.25">
      <c r="A1017" s="11" t="s">
        <v>5266</v>
      </c>
      <c r="B1017" s="11" t="s">
        <v>5267</v>
      </c>
      <c r="C1017" s="11"/>
      <c r="D1017" s="11" t="s">
        <v>91</v>
      </c>
      <c r="E1017" s="11"/>
      <c r="F1017" s="11" t="s">
        <v>5268</v>
      </c>
      <c r="G1017" s="11" t="s">
        <v>5269</v>
      </c>
      <c r="H1017" s="11" t="s">
        <v>94</v>
      </c>
      <c r="I1017" s="11" t="s">
        <v>3494</v>
      </c>
      <c r="J1017" s="11" t="s">
        <v>4923</v>
      </c>
      <c r="K1017" s="11"/>
      <c r="L1017" s="11" t="s">
        <v>5270</v>
      </c>
      <c r="M1017" s="11"/>
      <c r="N1017" s="11"/>
      <c r="O1017" s="11"/>
      <c r="P1017" s="11" t="s">
        <v>102</v>
      </c>
      <c r="Q1017" s="12">
        <v>113.417894</v>
      </c>
      <c r="R1017" s="13">
        <v>24.17548</v>
      </c>
      <c r="S1017" s="11" t="s">
        <v>5266</v>
      </c>
      <c r="T1017" s="11"/>
      <c r="U1017" s="11" t="s">
        <v>104</v>
      </c>
      <c r="V1017" s="11" t="s">
        <v>105</v>
      </c>
      <c r="W1017" s="11" t="s">
        <v>106</v>
      </c>
      <c r="X1017" s="11"/>
      <c r="Y1017" s="11"/>
      <c r="Z1017" s="11"/>
      <c r="AA1017" s="12">
        <v>1016</v>
      </c>
      <c r="AB1017" s="12"/>
      <c r="AC1017" s="11" t="s">
        <v>2189</v>
      </c>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3"/>
      <c r="BA1017" s="13"/>
      <c r="BB1017" s="13"/>
      <c r="BC1017" s="13"/>
      <c r="BD1017" s="13"/>
    </row>
    <row r="1018" spans="1:56" ht="70" x14ac:dyDescent="0.25">
      <c r="A1018" s="11" t="s">
        <v>5271</v>
      </c>
      <c r="B1018" s="11" t="s">
        <v>5272</v>
      </c>
      <c r="C1018" s="11"/>
      <c r="D1018" s="11" t="s">
        <v>91</v>
      </c>
      <c r="E1018" s="11"/>
      <c r="F1018" s="11" t="s">
        <v>5273</v>
      </c>
      <c r="G1018" s="11" t="s">
        <v>5274</v>
      </c>
      <c r="H1018" s="11" t="s">
        <v>94</v>
      </c>
      <c r="I1018" s="11" t="s">
        <v>95</v>
      </c>
      <c r="J1018" s="11" t="s">
        <v>96</v>
      </c>
      <c r="K1018" s="11"/>
      <c r="L1018" s="11" t="s">
        <v>5275</v>
      </c>
      <c r="M1018" s="11" t="s">
        <v>183</v>
      </c>
      <c r="N1018" s="11"/>
      <c r="O1018" s="11"/>
      <c r="P1018" s="11" t="s">
        <v>102</v>
      </c>
      <c r="Q1018" s="12">
        <v>113.18584300000001</v>
      </c>
      <c r="R1018" s="13">
        <v>23.046755000000001</v>
      </c>
      <c r="S1018" s="11" t="s">
        <v>5271</v>
      </c>
      <c r="T1018" s="11"/>
      <c r="U1018" s="11" t="s">
        <v>104</v>
      </c>
      <c r="V1018" s="11" t="s">
        <v>105</v>
      </c>
      <c r="W1018" s="11" t="s">
        <v>106</v>
      </c>
      <c r="X1018" s="11"/>
      <c r="Y1018" s="11"/>
      <c r="Z1018" s="11"/>
      <c r="AA1018" s="12">
        <v>1017</v>
      </c>
      <c r="AB1018" s="12"/>
      <c r="AC1018" s="11" t="s">
        <v>2189</v>
      </c>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3"/>
      <c r="BA1018" s="13"/>
      <c r="BB1018" s="13"/>
      <c r="BC1018" s="13"/>
      <c r="BD1018" s="13"/>
    </row>
    <row r="1019" spans="1:56" ht="42" x14ac:dyDescent="0.25">
      <c r="A1019" s="11" t="s">
        <v>5276</v>
      </c>
      <c r="B1019" s="11" t="s">
        <v>5277</v>
      </c>
      <c r="C1019" s="11"/>
      <c r="D1019" s="11" t="s">
        <v>91</v>
      </c>
      <c r="E1019" s="11"/>
      <c r="F1019" s="11" t="s">
        <v>5278</v>
      </c>
      <c r="G1019" s="11" t="s">
        <v>5279</v>
      </c>
      <c r="H1019" s="11" t="s">
        <v>94</v>
      </c>
      <c r="I1019" s="11" t="s">
        <v>121</v>
      </c>
      <c r="J1019" s="11" t="s">
        <v>2007</v>
      </c>
      <c r="K1019" s="11"/>
      <c r="L1019" s="11" t="s">
        <v>5280</v>
      </c>
      <c r="M1019" s="11" t="s">
        <v>183</v>
      </c>
      <c r="N1019" s="11"/>
      <c r="O1019" s="11"/>
      <c r="P1019" s="11" t="s">
        <v>102</v>
      </c>
      <c r="Q1019" s="12">
        <v>113.250001</v>
      </c>
      <c r="R1019" s="13">
        <v>23.123559</v>
      </c>
      <c r="S1019" s="11" t="s">
        <v>5276</v>
      </c>
      <c r="T1019" s="11"/>
      <c r="U1019" s="11" t="s">
        <v>104</v>
      </c>
      <c r="V1019" s="11" t="s">
        <v>105</v>
      </c>
      <c r="W1019" s="11" t="s">
        <v>106</v>
      </c>
      <c r="X1019" s="11"/>
      <c r="Y1019" s="11"/>
      <c r="Z1019" s="11"/>
      <c r="AA1019" s="12">
        <v>1018</v>
      </c>
      <c r="AB1019" s="12"/>
      <c r="AC1019" s="11" t="s">
        <v>2189</v>
      </c>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3"/>
      <c r="AZ1019" s="13"/>
      <c r="BA1019" s="13"/>
      <c r="BB1019" s="13"/>
      <c r="BC1019" s="13"/>
      <c r="BD1019" s="13"/>
    </row>
    <row r="1020" spans="1:56" ht="56" x14ac:dyDescent="0.25">
      <c r="A1020" s="11" t="s">
        <v>5281</v>
      </c>
      <c r="B1020" s="11" t="s">
        <v>5282</v>
      </c>
      <c r="C1020" s="11"/>
      <c r="D1020" s="11" t="s">
        <v>91</v>
      </c>
      <c r="E1020" s="11"/>
      <c r="F1020" s="11" t="s">
        <v>5283</v>
      </c>
      <c r="G1020" s="11" t="s">
        <v>5284</v>
      </c>
      <c r="H1020" s="11" t="s">
        <v>94</v>
      </c>
      <c r="I1020" s="11" t="s">
        <v>121</v>
      </c>
      <c r="J1020" s="11" t="s">
        <v>131</v>
      </c>
      <c r="K1020" s="11"/>
      <c r="L1020" s="11" t="s">
        <v>5285</v>
      </c>
      <c r="M1020" s="11" t="s">
        <v>183</v>
      </c>
      <c r="N1020" s="11"/>
      <c r="O1020" s="11"/>
      <c r="P1020" s="11" t="s">
        <v>102</v>
      </c>
      <c r="Q1020" s="12">
        <v>113.60159400000001</v>
      </c>
      <c r="R1020" s="13">
        <v>23.123104999999999</v>
      </c>
      <c r="S1020" s="11" t="s">
        <v>5281</v>
      </c>
      <c r="T1020" s="11"/>
      <c r="U1020" s="11" t="s">
        <v>104</v>
      </c>
      <c r="V1020" s="11" t="s">
        <v>105</v>
      </c>
      <c r="W1020" s="11" t="s">
        <v>106</v>
      </c>
      <c r="X1020" s="11"/>
      <c r="Y1020" s="11"/>
      <c r="Z1020" s="11"/>
      <c r="AA1020" s="12">
        <v>1019</v>
      </c>
      <c r="AB1020" s="12"/>
      <c r="AC1020" s="11" t="s">
        <v>2189</v>
      </c>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3"/>
      <c r="AZ1020" s="13"/>
      <c r="BA1020" s="13"/>
      <c r="BB1020" s="13"/>
      <c r="BC1020" s="13"/>
      <c r="BD1020" s="13"/>
    </row>
    <row r="1021" spans="1:56" ht="56" x14ac:dyDescent="0.25">
      <c r="A1021" s="11" t="s">
        <v>5286</v>
      </c>
      <c r="B1021" s="11" t="s">
        <v>5287</v>
      </c>
      <c r="C1021" s="11"/>
      <c r="D1021" s="11" t="s">
        <v>91</v>
      </c>
      <c r="E1021" s="11"/>
      <c r="F1021" s="11" t="s">
        <v>5288</v>
      </c>
      <c r="G1021" s="11" t="s">
        <v>5289</v>
      </c>
      <c r="H1021" s="11" t="s">
        <v>94</v>
      </c>
      <c r="I1021" s="11" t="s">
        <v>95</v>
      </c>
      <c r="J1021" s="11" t="s">
        <v>749</v>
      </c>
      <c r="K1021" s="11"/>
      <c r="L1021" s="11" t="s">
        <v>5290</v>
      </c>
      <c r="M1021" s="11" t="s">
        <v>183</v>
      </c>
      <c r="N1021" s="11"/>
      <c r="O1021" s="11"/>
      <c r="P1021" s="11" t="s">
        <v>102</v>
      </c>
      <c r="Q1021" s="12">
        <v>113.134317</v>
      </c>
      <c r="R1021" s="13">
        <v>22.963494000000001</v>
      </c>
      <c r="S1021" s="11" t="s">
        <v>5286</v>
      </c>
      <c r="T1021" s="11"/>
      <c r="U1021" s="11" t="s">
        <v>104</v>
      </c>
      <c r="V1021" s="11" t="s">
        <v>105</v>
      </c>
      <c r="W1021" s="11" t="s">
        <v>106</v>
      </c>
      <c r="X1021" s="11"/>
      <c r="Y1021" s="11"/>
      <c r="Z1021" s="11"/>
      <c r="AA1021" s="12">
        <v>1020</v>
      </c>
      <c r="AB1021" s="12"/>
      <c r="AC1021" s="11" t="s">
        <v>2189</v>
      </c>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3"/>
      <c r="AZ1021" s="13"/>
      <c r="BA1021" s="13"/>
      <c r="BB1021" s="13"/>
      <c r="BC1021" s="13"/>
      <c r="BD1021" s="13"/>
    </row>
    <row r="1022" spans="1:56" ht="56" x14ac:dyDescent="0.25">
      <c r="A1022" s="11" t="s">
        <v>5291</v>
      </c>
      <c r="B1022" s="11" t="s">
        <v>5292</v>
      </c>
      <c r="C1022" s="11"/>
      <c r="D1022" s="11" t="s">
        <v>91</v>
      </c>
      <c r="E1022" s="11"/>
      <c r="F1022" s="11" t="s">
        <v>5293</v>
      </c>
      <c r="G1022" s="11" t="s">
        <v>5294</v>
      </c>
      <c r="H1022" s="11" t="s">
        <v>94</v>
      </c>
      <c r="I1022" s="11" t="s">
        <v>121</v>
      </c>
      <c r="J1022" s="11" t="s">
        <v>131</v>
      </c>
      <c r="K1022" s="11"/>
      <c r="L1022" s="11" t="s">
        <v>5295</v>
      </c>
      <c r="M1022" s="11" t="s">
        <v>183</v>
      </c>
      <c r="N1022" s="11"/>
      <c r="O1022" s="11"/>
      <c r="P1022" s="11" t="s">
        <v>102</v>
      </c>
      <c r="Q1022" s="12">
        <v>113.617287</v>
      </c>
      <c r="R1022" s="13">
        <v>23.159692</v>
      </c>
      <c r="S1022" s="11" t="s">
        <v>5291</v>
      </c>
      <c r="T1022" s="11"/>
      <c r="U1022" s="11" t="s">
        <v>104</v>
      </c>
      <c r="V1022" s="11" t="s">
        <v>105</v>
      </c>
      <c r="W1022" s="11" t="s">
        <v>106</v>
      </c>
      <c r="X1022" s="11"/>
      <c r="Y1022" s="11"/>
      <c r="Z1022" s="11"/>
      <c r="AA1022" s="12">
        <v>1021</v>
      </c>
      <c r="AB1022" s="12"/>
      <c r="AC1022" s="11" t="s">
        <v>2189</v>
      </c>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3"/>
      <c r="AZ1022" s="13"/>
      <c r="BA1022" s="13"/>
      <c r="BB1022" s="13"/>
      <c r="BC1022" s="13"/>
      <c r="BD1022" s="13"/>
    </row>
    <row r="1023" spans="1:56" ht="56" x14ac:dyDescent="0.25">
      <c r="A1023" s="11" t="s">
        <v>5296</v>
      </c>
      <c r="B1023" s="11" t="s">
        <v>5297</v>
      </c>
      <c r="C1023" s="11"/>
      <c r="D1023" s="11" t="s">
        <v>91</v>
      </c>
      <c r="E1023" s="11"/>
      <c r="F1023" s="11" t="s">
        <v>5298</v>
      </c>
      <c r="G1023" s="11" t="s">
        <v>5299</v>
      </c>
      <c r="H1023" s="11" t="s">
        <v>94</v>
      </c>
      <c r="I1023" s="11" t="s">
        <v>121</v>
      </c>
      <c r="J1023" s="11" t="s">
        <v>122</v>
      </c>
      <c r="K1023" s="11"/>
      <c r="L1023" s="11" t="s">
        <v>5300</v>
      </c>
      <c r="M1023" s="11" t="s">
        <v>183</v>
      </c>
      <c r="N1023" s="11"/>
      <c r="O1023" s="11"/>
      <c r="P1023" s="11" t="s">
        <v>102</v>
      </c>
      <c r="Q1023" s="12">
        <v>113.369882</v>
      </c>
      <c r="R1023" s="13">
        <v>23.191586999999998</v>
      </c>
      <c r="S1023" s="11" t="s">
        <v>5296</v>
      </c>
      <c r="T1023" s="11"/>
      <c r="U1023" s="11" t="s">
        <v>104</v>
      </c>
      <c r="V1023" s="11" t="s">
        <v>105</v>
      </c>
      <c r="W1023" s="11" t="s">
        <v>106</v>
      </c>
      <c r="X1023" s="11"/>
      <c r="Y1023" s="11"/>
      <c r="Z1023" s="11"/>
      <c r="AA1023" s="12">
        <v>1022</v>
      </c>
      <c r="AB1023" s="12"/>
      <c r="AC1023" s="11" t="s">
        <v>2189</v>
      </c>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3"/>
      <c r="BA1023" s="13"/>
      <c r="BB1023" s="13"/>
      <c r="BC1023" s="13"/>
      <c r="BD1023" s="13"/>
    </row>
    <row r="1024" spans="1:56" ht="56" x14ac:dyDescent="0.25">
      <c r="A1024" s="11" t="s">
        <v>5301</v>
      </c>
      <c r="B1024" s="11" t="s">
        <v>5302</v>
      </c>
      <c r="C1024" s="11"/>
      <c r="D1024" s="11" t="s">
        <v>91</v>
      </c>
      <c r="E1024" s="11"/>
      <c r="F1024" s="11" t="s">
        <v>5303</v>
      </c>
      <c r="G1024" s="11" t="s">
        <v>5304</v>
      </c>
      <c r="H1024" s="11" t="s">
        <v>94</v>
      </c>
      <c r="I1024" s="11" t="s">
        <v>278</v>
      </c>
      <c r="J1024" s="11" t="s">
        <v>4934</v>
      </c>
      <c r="K1024" s="11"/>
      <c r="L1024" s="11" t="s">
        <v>5305</v>
      </c>
      <c r="M1024" s="11"/>
      <c r="N1024" s="11"/>
      <c r="O1024" s="11"/>
      <c r="P1024" s="11" t="s">
        <v>102</v>
      </c>
      <c r="Q1024" s="12">
        <v>113.045878</v>
      </c>
      <c r="R1024" s="13">
        <v>22.52478</v>
      </c>
      <c r="S1024" s="11" t="s">
        <v>5301</v>
      </c>
      <c r="T1024" s="11"/>
      <c r="U1024" s="11" t="s">
        <v>104</v>
      </c>
      <c r="V1024" s="11" t="s">
        <v>105</v>
      </c>
      <c r="W1024" s="11" t="s">
        <v>106</v>
      </c>
      <c r="X1024" s="11"/>
      <c r="Y1024" s="11"/>
      <c r="Z1024" s="11"/>
      <c r="AA1024" s="12">
        <v>1023</v>
      </c>
      <c r="AB1024" s="12"/>
      <c r="AC1024" s="11" t="s">
        <v>2189</v>
      </c>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3"/>
      <c r="AZ1024" s="13"/>
      <c r="BA1024" s="13"/>
      <c r="BB1024" s="13"/>
      <c r="BC1024" s="13"/>
      <c r="BD1024" s="13"/>
    </row>
    <row r="1025" spans="1:56" ht="42" x14ac:dyDescent="0.25">
      <c r="A1025" s="11" t="s">
        <v>5306</v>
      </c>
      <c r="B1025" s="11" t="s">
        <v>5307</v>
      </c>
      <c r="C1025" s="11"/>
      <c r="D1025" s="11" t="s">
        <v>91</v>
      </c>
      <c r="E1025" s="11"/>
      <c r="F1025" s="11" t="s">
        <v>5308</v>
      </c>
      <c r="G1025" s="11" t="s">
        <v>5309</v>
      </c>
      <c r="H1025" s="11" t="s">
        <v>94</v>
      </c>
      <c r="I1025" s="11" t="s">
        <v>343</v>
      </c>
      <c r="J1025" s="11" t="s">
        <v>344</v>
      </c>
      <c r="K1025" s="11"/>
      <c r="L1025" s="11" t="s">
        <v>5310</v>
      </c>
      <c r="M1025" s="11" t="s">
        <v>183</v>
      </c>
      <c r="N1025" s="11"/>
      <c r="O1025" s="11"/>
      <c r="P1025" s="11" t="s">
        <v>102</v>
      </c>
      <c r="Q1025" s="12">
        <v>113.552751</v>
      </c>
      <c r="R1025" s="13">
        <v>22.376904</v>
      </c>
      <c r="S1025" s="11" t="s">
        <v>5306</v>
      </c>
      <c r="T1025" s="11"/>
      <c r="U1025" s="11" t="s">
        <v>104</v>
      </c>
      <c r="V1025" s="11" t="s">
        <v>105</v>
      </c>
      <c r="W1025" s="11" t="s">
        <v>106</v>
      </c>
      <c r="X1025" s="11"/>
      <c r="Y1025" s="11"/>
      <c r="Z1025" s="11"/>
      <c r="AA1025" s="12">
        <v>1024</v>
      </c>
      <c r="AB1025" s="12"/>
      <c r="AC1025" s="11" t="s">
        <v>2189</v>
      </c>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3"/>
      <c r="AZ1025" s="13"/>
      <c r="BA1025" s="13"/>
      <c r="BB1025" s="13"/>
      <c r="BC1025" s="13"/>
      <c r="BD1025" s="13"/>
    </row>
    <row r="1026" spans="1:56" ht="84" x14ac:dyDescent="0.25">
      <c r="A1026" s="11" t="s">
        <v>5311</v>
      </c>
      <c r="B1026" s="11" t="s">
        <v>5312</v>
      </c>
      <c r="C1026" s="11"/>
      <c r="D1026" s="11" t="s">
        <v>91</v>
      </c>
      <c r="E1026" s="11"/>
      <c r="F1026" s="11" t="s">
        <v>5313</v>
      </c>
      <c r="G1026" s="11" t="s">
        <v>5314</v>
      </c>
      <c r="H1026" s="11" t="s">
        <v>94</v>
      </c>
      <c r="I1026" s="11" t="s">
        <v>278</v>
      </c>
      <c r="J1026" s="11" t="s">
        <v>397</v>
      </c>
      <c r="K1026" s="11"/>
      <c r="L1026" s="11" t="s">
        <v>5315</v>
      </c>
      <c r="M1026" s="11"/>
      <c r="N1026" s="11"/>
      <c r="O1026" s="11"/>
      <c r="P1026" s="11" t="s">
        <v>102</v>
      </c>
      <c r="Q1026" s="12">
        <v>113.129885</v>
      </c>
      <c r="R1026" s="13">
        <v>22.562618000000001</v>
      </c>
      <c r="S1026" s="11" t="s">
        <v>5311</v>
      </c>
      <c r="T1026" s="11"/>
      <c r="U1026" s="11" t="s">
        <v>104</v>
      </c>
      <c r="V1026" s="11" t="s">
        <v>105</v>
      </c>
      <c r="W1026" s="11" t="s">
        <v>106</v>
      </c>
      <c r="X1026" s="11"/>
      <c r="Y1026" s="11"/>
      <c r="Z1026" s="11"/>
      <c r="AA1026" s="12">
        <v>1025</v>
      </c>
      <c r="AB1026" s="12"/>
      <c r="AC1026" s="11" t="s">
        <v>2189</v>
      </c>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3"/>
      <c r="AY1026" s="13"/>
      <c r="AZ1026" s="13"/>
      <c r="BA1026" s="13"/>
      <c r="BB1026" s="13"/>
      <c r="BC1026" s="13"/>
      <c r="BD1026" s="13"/>
    </row>
    <row r="1027" spans="1:56" ht="56" x14ac:dyDescent="0.25">
      <c r="A1027" s="11" t="s">
        <v>5316</v>
      </c>
      <c r="B1027" s="11" t="s">
        <v>5317</v>
      </c>
      <c r="C1027" s="11"/>
      <c r="D1027" s="11" t="s">
        <v>91</v>
      </c>
      <c r="E1027" s="11"/>
      <c r="F1027" s="11" t="s">
        <v>5318</v>
      </c>
      <c r="G1027" s="11" t="s">
        <v>5319</v>
      </c>
      <c r="H1027" s="11" t="s">
        <v>94</v>
      </c>
      <c r="I1027" s="11" t="s">
        <v>95</v>
      </c>
      <c r="J1027" s="11" t="s">
        <v>96</v>
      </c>
      <c r="K1027" s="11"/>
      <c r="L1027" s="11" t="s">
        <v>5320</v>
      </c>
      <c r="M1027" s="11" t="s">
        <v>183</v>
      </c>
      <c r="N1027" s="11"/>
      <c r="O1027" s="11"/>
      <c r="P1027" s="11" t="s">
        <v>102</v>
      </c>
      <c r="Q1027" s="12">
        <v>113.005269</v>
      </c>
      <c r="R1027" s="13">
        <v>23.125769999999999</v>
      </c>
      <c r="S1027" s="11" t="s">
        <v>5316</v>
      </c>
      <c r="T1027" s="11"/>
      <c r="U1027" s="11" t="s">
        <v>104</v>
      </c>
      <c r="V1027" s="11" t="s">
        <v>105</v>
      </c>
      <c r="W1027" s="11" t="s">
        <v>106</v>
      </c>
      <c r="X1027" s="11"/>
      <c r="Y1027" s="11"/>
      <c r="Z1027" s="11"/>
      <c r="AA1027" s="12">
        <v>1026</v>
      </c>
      <c r="AB1027" s="12"/>
      <c r="AC1027" s="11" t="s">
        <v>2189</v>
      </c>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3"/>
      <c r="AZ1027" s="13"/>
      <c r="BA1027" s="13"/>
      <c r="BB1027" s="13"/>
      <c r="BC1027" s="13"/>
      <c r="BD1027" s="13"/>
    </row>
    <row r="1028" spans="1:56" ht="56" x14ac:dyDescent="0.25">
      <c r="A1028" s="11" t="s">
        <v>5321</v>
      </c>
      <c r="B1028" s="11" t="s">
        <v>5322</v>
      </c>
      <c r="C1028" s="11"/>
      <c r="D1028" s="11" t="s">
        <v>91</v>
      </c>
      <c r="E1028" s="11" t="s">
        <v>92</v>
      </c>
      <c r="F1028" s="11" t="s">
        <v>5323</v>
      </c>
      <c r="G1028" s="11" t="s">
        <v>5324</v>
      </c>
      <c r="H1028" s="11" t="s">
        <v>94</v>
      </c>
      <c r="I1028" s="11" t="s">
        <v>343</v>
      </c>
      <c r="J1028" s="11" t="s">
        <v>344</v>
      </c>
      <c r="K1028" s="11"/>
      <c r="L1028" s="11" t="s">
        <v>5325</v>
      </c>
      <c r="M1028" s="11" t="s">
        <v>183</v>
      </c>
      <c r="N1028" s="11" t="s">
        <v>174</v>
      </c>
      <c r="O1028" s="11" t="s">
        <v>101</v>
      </c>
      <c r="P1028" s="11" t="s">
        <v>102</v>
      </c>
      <c r="Q1028" s="12">
        <v>113.533923</v>
      </c>
      <c r="R1028" s="13">
        <v>22.221398000000001</v>
      </c>
      <c r="S1028" s="11" t="s">
        <v>5321</v>
      </c>
      <c r="T1028" s="11"/>
      <c r="U1028" s="11" t="s">
        <v>104</v>
      </c>
      <c r="V1028" s="11" t="s">
        <v>105</v>
      </c>
      <c r="W1028" s="11" t="s">
        <v>106</v>
      </c>
      <c r="X1028" s="11"/>
      <c r="Y1028" s="11"/>
      <c r="Z1028" s="11"/>
      <c r="AA1028" s="12">
        <v>1027</v>
      </c>
      <c r="AB1028" s="12"/>
      <c r="AC1028" s="11" t="s">
        <v>2189</v>
      </c>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3"/>
      <c r="BA1028" s="13"/>
      <c r="BB1028" s="13"/>
      <c r="BC1028" s="13"/>
      <c r="BD1028" s="13"/>
    </row>
    <row r="1029" spans="1:56" ht="42" x14ac:dyDescent="0.25">
      <c r="A1029" s="11" t="s">
        <v>5326</v>
      </c>
      <c r="B1029" s="11" t="s">
        <v>5327</v>
      </c>
      <c r="C1029" s="11"/>
      <c r="D1029" s="11" t="s">
        <v>91</v>
      </c>
      <c r="E1029" s="11"/>
      <c r="F1029" s="11" t="s">
        <v>5328</v>
      </c>
      <c r="G1029" s="11" t="s">
        <v>5329</v>
      </c>
      <c r="H1029" s="11" t="s">
        <v>94</v>
      </c>
      <c r="I1029" s="11" t="s">
        <v>121</v>
      </c>
      <c r="J1029" s="11" t="s">
        <v>122</v>
      </c>
      <c r="K1029" s="11"/>
      <c r="L1029" s="11" t="s">
        <v>5330</v>
      </c>
      <c r="M1029" s="11" t="s">
        <v>183</v>
      </c>
      <c r="N1029" s="11" t="s">
        <v>174</v>
      </c>
      <c r="O1029" s="11" t="s">
        <v>101</v>
      </c>
      <c r="P1029" s="11" t="s">
        <v>102</v>
      </c>
      <c r="Q1029" s="12">
        <v>113.388672</v>
      </c>
      <c r="R1029" s="13">
        <v>23.120836000000001</v>
      </c>
      <c r="S1029" s="11" t="s">
        <v>5326</v>
      </c>
      <c r="T1029" s="11"/>
      <c r="U1029" s="11" t="s">
        <v>104</v>
      </c>
      <c r="V1029" s="11" t="s">
        <v>105</v>
      </c>
      <c r="W1029" s="11" t="s">
        <v>106</v>
      </c>
      <c r="X1029" s="11"/>
      <c r="Y1029" s="11"/>
      <c r="Z1029" s="11"/>
      <c r="AA1029" s="12">
        <v>1028</v>
      </c>
      <c r="AB1029" s="12"/>
      <c r="AC1029" s="11" t="s">
        <v>2189</v>
      </c>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3"/>
      <c r="AZ1029" s="13"/>
      <c r="BA1029" s="13"/>
      <c r="BB1029" s="13"/>
      <c r="BC1029" s="13"/>
      <c r="BD1029" s="13"/>
    </row>
    <row r="1030" spans="1:56" ht="56" x14ac:dyDescent="0.25">
      <c r="A1030" s="11" t="s">
        <v>5331</v>
      </c>
      <c r="B1030" s="11" t="s">
        <v>5332</v>
      </c>
      <c r="C1030" s="11"/>
      <c r="D1030" s="11" t="s">
        <v>91</v>
      </c>
      <c r="E1030" s="11"/>
      <c r="F1030" s="11" t="s">
        <v>5333</v>
      </c>
      <c r="G1030" s="11" t="s">
        <v>5334</v>
      </c>
      <c r="H1030" s="11" t="s">
        <v>94</v>
      </c>
      <c r="I1030" s="11" t="s">
        <v>278</v>
      </c>
      <c r="J1030" s="11" t="s">
        <v>4975</v>
      </c>
      <c r="K1030" s="11"/>
      <c r="L1030" s="11" t="s">
        <v>5335</v>
      </c>
      <c r="M1030" s="11"/>
      <c r="N1030" s="11"/>
      <c r="O1030" s="11"/>
      <c r="P1030" s="11" t="s">
        <v>102</v>
      </c>
      <c r="Q1030" s="12">
        <v>112.964203</v>
      </c>
      <c r="R1030" s="13">
        <v>22.765912</v>
      </c>
      <c r="S1030" s="11" t="s">
        <v>5331</v>
      </c>
      <c r="T1030" s="11"/>
      <c r="U1030" s="11" t="s">
        <v>104</v>
      </c>
      <c r="V1030" s="11" t="s">
        <v>105</v>
      </c>
      <c r="W1030" s="11" t="s">
        <v>106</v>
      </c>
      <c r="X1030" s="11"/>
      <c r="Y1030" s="11"/>
      <c r="Z1030" s="11"/>
      <c r="AA1030" s="12">
        <v>1029</v>
      </c>
      <c r="AB1030" s="12"/>
      <c r="AC1030" s="11" t="s">
        <v>2189</v>
      </c>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row>
    <row r="1031" spans="1:56" ht="70" x14ac:dyDescent="0.25">
      <c r="A1031" s="11" t="s">
        <v>5336</v>
      </c>
      <c r="B1031" s="11" t="s">
        <v>5337</v>
      </c>
      <c r="C1031" s="11"/>
      <c r="D1031" s="11" t="s">
        <v>91</v>
      </c>
      <c r="E1031" s="11"/>
      <c r="F1031" s="11" t="s">
        <v>5338</v>
      </c>
      <c r="G1031" s="11" t="s">
        <v>5339</v>
      </c>
      <c r="H1031" s="11" t="s">
        <v>94</v>
      </c>
      <c r="I1031" s="11" t="s">
        <v>95</v>
      </c>
      <c r="J1031" s="11" t="s">
        <v>1087</v>
      </c>
      <c r="K1031" s="11"/>
      <c r="L1031" s="11" t="s">
        <v>5340</v>
      </c>
      <c r="M1031" s="11" t="s">
        <v>183</v>
      </c>
      <c r="N1031" s="11"/>
      <c r="O1031" s="11"/>
      <c r="P1031" s="11" t="s">
        <v>102</v>
      </c>
      <c r="Q1031" s="12">
        <v>113.119254</v>
      </c>
      <c r="R1031" s="13">
        <v>23.012468999999999</v>
      </c>
      <c r="S1031" s="11" t="s">
        <v>5336</v>
      </c>
      <c r="T1031" s="11"/>
      <c r="U1031" s="11" t="s">
        <v>104</v>
      </c>
      <c r="V1031" s="11" t="s">
        <v>105</v>
      </c>
      <c r="W1031" s="11" t="s">
        <v>106</v>
      </c>
      <c r="X1031" s="11"/>
      <c r="Y1031" s="11"/>
      <c r="Z1031" s="11"/>
      <c r="AA1031" s="12">
        <v>1030</v>
      </c>
      <c r="AB1031" s="12"/>
      <c r="AC1031" s="11" t="s">
        <v>2189</v>
      </c>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3"/>
      <c r="AZ1031" s="13"/>
      <c r="BA1031" s="13"/>
      <c r="BB1031" s="13"/>
      <c r="BC1031" s="13"/>
      <c r="BD1031" s="13"/>
    </row>
    <row r="1032" spans="1:56" ht="56" x14ac:dyDescent="0.25">
      <c r="A1032" s="11" t="s">
        <v>5341</v>
      </c>
      <c r="B1032" s="11" t="s">
        <v>5342</v>
      </c>
      <c r="C1032" s="11"/>
      <c r="D1032" s="11" t="s">
        <v>91</v>
      </c>
      <c r="E1032" s="11"/>
      <c r="F1032" s="11" t="s">
        <v>5343</v>
      </c>
      <c r="G1032" s="11" t="s">
        <v>5344</v>
      </c>
      <c r="H1032" s="11" t="s">
        <v>94</v>
      </c>
      <c r="I1032" s="11" t="s">
        <v>121</v>
      </c>
      <c r="J1032" s="11" t="s">
        <v>2285</v>
      </c>
      <c r="K1032" s="11"/>
      <c r="L1032" s="11" t="s">
        <v>5345</v>
      </c>
      <c r="M1032" s="11" t="s">
        <v>183</v>
      </c>
      <c r="N1032" s="11"/>
      <c r="O1032" s="11"/>
      <c r="P1032" s="11" t="s">
        <v>102</v>
      </c>
      <c r="Q1032" s="12">
        <v>113.31494499999999</v>
      </c>
      <c r="R1032" s="13">
        <v>23.093897999999999</v>
      </c>
      <c r="S1032" s="11" t="s">
        <v>5341</v>
      </c>
      <c r="T1032" s="11"/>
      <c r="U1032" s="11" t="s">
        <v>104</v>
      </c>
      <c r="V1032" s="11" t="s">
        <v>105</v>
      </c>
      <c r="W1032" s="11" t="s">
        <v>106</v>
      </c>
      <c r="X1032" s="11"/>
      <c r="Y1032" s="11"/>
      <c r="Z1032" s="11"/>
      <c r="AA1032" s="12">
        <v>1031</v>
      </c>
      <c r="AB1032" s="12"/>
      <c r="AC1032" s="11" t="s">
        <v>2189</v>
      </c>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3"/>
      <c r="BA1032" s="13"/>
      <c r="BB1032" s="13"/>
      <c r="BC1032" s="13"/>
      <c r="BD1032" s="13"/>
    </row>
    <row r="1033" spans="1:56" ht="56" x14ac:dyDescent="0.25">
      <c r="A1033" s="11" t="s">
        <v>5346</v>
      </c>
      <c r="B1033" s="11" t="s">
        <v>5347</v>
      </c>
      <c r="C1033" s="11"/>
      <c r="D1033" s="11" t="s">
        <v>91</v>
      </c>
      <c r="E1033" s="11"/>
      <c r="F1033" s="11" t="s">
        <v>5348</v>
      </c>
      <c r="G1033" s="11" t="s">
        <v>5349</v>
      </c>
      <c r="H1033" s="11" t="s">
        <v>94</v>
      </c>
      <c r="I1033" s="11" t="s">
        <v>121</v>
      </c>
      <c r="J1033" s="11" t="s">
        <v>792</v>
      </c>
      <c r="K1033" s="11"/>
      <c r="L1033" s="11" t="s">
        <v>5350</v>
      </c>
      <c r="M1033" s="11" t="s">
        <v>183</v>
      </c>
      <c r="N1033" s="11"/>
      <c r="O1033" s="11"/>
      <c r="P1033" s="11" t="s">
        <v>102</v>
      </c>
      <c r="Q1033" s="12">
        <v>113.506029</v>
      </c>
      <c r="R1033" s="13">
        <v>23.171927</v>
      </c>
      <c r="S1033" s="11" t="s">
        <v>5346</v>
      </c>
      <c r="T1033" s="11"/>
      <c r="U1033" s="11" t="s">
        <v>104</v>
      </c>
      <c r="V1033" s="11" t="s">
        <v>105</v>
      </c>
      <c r="W1033" s="11" t="s">
        <v>106</v>
      </c>
      <c r="X1033" s="11"/>
      <c r="Y1033" s="11"/>
      <c r="Z1033" s="11"/>
      <c r="AA1033" s="12">
        <v>1032</v>
      </c>
      <c r="AB1033" s="12"/>
      <c r="AC1033" s="11" t="s">
        <v>2189</v>
      </c>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row>
    <row r="1034" spans="1:56" ht="70" x14ac:dyDescent="0.25">
      <c r="A1034" s="11" t="s">
        <v>5351</v>
      </c>
      <c r="B1034" s="11" t="s">
        <v>5352</v>
      </c>
      <c r="C1034" s="11"/>
      <c r="D1034" s="11" t="s">
        <v>91</v>
      </c>
      <c r="E1034" s="11"/>
      <c r="F1034" s="11" t="s">
        <v>5353</v>
      </c>
      <c r="G1034" s="11" t="s">
        <v>5354</v>
      </c>
      <c r="H1034" s="11" t="s">
        <v>94</v>
      </c>
      <c r="I1034" s="11" t="s">
        <v>121</v>
      </c>
      <c r="J1034" s="11" t="s">
        <v>799</v>
      </c>
      <c r="K1034" s="11"/>
      <c r="L1034" s="11" t="s">
        <v>5355</v>
      </c>
      <c r="M1034" s="11" t="s">
        <v>183</v>
      </c>
      <c r="N1034" s="11"/>
      <c r="O1034" s="11"/>
      <c r="P1034" s="11" t="s">
        <v>102</v>
      </c>
      <c r="Q1034" s="12">
        <v>113.23004899999999</v>
      </c>
      <c r="R1034" s="13">
        <v>23.410150000000002</v>
      </c>
      <c r="S1034" s="11" t="s">
        <v>5351</v>
      </c>
      <c r="T1034" s="11"/>
      <c r="U1034" s="11" t="s">
        <v>104</v>
      </c>
      <c r="V1034" s="11" t="s">
        <v>105</v>
      </c>
      <c r="W1034" s="11" t="s">
        <v>106</v>
      </c>
      <c r="X1034" s="11"/>
      <c r="Y1034" s="11"/>
      <c r="Z1034" s="11"/>
      <c r="AA1034" s="12">
        <v>1033</v>
      </c>
      <c r="AB1034" s="12"/>
      <c r="AC1034" s="11" t="s">
        <v>2189</v>
      </c>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3"/>
      <c r="AZ1034" s="13"/>
      <c r="BA1034" s="13"/>
      <c r="BB1034" s="13"/>
      <c r="BC1034" s="13"/>
      <c r="BD1034" s="13"/>
    </row>
    <row r="1035" spans="1:56" ht="84" x14ac:dyDescent="0.25">
      <c r="A1035" s="11" t="s">
        <v>5356</v>
      </c>
      <c r="B1035" s="11" t="s">
        <v>5357</v>
      </c>
      <c r="C1035" s="11"/>
      <c r="D1035" s="11" t="s">
        <v>91</v>
      </c>
      <c r="E1035" s="11"/>
      <c r="F1035" s="11" t="s">
        <v>5358</v>
      </c>
      <c r="G1035" s="11" t="s">
        <v>5359</v>
      </c>
      <c r="H1035" s="11" t="s">
        <v>94</v>
      </c>
      <c r="I1035" s="11" t="s">
        <v>121</v>
      </c>
      <c r="J1035" s="11" t="s">
        <v>971</v>
      </c>
      <c r="K1035" s="11"/>
      <c r="L1035" s="11" t="s">
        <v>5360</v>
      </c>
      <c r="M1035" s="11" t="s">
        <v>183</v>
      </c>
      <c r="N1035" s="11"/>
      <c r="O1035" s="11"/>
      <c r="P1035" s="11" t="s">
        <v>102</v>
      </c>
      <c r="Q1035" s="12">
        <v>113.24277499999999</v>
      </c>
      <c r="R1035" s="13">
        <v>23.185212</v>
      </c>
      <c r="S1035" s="11" t="s">
        <v>5356</v>
      </c>
      <c r="T1035" s="11"/>
      <c r="U1035" s="11" t="s">
        <v>104</v>
      </c>
      <c r="V1035" s="11" t="s">
        <v>105</v>
      </c>
      <c r="W1035" s="11" t="s">
        <v>106</v>
      </c>
      <c r="X1035" s="11"/>
      <c r="Y1035" s="11"/>
      <c r="Z1035" s="11"/>
      <c r="AA1035" s="12">
        <v>1034</v>
      </c>
      <c r="AB1035" s="12"/>
      <c r="AC1035" s="11" t="s">
        <v>2189</v>
      </c>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3"/>
      <c r="AZ1035" s="13"/>
      <c r="BA1035" s="13"/>
      <c r="BB1035" s="13"/>
      <c r="BC1035" s="13"/>
      <c r="BD1035" s="13"/>
    </row>
    <row r="1036" spans="1:56" ht="42" x14ac:dyDescent="0.25">
      <c r="A1036" s="11" t="s">
        <v>5361</v>
      </c>
      <c r="B1036" s="11" t="s">
        <v>5362</v>
      </c>
      <c r="C1036" s="11"/>
      <c r="D1036" s="11" t="s">
        <v>91</v>
      </c>
      <c r="E1036" s="11" t="s">
        <v>92</v>
      </c>
      <c r="F1036" s="11" t="s">
        <v>5363</v>
      </c>
      <c r="G1036" s="11" t="s">
        <v>2763</v>
      </c>
      <c r="H1036" s="11" t="s">
        <v>94</v>
      </c>
      <c r="I1036" s="11" t="s">
        <v>343</v>
      </c>
      <c r="J1036" s="11" t="s">
        <v>344</v>
      </c>
      <c r="K1036" s="11"/>
      <c r="L1036" s="11" t="s">
        <v>5364</v>
      </c>
      <c r="M1036" s="11" t="s">
        <v>183</v>
      </c>
      <c r="N1036" s="11" t="s">
        <v>174</v>
      </c>
      <c r="O1036" s="11" t="s">
        <v>101</v>
      </c>
      <c r="P1036" s="11" t="s">
        <v>102</v>
      </c>
      <c r="Q1036" s="12">
        <v>113.5294</v>
      </c>
      <c r="R1036" s="13">
        <v>22.191727</v>
      </c>
      <c r="S1036" s="11" t="s">
        <v>5361</v>
      </c>
      <c r="T1036" s="11"/>
      <c r="U1036" s="11" t="s">
        <v>104</v>
      </c>
      <c r="V1036" s="11" t="s">
        <v>105</v>
      </c>
      <c r="W1036" s="11" t="s">
        <v>106</v>
      </c>
      <c r="X1036" s="11"/>
      <c r="Y1036" s="11"/>
      <c r="Z1036" s="11"/>
      <c r="AA1036" s="12">
        <v>1035</v>
      </c>
      <c r="AB1036" s="12"/>
      <c r="AC1036" s="11" t="s">
        <v>2189</v>
      </c>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3"/>
      <c r="AZ1036" s="13"/>
      <c r="BA1036" s="13"/>
      <c r="BB1036" s="13"/>
      <c r="BC1036" s="13"/>
      <c r="BD1036" s="13"/>
    </row>
    <row r="1037" spans="1:56" ht="56" x14ac:dyDescent="0.25">
      <c r="A1037" s="11" t="s">
        <v>5365</v>
      </c>
      <c r="B1037" s="11" t="s">
        <v>5366</v>
      </c>
      <c r="C1037" s="11"/>
      <c r="D1037" s="11" t="s">
        <v>91</v>
      </c>
      <c r="E1037" s="11"/>
      <c r="F1037" s="11" t="s">
        <v>5367</v>
      </c>
      <c r="G1037" s="11" t="s">
        <v>5368</v>
      </c>
      <c r="H1037" s="11" t="s">
        <v>94</v>
      </c>
      <c r="I1037" s="11" t="s">
        <v>95</v>
      </c>
      <c r="J1037" s="11" t="s">
        <v>96</v>
      </c>
      <c r="K1037" s="11"/>
      <c r="L1037" s="11" t="s">
        <v>5369</v>
      </c>
      <c r="M1037" s="11" t="s">
        <v>183</v>
      </c>
      <c r="N1037" s="11"/>
      <c r="O1037" s="11"/>
      <c r="P1037" s="11" t="s">
        <v>102</v>
      </c>
      <c r="Q1037" s="12">
        <v>113.164473</v>
      </c>
      <c r="R1037" s="13">
        <v>23.048666999999998</v>
      </c>
      <c r="S1037" s="11" t="s">
        <v>5365</v>
      </c>
      <c r="T1037" s="11"/>
      <c r="U1037" s="11" t="s">
        <v>104</v>
      </c>
      <c r="V1037" s="11" t="s">
        <v>105</v>
      </c>
      <c r="W1037" s="11" t="s">
        <v>106</v>
      </c>
      <c r="X1037" s="11"/>
      <c r="Y1037" s="11"/>
      <c r="Z1037" s="11"/>
      <c r="AA1037" s="12">
        <v>1036</v>
      </c>
      <c r="AB1037" s="12"/>
      <c r="AC1037" s="11" t="s">
        <v>2189</v>
      </c>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3"/>
      <c r="AZ1037" s="13"/>
      <c r="BA1037" s="13"/>
      <c r="BB1037" s="13"/>
      <c r="BC1037" s="13"/>
      <c r="BD1037" s="13"/>
    </row>
    <row r="1038" spans="1:56" ht="56" x14ac:dyDescent="0.25">
      <c r="A1038" s="11" t="s">
        <v>5370</v>
      </c>
      <c r="B1038" s="11" t="s">
        <v>5371</v>
      </c>
      <c r="C1038" s="11"/>
      <c r="D1038" s="11" t="s">
        <v>91</v>
      </c>
      <c r="E1038" s="11"/>
      <c r="F1038" s="11" t="s">
        <v>5372</v>
      </c>
      <c r="G1038" s="11" t="s">
        <v>5200</v>
      </c>
      <c r="H1038" s="11" t="s">
        <v>94</v>
      </c>
      <c r="I1038" s="11" t="s">
        <v>95</v>
      </c>
      <c r="J1038" s="11" t="s">
        <v>1087</v>
      </c>
      <c r="K1038" s="11"/>
      <c r="L1038" s="11" t="s">
        <v>5373</v>
      </c>
      <c r="M1038" s="11" t="s">
        <v>183</v>
      </c>
      <c r="N1038" s="11"/>
      <c r="O1038" s="11"/>
      <c r="P1038" s="11" t="s">
        <v>102</v>
      </c>
      <c r="Q1038" s="12">
        <v>113.053552</v>
      </c>
      <c r="R1038" s="13">
        <v>23.014889</v>
      </c>
      <c r="S1038" s="11" t="s">
        <v>5370</v>
      </c>
      <c r="T1038" s="11"/>
      <c r="U1038" s="11" t="s">
        <v>104</v>
      </c>
      <c r="V1038" s="11" t="s">
        <v>105</v>
      </c>
      <c r="W1038" s="11" t="s">
        <v>106</v>
      </c>
      <c r="X1038" s="11"/>
      <c r="Y1038" s="11"/>
      <c r="Z1038" s="11"/>
      <c r="AA1038" s="12">
        <v>1037</v>
      </c>
      <c r="AB1038" s="12"/>
      <c r="AC1038" s="11" t="s">
        <v>2189</v>
      </c>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3"/>
      <c r="AZ1038" s="13"/>
      <c r="BA1038" s="13"/>
      <c r="BB1038" s="13"/>
      <c r="BC1038" s="13"/>
      <c r="BD1038" s="13"/>
    </row>
    <row r="1039" spans="1:56" ht="56" x14ac:dyDescent="0.25">
      <c r="A1039" s="11" t="s">
        <v>5374</v>
      </c>
      <c r="B1039" s="11" t="s">
        <v>5375</v>
      </c>
      <c r="C1039" s="11"/>
      <c r="D1039" s="11" t="s">
        <v>91</v>
      </c>
      <c r="E1039" s="11"/>
      <c r="F1039" s="11" t="s">
        <v>5376</v>
      </c>
      <c r="G1039" s="11" t="s">
        <v>5377</v>
      </c>
      <c r="H1039" s="11" t="s">
        <v>94</v>
      </c>
      <c r="I1039" s="11" t="s">
        <v>121</v>
      </c>
      <c r="J1039" s="11" t="s">
        <v>122</v>
      </c>
      <c r="K1039" s="11"/>
      <c r="L1039" s="11" t="s">
        <v>5378</v>
      </c>
      <c r="M1039" s="11" t="s">
        <v>183</v>
      </c>
      <c r="N1039" s="11"/>
      <c r="O1039" s="11"/>
      <c r="P1039" s="11" t="s">
        <v>102</v>
      </c>
      <c r="Q1039" s="12">
        <v>113.331158</v>
      </c>
      <c r="R1039" s="13">
        <v>23.128768999999998</v>
      </c>
      <c r="S1039" s="11" t="s">
        <v>5374</v>
      </c>
      <c r="T1039" s="11"/>
      <c r="U1039" s="11" t="s">
        <v>104</v>
      </c>
      <c r="V1039" s="11" t="s">
        <v>105</v>
      </c>
      <c r="W1039" s="11" t="s">
        <v>106</v>
      </c>
      <c r="X1039" s="11"/>
      <c r="Y1039" s="11"/>
      <c r="Z1039" s="11"/>
      <c r="AA1039" s="12">
        <v>1038</v>
      </c>
      <c r="AB1039" s="12"/>
      <c r="AC1039" s="11" t="s">
        <v>2189</v>
      </c>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3"/>
      <c r="AZ1039" s="13"/>
      <c r="BA1039" s="13"/>
      <c r="BB1039" s="13"/>
      <c r="BC1039" s="13"/>
      <c r="BD1039" s="13"/>
    </row>
    <row r="1040" spans="1:56" ht="56" x14ac:dyDescent="0.25">
      <c r="A1040" s="11" t="s">
        <v>5379</v>
      </c>
      <c r="B1040" s="11" t="s">
        <v>5380</v>
      </c>
      <c r="C1040" s="11"/>
      <c r="D1040" s="11" t="s">
        <v>91</v>
      </c>
      <c r="E1040" s="11"/>
      <c r="F1040" s="11" t="s">
        <v>5381</v>
      </c>
      <c r="G1040" s="11" t="s">
        <v>5382</v>
      </c>
      <c r="H1040" s="11" t="s">
        <v>94</v>
      </c>
      <c r="I1040" s="11" t="s">
        <v>121</v>
      </c>
      <c r="J1040" s="11" t="s">
        <v>122</v>
      </c>
      <c r="K1040" s="11"/>
      <c r="L1040" s="11" t="s">
        <v>5383</v>
      </c>
      <c r="M1040" s="11" t="s">
        <v>183</v>
      </c>
      <c r="N1040" s="11"/>
      <c r="O1040" s="11"/>
      <c r="P1040" s="11" t="s">
        <v>102</v>
      </c>
      <c r="Q1040" s="12">
        <v>113.31902100000001</v>
      </c>
      <c r="R1040" s="13">
        <v>23.163868999999998</v>
      </c>
      <c r="S1040" s="11" t="s">
        <v>5379</v>
      </c>
      <c r="T1040" s="11"/>
      <c r="U1040" s="11" t="s">
        <v>104</v>
      </c>
      <c r="V1040" s="11" t="s">
        <v>105</v>
      </c>
      <c r="W1040" s="11" t="s">
        <v>106</v>
      </c>
      <c r="X1040" s="11"/>
      <c r="Y1040" s="11"/>
      <c r="Z1040" s="11"/>
      <c r="AA1040" s="12">
        <v>1039</v>
      </c>
      <c r="AB1040" s="12"/>
      <c r="AC1040" s="11" t="s">
        <v>2189</v>
      </c>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3"/>
      <c r="BA1040" s="13"/>
      <c r="BB1040" s="13"/>
      <c r="BC1040" s="13"/>
      <c r="BD1040" s="13"/>
    </row>
    <row r="1041" spans="1:56" ht="56" x14ac:dyDescent="0.25">
      <c r="A1041" s="11" t="s">
        <v>5384</v>
      </c>
      <c r="B1041" s="11" t="s">
        <v>5282</v>
      </c>
      <c r="C1041" s="11"/>
      <c r="D1041" s="11" t="s">
        <v>91</v>
      </c>
      <c r="E1041" s="11"/>
      <c r="F1041" s="11" t="s">
        <v>5385</v>
      </c>
      <c r="G1041" s="11" t="s">
        <v>5386</v>
      </c>
      <c r="H1041" s="11" t="s">
        <v>94</v>
      </c>
      <c r="I1041" s="11" t="s">
        <v>121</v>
      </c>
      <c r="J1041" s="11" t="s">
        <v>131</v>
      </c>
      <c r="K1041" s="11"/>
      <c r="L1041" s="11" t="s">
        <v>5387</v>
      </c>
      <c r="M1041" s="11"/>
      <c r="N1041" s="11"/>
      <c r="O1041" s="11"/>
      <c r="P1041" s="11" t="s">
        <v>102</v>
      </c>
      <c r="Q1041" s="12">
        <v>113.60159400000001</v>
      </c>
      <c r="R1041" s="13">
        <v>23.123104999999999</v>
      </c>
      <c r="S1041" s="11" t="s">
        <v>5384</v>
      </c>
      <c r="T1041" s="11"/>
      <c r="U1041" s="11" t="s">
        <v>104</v>
      </c>
      <c r="V1041" s="11" t="s">
        <v>105</v>
      </c>
      <c r="W1041" s="11" t="s">
        <v>106</v>
      </c>
      <c r="X1041" s="11"/>
      <c r="Y1041" s="11"/>
      <c r="Z1041" s="11"/>
      <c r="AA1041" s="12">
        <v>1040</v>
      </c>
      <c r="AB1041" s="12"/>
      <c r="AC1041" s="11" t="s">
        <v>2189</v>
      </c>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3"/>
      <c r="BA1041" s="13"/>
      <c r="BB1041" s="13"/>
      <c r="BC1041" s="13"/>
      <c r="BD1041" s="13"/>
    </row>
    <row r="1042" spans="1:56" ht="70" x14ac:dyDescent="0.25">
      <c r="A1042" s="11" t="s">
        <v>5388</v>
      </c>
      <c r="B1042" s="11" t="s">
        <v>5389</v>
      </c>
      <c r="C1042" s="11"/>
      <c r="D1042" s="11" t="s">
        <v>91</v>
      </c>
      <c r="E1042" s="11"/>
      <c r="F1042" s="11" t="s">
        <v>2684</v>
      </c>
      <c r="G1042" s="11" t="s">
        <v>5390</v>
      </c>
      <c r="H1042" s="11" t="s">
        <v>94</v>
      </c>
      <c r="I1042" s="11" t="s">
        <v>121</v>
      </c>
      <c r="J1042" s="11" t="s">
        <v>122</v>
      </c>
      <c r="K1042" s="11"/>
      <c r="L1042" s="11" t="s">
        <v>5391</v>
      </c>
      <c r="M1042" s="11" t="s">
        <v>183</v>
      </c>
      <c r="N1042" s="11"/>
      <c r="O1042" s="11"/>
      <c r="P1042" s="11" t="s">
        <v>102</v>
      </c>
      <c r="Q1042" s="12">
        <v>113.413839</v>
      </c>
      <c r="R1042" s="13">
        <v>23.167570999999999</v>
      </c>
      <c r="S1042" s="11" t="s">
        <v>5388</v>
      </c>
      <c r="T1042" s="11"/>
      <c r="U1042" s="11" t="s">
        <v>104</v>
      </c>
      <c r="V1042" s="11" t="s">
        <v>105</v>
      </c>
      <c r="W1042" s="11" t="s">
        <v>106</v>
      </c>
      <c r="X1042" s="11"/>
      <c r="Y1042" s="11"/>
      <c r="Z1042" s="11"/>
      <c r="AA1042" s="12">
        <v>1041</v>
      </c>
      <c r="AB1042" s="12"/>
      <c r="AC1042" s="11" t="s">
        <v>2189</v>
      </c>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row>
    <row r="1043" spans="1:56" ht="84" x14ac:dyDescent="0.25">
      <c r="A1043" s="11" t="s">
        <v>5392</v>
      </c>
      <c r="B1043" s="11" t="s">
        <v>5393</v>
      </c>
      <c r="C1043" s="11"/>
      <c r="D1043" s="11" t="s">
        <v>91</v>
      </c>
      <c r="E1043" s="11"/>
      <c r="F1043" s="11" t="s">
        <v>5394</v>
      </c>
      <c r="G1043" s="11" t="s">
        <v>5395</v>
      </c>
      <c r="H1043" s="11" t="s">
        <v>94</v>
      </c>
      <c r="I1043" s="11" t="s">
        <v>95</v>
      </c>
      <c r="J1043" s="11" t="s">
        <v>96</v>
      </c>
      <c r="K1043" s="11"/>
      <c r="L1043" s="11" t="s">
        <v>5396</v>
      </c>
      <c r="M1043" s="11" t="s">
        <v>183</v>
      </c>
      <c r="N1043" s="11"/>
      <c r="O1043" s="11"/>
      <c r="P1043" s="11" t="s">
        <v>102</v>
      </c>
      <c r="Q1043" s="12">
        <v>113.152975</v>
      </c>
      <c r="R1043" s="13">
        <v>23.008834</v>
      </c>
      <c r="S1043" s="11" t="s">
        <v>5392</v>
      </c>
      <c r="T1043" s="11"/>
      <c r="U1043" s="11" t="s">
        <v>104</v>
      </c>
      <c r="V1043" s="11" t="s">
        <v>105</v>
      </c>
      <c r="W1043" s="11" t="s">
        <v>106</v>
      </c>
      <c r="X1043" s="11"/>
      <c r="Y1043" s="11"/>
      <c r="Z1043" s="11"/>
      <c r="AA1043" s="12">
        <v>1042</v>
      </c>
      <c r="AB1043" s="12"/>
      <c r="AC1043" s="11" t="s">
        <v>2189</v>
      </c>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row>
    <row r="1044" spans="1:56" ht="56" x14ac:dyDescent="0.25">
      <c r="A1044" s="11" t="s">
        <v>5397</v>
      </c>
      <c r="B1044" s="11" t="s">
        <v>5398</v>
      </c>
      <c r="C1044" s="11"/>
      <c r="D1044" s="11" t="s">
        <v>91</v>
      </c>
      <c r="E1044" s="11"/>
      <c r="F1044" s="11" t="s">
        <v>5399</v>
      </c>
      <c r="G1044" s="11" t="s">
        <v>5400</v>
      </c>
      <c r="H1044" s="11" t="s">
        <v>94</v>
      </c>
      <c r="I1044" s="11" t="s">
        <v>95</v>
      </c>
      <c r="J1044" s="11" t="s">
        <v>749</v>
      </c>
      <c r="K1044" s="11"/>
      <c r="L1044" s="11" t="s">
        <v>5401</v>
      </c>
      <c r="M1044" s="11" t="s">
        <v>183</v>
      </c>
      <c r="N1044" s="11"/>
      <c r="O1044" s="11"/>
      <c r="P1044" s="11" t="s">
        <v>102</v>
      </c>
      <c r="Q1044" s="12">
        <v>113.21806100000001</v>
      </c>
      <c r="R1044" s="13">
        <v>22.925104000000001</v>
      </c>
      <c r="S1044" s="11" t="s">
        <v>5397</v>
      </c>
      <c r="T1044" s="11"/>
      <c r="U1044" s="11" t="s">
        <v>104</v>
      </c>
      <c r="V1044" s="11" t="s">
        <v>105</v>
      </c>
      <c r="W1044" s="11" t="s">
        <v>106</v>
      </c>
      <c r="X1044" s="11"/>
      <c r="Y1044" s="11"/>
      <c r="Z1044" s="11"/>
      <c r="AA1044" s="12">
        <v>1043</v>
      </c>
      <c r="AB1044" s="12"/>
      <c r="AC1044" s="11" t="s">
        <v>2189</v>
      </c>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row>
    <row r="1045" spans="1:56" ht="42" x14ac:dyDescent="0.25">
      <c r="A1045" s="11" t="s">
        <v>5402</v>
      </c>
      <c r="B1045" s="11" t="s">
        <v>5403</v>
      </c>
      <c r="C1045" s="11"/>
      <c r="D1045" s="11" t="s">
        <v>91</v>
      </c>
      <c r="E1045" s="11"/>
      <c r="F1045" s="11" t="s">
        <v>5404</v>
      </c>
      <c r="G1045" s="11" t="s">
        <v>5405</v>
      </c>
      <c r="H1045" s="11" t="s">
        <v>94</v>
      </c>
      <c r="I1045" s="11" t="s">
        <v>121</v>
      </c>
      <c r="J1045" s="11" t="s">
        <v>2285</v>
      </c>
      <c r="K1045" s="11"/>
      <c r="L1045" s="11" t="s">
        <v>5406</v>
      </c>
      <c r="M1045" s="11" t="s">
        <v>183</v>
      </c>
      <c r="N1045" s="11"/>
      <c r="O1045" s="11"/>
      <c r="P1045" s="11" t="s">
        <v>102</v>
      </c>
      <c r="Q1045" s="12">
        <v>113.28165</v>
      </c>
      <c r="R1045" s="13">
        <v>23.064343999999998</v>
      </c>
      <c r="S1045" s="11" t="s">
        <v>5402</v>
      </c>
      <c r="T1045" s="11"/>
      <c r="U1045" s="11" t="s">
        <v>104</v>
      </c>
      <c r="V1045" s="11" t="s">
        <v>105</v>
      </c>
      <c r="W1045" s="11" t="s">
        <v>106</v>
      </c>
      <c r="X1045" s="11"/>
      <c r="Y1045" s="11"/>
      <c r="Z1045" s="11"/>
      <c r="AA1045" s="12">
        <v>1044</v>
      </c>
      <c r="AB1045" s="12"/>
      <c r="AC1045" s="11" t="s">
        <v>2189</v>
      </c>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row>
    <row r="1046" spans="1:56" ht="56" x14ac:dyDescent="0.25">
      <c r="A1046" s="11" t="s">
        <v>5407</v>
      </c>
      <c r="B1046" s="11" t="s">
        <v>5408</v>
      </c>
      <c r="C1046" s="11"/>
      <c r="D1046" s="11" t="s">
        <v>91</v>
      </c>
      <c r="E1046" s="11"/>
      <c r="F1046" s="11" t="s">
        <v>5409</v>
      </c>
      <c r="G1046" s="11" t="s">
        <v>5410</v>
      </c>
      <c r="H1046" s="11" t="s">
        <v>94</v>
      </c>
      <c r="I1046" s="11" t="s">
        <v>2470</v>
      </c>
      <c r="J1046" s="11" t="s">
        <v>3417</v>
      </c>
      <c r="K1046" s="11"/>
      <c r="L1046" s="11" t="s">
        <v>5411</v>
      </c>
      <c r="M1046" s="11"/>
      <c r="N1046" s="11"/>
      <c r="O1046" s="11"/>
      <c r="P1046" s="11" t="s">
        <v>102</v>
      </c>
      <c r="Q1046" s="12">
        <v>112.497579</v>
      </c>
      <c r="R1046" s="13">
        <v>23.097294999999999</v>
      </c>
      <c r="S1046" s="11" t="s">
        <v>5407</v>
      </c>
      <c r="T1046" s="11"/>
      <c r="U1046" s="11" t="s">
        <v>104</v>
      </c>
      <c r="V1046" s="11" t="s">
        <v>105</v>
      </c>
      <c r="W1046" s="11" t="s">
        <v>106</v>
      </c>
      <c r="X1046" s="11"/>
      <c r="Y1046" s="11"/>
      <c r="Z1046" s="11"/>
      <c r="AA1046" s="12">
        <v>1045</v>
      </c>
      <c r="AB1046" s="12"/>
      <c r="AC1046" s="11" t="s">
        <v>2189</v>
      </c>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row>
    <row r="1047" spans="1:56" ht="56" x14ac:dyDescent="0.25">
      <c r="A1047" s="11" t="s">
        <v>5412</v>
      </c>
      <c r="B1047" s="11" t="s">
        <v>5413</v>
      </c>
      <c r="C1047" s="11"/>
      <c r="D1047" s="11" t="s">
        <v>91</v>
      </c>
      <c r="E1047" s="11"/>
      <c r="F1047" s="11" t="s">
        <v>5414</v>
      </c>
      <c r="G1047" s="11" t="s">
        <v>5415</v>
      </c>
      <c r="H1047" s="11" t="s">
        <v>94</v>
      </c>
      <c r="I1047" s="11" t="s">
        <v>121</v>
      </c>
      <c r="J1047" s="11" t="s">
        <v>971</v>
      </c>
      <c r="K1047" s="11"/>
      <c r="L1047" s="11" t="s">
        <v>5416</v>
      </c>
      <c r="M1047" s="11" t="s">
        <v>183</v>
      </c>
      <c r="N1047" s="11"/>
      <c r="O1047" s="11"/>
      <c r="P1047" s="11" t="s">
        <v>102</v>
      </c>
      <c r="Q1047" s="12">
        <v>113.303809</v>
      </c>
      <c r="R1047" s="13">
        <v>23.222301000000002</v>
      </c>
      <c r="S1047" s="11" t="s">
        <v>5412</v>
      </c>
      <c r="T1047" s="11"/>
      <c r="U1047" s="11" t="s">
        <v>104</v>
      </c>
      <c r="V1047" s="11" t="s">
        <v>105</v>
      </c>
      <c r="W1047" s="11" t="s">
        <v>106</v>
      </c>
      <c r="X1047" s="11"/>
      <c r="Y1047" s="11"/>
      <c r="Z1047" s="11"/>
      <c r="AA1047" s="12">
        <v>1046</v>
      </c>
      <c r="AB1047" s="12"/>
      <c r="AC1047" s="11" t="s">
        <v>2189</v>
      </c>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row>
    <row r="1048" spans="1:56" ht="56" x14ac:dyDescent="0.25">
      <c r="A1048" s="11" t="s">
        <v>5417</v>
      </c>
      <c r="B1048" s="11" t="s">
        <v>5418</v>
      </c>
      <c r="C1048" s="11"/>
      <c r="D1048" s="11" t="s">
        <v>91</v>
      </c>
      <c r="E1048" s="11"/>
      <c r="F1048" s="11" t="s">
        <v>5419</v>
      </c>
      <c r="G1048" s="11" t="s">
        <v>5420</v>
      </c>
      <c r="H1048" s="11" t="s">
        <v>94</v>
      </c>
      <c r="I1048" s="11" t="s">
        <v>95</v>
      </c>
      <c r="J1048" s="11" t="s">
        <v>749</v>
      </c>
      <c r="K1048" s="11"/>
      <c r="L1048" s="11" t="s">
        <v>5421</v>
      </c>
      <c r="M1048" s="11" t="s">
        <v>183</v>
      </c>
      <c r="N1048" s="11"/>
      <c r="O1048" s="11"/>
      <c r="P1048" s="11" t="s">
        <v>102</v>
      </c>
      <c r="Q1048" s="12">
        <v>113.10382799999999</v>
      </c>
      <c r="R1048" s="13">
        <v>22.95711</v>
      </c>
      <c r="S1048" s="11" t="s">
        <v>5417</v>
      </c>
      <c r="T1048" s="11"/>
      <c r="U1048" s="11" t="s">
        <v>104</v>
      </c>
      <c r="V1048" s="11" t="s">
        <v>105</v>
      </c>
      <c r="W1048" s="11" t="s">
        <v>106</v>
      </c>
      <c r="X1048" s="11"/>
      <c r="Y1048" s="11"/>
      <c r="Z1048" s="11"/>
      <c r="AA1048" s="12">
        <v>1047</v>
      </c>
      <c r="AB1048" s="12"/>
      <c r="AC1048" s="11" t="s">
        <v>2189</v>
      </c>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3"/>
      <c r="AZ1048" s="13"/>
      <c r="BA1048" s="13"/>
      <c r="BB1048" s="13"/>
      <c r="BC1048" s="13"/>
      <c r="BD1048" s="13"/>
    </row>
    <row r="1049" spans="1:56" ht="56" x14ac:dyDescent="0.25">
      <c r="A1049" s="11" t="s">
        <v>5422</v>
      </c>
      <c r="B1049" s="11" t="s">
        <v>5423</v>
      </c>
      <c r="C1049" s="11"/>
      <c r="D1049" s="11" t="s">
        <v>91</v>
      </c>
      <c r="E1049" s="11"/>
      <c r="F1049" s="11" t="s">
        <v>5424</v>
      </c>
      <c r="G1049" s="11" t="s">
        <v>5425</v>
      </c>
      <c r="H1049" s="11" t="s">
        <v>94</v>
      </c>
      <c r="I1049" s="11" t="s">
        <v>2470</v>
      </c>
      <c r="J1049" s="11" t="s">
        <v>3417</v>
      </c>
      <c r="K1049" s="11"/>
      <c r="L1049" s="11" t="s">
        <v>5426</v>
      </c>
      <c r="M1049" s="11"/>
      <c r="N1049" s="11"/>
      <c r="O1049" s="11"/>
      <c r="P1049" s="11" t="s">
        <v>102</v>
      </c>
      <c r="Q1049" s="12">
        <v>112.452077</v>
      </c>
      <c r="R1049" s="13">
        <v>23.055679000000001</v>
      </c>
      <c r="S1049" s="11" t="s">
        <v>5422</v>
      </c>
      <c r="T1049" s="11"/>
      <c r="U1049" s="11" t="s">
        <v>104</v>
      </c>
      <c r="V1049" s="11" t="s">
        <v>105</v>
      </c>
      <c r="W1049" s="11" t="s">
        <v>106</v>
      </c>
      <c r="X1049" s="11"/>
      <c r="Y1049" s="11"/>
      <c r="Z1049" s="11"/>
      <c r="AA1049" s="12">
        <v>1048</v>
      </c>
      <c r="AB1049" s="12"/>
      <c r="AC1049" s="11" t="s">
        <v>2189</v>
      </c>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3"/>
      <c r="BA1049" s="13"/>
      <c r="BB1049" s="13"/>
      <c r="BC1049" s="13"/>
      <c r="BD1049" s="13"/>
    </row>
    <row r="1050" spans="1:56" ht="70" x14ac:dyDescent="0.25">
      <c r="A1050" s="11" t="s">
        <v>5427</v>
      </c>
      <c r="B1050" s="11" t="s">
        <v>5428</v>
      </c>
      <c r="C1050" s="11"/>
      <c r="D1050" s="11" t="s">
        <v>91</v>
      </c>
      <c r="E1050" s="11"/>
      <c r="F1050" s="11" t="s">
        <v>5429</v>
      </c>
      <c r="G1050" s="11" t="s">
        <v>5430</v>
      </c>
      <c r="H1050" s="11" t="s">
        <v>94</v>
      </c>
      <c r="I1050" s="11" t="s">
        <v>95</v>
      </c>
      <c r="J1050" s="11" t="s">
        <v>749</v>
      </c>
      <c r="K1050" s="11"/>
      <c r="L1050" s="11" t="s">
        <v>5431</v>
      </c>
      <c r="M1050" s="11" t="s">
        <v>183</v>
      </c>
      <c r="N1050" s="11"/>
      <c r="O1050" s="11"/>
      <c r="P1050" s="11" t="s">
        <v>102</v>
      </c>
      <c r="Q1050" s="12">
        <v>113.258809</v>
      </c>
      <c r="R1050" s="13">
        <v>22.826076</v>
      </c>
      <c r="S1050" s="11" t="s">
        <v>5427</v>
      </c>
      <c r="T1050" s="11"/>
      <c r="U1050" s="11" t="s">
        <v>104</v>
      </c>
      <c r="V1050" s="11" t="s">
        <v>105</v>
      </c>
      <c r="W1050" s="11" t="s">
        <v>106</v>
      </c>
      <c r="X1050" s="11"/>
      <c r="Y1050" s="11"/>
      <c r="Z1050" s="11"/>
      <c r="AA1050" s="12">
        <v>1049</v>
      </c>
      <c r="AB1050" s="12"/>
      <c r="AC1050" s="11" t="s">
        <v>2189</v>
      </c>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3"/>
      <c r="AZ1050" s="13"/>
      <c r="BA1050" s="13"/>
      <c r="BB1050" s="13"/>
      <c r="BC1050" s="13"/>
      <c r="BD1050" s="13"/>
    </row>
    <row r="1051" spans="1:56" ht="56" x14ac:dyDescent="0.25">
      <c r="A1051" s="11" t="s">
        <v>5432</v>
      </c>
      <c r="B1051" s="11" t="s">
        <v>5433</v>
      </c>
      <c r="C1051" s="11"/>
      <c r="D1051" s="11" t="s">
        <v>91</v>
      </c>
      <c r="E1051" s="11"/>
      <c r="F1051" s="11" t="s">
        <v>5434</v>
      </c>
      <c r="G1051" s="11" t="s">
        <v>5435</v>
      </c>
      <c r="H1051" s="11" t="s">
        <v>94</v>
      </c>
      <c r="I1051" s="11" t="s">
        <v>121</v>
      </c>
      <c r="J1051" s="11" t="s">
        <v>737</v>
      </c>
      <c r="K1051" s="11"/>
      <c r="L1051" s="11" t="s">
        <v>5436</v>
      </c>
      <c r="M1051" s="11" t="s">
        <v>183</v>
      </c>
      <c r="N1051" s="11"/>
      <c r="O1051" s="11"/>
      <c r="P1051" s="11" t="s">
        <v>102</v>
      </c>
      <c r="Q1051" s="12">
        <v>113.33736</v>
      </c>
      <c r="R1051" s="13">
        <v>23.087064999999999</v>
      </c>
      <c r="S1051" s="11" t="s">
        <v>5432</v>
      </c>
      <c r="T1051" s="11"/>
      <c r="U1051" s="11" t="s">
        <v>104</v>
      </c>
      <c r="V1051" s="11" t="s">
        <v>105</v>
      </c>
      <c r="W1051" s="11" t="s">
        <v>106</v>
      </c>
      <c r="X1051" s="11"/>
      <c r="Y1051" s="11"/>
      <c r="Z1051" s="11"/>
      <c r="AA1051" s="12">
        <v>1050</v>
      </c>
      <c r="AB1051" s="12"/>
      <c r="AC1051" s="11" t="s">
        <v>2189</v>
      </c>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3"/>
      <c r="AY1051" s="13"/>
      <c r="AZ1051" s="13"/>
      <c r="BA1051" s="13"/>
      <c r="BB1051" s="13"/>
      <c r="BC1051" s="13"/>
      <c r="BD1051" s="13"/>
    </row>
    <row r="1052" spans="1:56" ht="56" x14ac:dyDescent="0.25">
      <c r="A1052" s="11" t="s">
        <v>5437</v>
      </c>
      <c r="B1052" s="11" t="s">
        <v>5438</v>
      </c>
      <c r="C1052" s="11"/>
      <c r="D1052" s="11" t="s">
        <v>91</v>
      </c>
      <c r="E1052" s="11"/>
      <c r="F1052" s="11" t="s">
        <v>5439</v>
      </c>
      <c r="G1052" s="11" t="s">
        <v>5440</v>
      </c>
      <c r="H1052" s="11" t="s">
        <v>94</v>
      </c>
      <c r="I1052" s="11" t="s">
        <v>2470</v>
      </c>
      <c r="J1052" s="11" t="s">
        <v>3360</v>
      </c>
      <c r="K1052" s="11"/>
      <c r="L1052" s="11" t="s">
        <v>5441</v>
      </c>
      <c r="M1052" s="11"/>
      <c r="N1052" s="11"/>
      <c r="O1052" s="11"/>
      <c r="P1052" s="11" t="s">
        <v>102</v>
      </c>
      <c r="Q1052" s="12">
        <v>112.717037</v>
      </c>
      <c r="R1052" s="13">
        <v>23.330335999999999</v>
      </c>
      <c r="S1052" s="11" t="s">
        <v>5437</v>
      </c>
      <c r="T1052" s="11"/>
      <c r="U1052" s="11" t="s">
        <v>104</v>
      </c>
      <c r="V1052" s="11" t="s">
        <v>105</v>
      </c>
      <c r="W1052" s="11" t="s">
        <v>106</v>
      </c>
      <c r="X1052" s="11"/>
      <c r="Y1052" s="11"/>
      <c r="Z1052" s="11"/>
      <c r="AA1052" s="12">
        <v>1051</v>
      </c>
      <c r="AB1052" s="12"/>
      <c r="AC1052" s="11" t="s">
        <v>2189</v>
      </c>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3"/>
      <c r="AY1052" s="13"/>
      <c r="AZ1052" s="13"/>
      <c r="BA1052" s="13"/>
      <c r="BB1052" s="13"/>
      <c r="BC1052" s="13"/>
      <c r="BD1052" s="13"/>
    </row>
    <row r="1053" spans="1:56" ht="56" x14ac:dyDescent="0.25">
      <c r="A1053" s="11" t="s">
        <v>5442</v>
      </c>
      <c r="B1053" s="11" t="s">
        <v>5443</v>
      </c>
      <c r="C1053" s="11"/>
      <c r="D1053" s="11" t="s">
        <v>91</v>
      </c>
      <c r="E1053" s="11"/>
      <c r="F1053" s="11" t="s">
        <v>5444</v>
      </c>
      <c r="G1053" s="11" t="s">
        <v>5445</v>
      </c>
      <c r="H1053" s="11" t="s">
        <v>94</v>
      </c>
      <c r="I1053" s="11" t="s">
        <v>121</v>
      </c>
      <c r="J1053" s="11" t="s">
        <v>2285</v>
      </c>
      <c r="K1053" s="11"/>
      <c r="L1053" s="11" t="s">
        <v>5446</v>
      </c>
      <c r="M1053" s="11" t="s">
        <v>183</v>
      </c>
      <c r="N1053" s="11"/>
      <c r="O1053" s="11"/>
      <c r="P1053" s="11" t="s">
        <v>102</v>
      </c>
      <c r="Q1053" s="12">
        <v>113.33736</v>
      </c>
      <c r="R1053" s="13">
        <v>23.087064999999999</v>
      </c>
      <c r="S1053" s="11" t="s">
        <v>5442</v>
      </c>
      <c r="T1053" s="11"/>
      <c r="U1053" s="11" t="s">
        <v>104</v>
      </c>
      <c r="V1053" s="11" t="s">
        <v>105</v>
      </c>
      <c r="W1053" s="11" t="s">
        <v>106</v>
      </c>
      <c r="X1053" s="11"/>
      <c r="Y1053" s="11"/>
      <c r="Z1053" s="11"/>
      <c r="AA1053" s="12">
        <v>1052</v>
      </c>
      <c r="AB1053" s="12"/>
      <c r="AC1053" s="11" t="s">
        <v>2189</v>
      </c>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3"/>
      <c r="AY1053" s="13"/>
      <c r="AZ1053" s="13"/>
      <c r="BA1053" s="13"/>
      <c r="BB1053" s="13"/>
      <c r="BC1053" s="13"/>
      <c r="BD1053" s="13"/>
    </row>
    <row r="1054" spans="1:56" ht="56" x14ac:dyDescent="0.25">
      <c r="A1054" s="11" t="s">
        <v>5447</v>
      </c>
      <c r="B1054" s="11" t="s">
        <v>5448</v>
      </c>
      <c r="C1054" s="11"/>
      <c r="D1054" s="11" t="s">
        <v>91</v>
      </c>
      <c r="E1054" s="11"/>
      <c r="F1054" s="11" t="s">
        <v>5449</v>
      </c>
      <c r="G1054" s="11" t="s">
        <v>5450</v>
      </c>
      <c r="H1054" s="11" t="s">
        <v>94</v>
      </c>
      <c r="I1054" s="11" t="s">
        <v>95</v>
      </c>
      <c r="J1054" s="11" t="s">
        <v>749</v>
      </c>
      <c r="K1054" s="11"/>
      <c r="L1054" s="11" t="s">
        <v>5451</v>
      </c>
      <c r="M1054" s="11" t="s">
        <v>183</v>
      </c>
      <c r="N1054" s="11"/>
      <c r="O1054" s="11"/>
      <c r="P1054" s="11" t="s">
        <v>102</v>
      </c>
      <c r="Q1054" s="12">
        <v>113.305594</v>
      </c>
      <c r="R1054" s="13">
        <v>22.799002999999999</v>
      </c>
      <c r="S1054" s="11" t="s">
        <v>5447</v>
      </c>
      <c r="T1054" s="11"/>
      <c r="U1054" s="11" t="s">
        <v>104</v>
      </c>
      <c r="V1054" s="11" t="s">
        <v>105</v>
      </c>
      <c r="W1054" s="11" t="s">
        <v>106</v>
      </c>
      <c r="X1054" s="11"/>
      <c r="Y1054" s="11"/>
      <c r="Z1054" s="11"/>
      <c r="AA1054" s="12">
        <v>1053</v>
      </c>
      <c r="AB1054" s="12"/>
      <c r="AC1054" s="11" t="s">
        <v>2189</v>
      </c>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3"/>
      <c r="AZ1054" s="13"/>
      <c r="BA1054" s="13"/>
      <c r="BB1054" s="13"/>
      <c r="BC1054" s="13"/>
      <c r="BD1054" s="13"/>
    </row>
    <row r="1055" spans="1:56" ht="56" x14ac:dyDescent="0.25">
      <c r="A1055" s="11" t="s">
        <v>5452</v>
      </c>
      <c r="B1055" s="11" t="s">
        <v>5453</v>
      </c>
      <c r="C1055" s="11"/>
      <c r="D1055" s="11" t="s">
        <v>91</v>
      </c>
      <c r="E1055" s="11"/>
      <c r="F1055" s="11" t="s">
        <v>5454</v>
      </c>
      <c r="G1055" s="11" t="s">
        <v>5455</v>
      </c>
      <c r="H1055" s="11" t="s">
        <v>94</v>
      </c>
      <c r="I1055" s="11" t="s">
        <v>95</v>
      </c>
      <c r="J1055" s="11" t="s">
        <v>749</v>
      </c>
      <c r="K1055" s="11"/>
      <c r="L1055" s="11" t="s">
        <v>5456</v>
      </c>
      <c r="M1055" s="11" t="s">
        <v>183</v>
      </c>
      <c r="N1055" s="11"/>
      <c r="O1055" s="11"/>
      <c r="P1055" s="11" t="s">
        <v>102</v>
      </c>
      <c r="Q1055" s="12">
        <v>113.224357</v>
      </c>
      <c r="R1055" s="13">
        <v>22.866071999999999</v>
      </c>
      <c r="S1055" s="11" t="s">
        <v>5452</v>
      </c>
      <c r="T1055" s="11"/>
      <c r="U1055" s="11" t="s">
        <v>104</v>
      </c>
      <c r="V1055" s="11" t="s">
        <v>105</v>
      </c>
      <c r="W1055" s="11" t="s">
        <v>106</v>
      </c>
      <c r="X1055" s="11"/>
      <c r="Y1055" s="11"/>
      <c r="Z1055" s="11"/>
      <c r="AA1055" s="12">
        <v>1054</v>
      </c>
      <c r="AB1055" s="12"/>
      <c r="AC1055" s="11" t="s">
        <v>2189</v>
      </c>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3"/>
      <c r="AY1055" s="13"/>
      <c r="AZ1055" s="13"/>
      <c r="BA1055" s="13"/>
      <c r="BB1055" s="13"/>
      <c r="BC1055" s="13"/>
      <c r="BD1055" s="13"/>
    </row>
    <row r="1056" spans="1:56" ht="70" x14ac:dyDescent="0.25">
      <c r="A1056" s="11" t="s">
        <v>5457</v>
      </c>
      <c r="B1056" s="11" t="s">
        <v>5458</v>
      </c>
      <c r="C1056" s="11"/>
      <c r="D1056" s="11" t="s">
        <v>91</v>
      </c>
      <c r="E1056" s="11"/>
      <c r="F1056" s="11" t="s">
        <v>5459</v>
      </c>
      <c r="G1056" s="11" t="s">
        <v>5460</v>
      </c>
      <c r="H1056" s="11" t="s">
        <v>94</v>
      </c>
      <c r="I1056" s="11" t="s">
        <v>343</v>
      </c>
      <c r="J1056" s="11" t="s">
        <v>344</v>
      </c>
      <c r="K1056" s="11"/>
      <c r="L1056" s="11" t="s">
        <v>5461</v>
      </c>
      <c r="M1056" s="11"/>
      <c r="N1056" s="11"/>
      <c r="O1056" s="11"/>
      <c r="P1056" s="11" t="s">
        <v>102</v>
      </c>
      <c r="Q1056" s="12">
        <v>113.524021</v>
      </c>
      <c r="R1056" s="13">
        <v>22.267565000000001</v>
      </c>
      <c r="S1056" s="11" t="s">
        <v>5457</v>
      </c>
      <c r="T1056" s="11"/>
      <c r="U1056" s="11" t="s">
        <v>104</v>
      </c>
      <c r="V1056" s="11" t="s">
        <v>105</v>
      </c>
      <c r="W1056" s="11" t="s">
        <v>106</v>
      </c>
      <c r="X1056" s="11"/>
      <c r="Y1056" s="11"/>
      <c r="Z1056" s="11"/>
      <c r="AA1056" s="12">
        <v>1055</v>
      </c>
      <c r="AB1056" s="12"/>
      <c r="AC1056" s="11" t="s">
        <v>2189</v>
      </c>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3"/>
      <c r="AZ1056" s="13"/>
      <c r="BA1056" s="13"/>
      <c r="BB1056" s="13"/>
      <c r="BC1056" s="13"/>
      <c r="BD1056" s="13"/>
    </row>
    <row r="1057" spans="1:56" ht="56" x14ac:dyDescent="0.25">
      <c r="A1057" s="11" t="s">
        <v>5462</v>
      </c>
      <c r="B1057" s="11" t="s">
        <v>5463</v>
      </c>
      <c r="C1057" s="11"/>
      <c r="D1057" s="11" t="s">
        <v>91</v>
      </c>
      <c r="E1057" s="11"/>
      <c r="F1057" s="11" t="s">
        <v>5464</v>
      </c>
      <c r="G1057" s="11" t="s">
        <v>5465</v>
      </c>
      <c r="H1057" s="11" t="s">
        <v>94</v>
      </c>
      <c r="I1057" s="11" t="s">
        <v>343</v>
      </c>
      <c r="J1057" s="11" t="s">
        <v>344</v>
      </c>
      <c r="K1057" s="11"/>
      <c r="L1057" s="11" t="s">
        <v>5466</v>
      </c>
      <c r="M1057" s="11"/>
      <c r="N1057" s="11"/>
      <c r="O1057" s="11"/>
      <c r="P1057" s="11" t="s">
        <v>102</v>
      </c>
      <c r="Q1057" s="12">
        <v>113.532866</v>
      </c>
      <c r="R1057" s="13">
        <v>22.138234000000001</v>
      </c>
      <c r="S1057" s="11" t="s">
        <v>5462</v>
      </c>
      <c r="T1057" s="11"/>
      <c r="U1057" s="11" t="s">
        <v>104</v>
      </c>
      <c r="V1057" s="11" t="s">
        <v>105</v>
      </c>
      <c r="W1057" s="11" t="s">
        <v>106</v>
      </c>
      <c r="X1057" s="11"/>
      <c r="Y1057" s="11"/>
      <c r="Z1057" s="11"/>
      <c r="AA1057" s="12">
        <v>1056</v>
      </c>
      <c r="AB1057" s="12"/>
      <c r="AC1057" s="11" t="s">
        <v>2189</v>
      </c>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3"/>
      <c r="BA1057" s="13"/>
      <c r="BB1057" s="13"/>
      <c r="BC1057" s="13"/>
      <c r="BD1057" s="13"/>
    </row>
    <row r="1058" spans="1:56" ht="56" x14ac:dyDescent="0.25">
      <c r="A1058" s="11" t="s">
        <v>5467</v>
      </c>
      <c r="B1058" s="11" t="s">
        <v>5468</v>
      </c>
      <c r="C1058" s="11"/>
      <c r="D1058" s="11" t="s">
        <v>91</v>
      </c>
      <c r="E1058" s="11"/>
      <c r="F1058" s="11" t="s">
        <v>2777</v>
      </c>
      <c r="G1058" s="11" t="s">
        <v>2778</v>
      </c>
      <c r="H1058" s="11" t="s">
        <v>94</v>
      </c>
      <c r="I1058" s="11" t="s">
        <v>343</v>
      </c>
      <c r="J1058" s="11" t="s">
        <v>344</v>
      </c>
      <c r="K1058" s="11"/>
      <c r="L1058" s="11" t="s">
        <v>5469</v>
      </c>
      <c r="M1058" s="11" t="s">
        <v>183</v>
      </c>
      <c r="N1058" s="11"/>
      <c r="O1058" s="11"/>
      <c r="P1058" s="11" t="s">
        <v>102</v>
      </c>
      <c r="Q1058" s="12">
        <v>113.571636</v>
      </c>
      <c r="R1058" s="13">
        <v>22.280362</v>
      </c>
      <c r="S1058" s="11" t="s">
        <v>5467</v>
      </c>
      <c r="T1058" s="11"/>
      <c r="U1058" s="11" t="s">
        <v>104</v>
      </c>
      <c r="V1058" s="11" t="s">
        <v>105</v>
      </c>
      <c r="W1058" s="11" t="s">
        <v>106</v>
      </c>
      <c r="X1058" s="11"/>
      <c r="Y1058" s="11"/>
      <c r="Z1058" s="11"/>
      <c r="AA1058" s="12">
        <v>1057</v>
      </c>
      <c r="AB1058" s="12"/>
      <c r="AC1058" s="11" t="s">
        <v>2189</v>
      </c>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3"/>
      <c r="AY1058" s="13"/>
      <c r="AZ1058" s="13"/>
      <c r="BA1058" s="13"/>
      <c r="BB1058" s="13"/>
      <c r="BC1058" s="13"/>
      <c r="BD1058" s="13"/>
    </row>
    <row r="1059" spans="1:56" ht="56" x14ac:dyDescent="0.25">
      <c r="A1059" s="11" t="s">
        <v>5470</v>
      </c>
      <c r="B1059" s="11" t="s">
        <v>5471</v>
      </c>
      <c r="C1059" s="11"/>
      <c r="D1059" s="11" t="s">
        <v>91</v>
      </c>
      <c r="E1059" s="11"/>
      <c r="F1059" s="11" t="s">
        <v>5273</v>
      </c>
      <c r="G1059" s="11" t="s">
        <v>5200</v>
      </c>
      <c r="H1059" s="11" t="s">
        <v>94</v>
      </c>
      <c r="I1059" s="11" t="s">
        <v>121</v>
      </c>
      <c r="J1059" s="11" t="s">
        <v>122</v>
      </c>
      <c r="K1059" s="11"/>
      <c r="L1059" s="11" t="s">
        <v>5472</v>
      </c>
      <c r="M1059" s="11" t="s">
        <v>183</v>
      </c>
      <c r="N1059" s="11"/>
      <c r="O1059" s="11"/>
      <c r="P1059" s="11" t="s">
        <v>102</v>
      </c>
      <c r="Q1059" s="12">
        <v>113.42402199999999</v>
      </c>
      <c r="R1059" s="13">
        <v>23.124541000000001</v>
      </c>
      <c r="S1059" s="11" t="s">
        <v>5470</v>
      </c>
      <c r="T1059" s="11"/>
      <c r="U1059" s="11" t="s">
        <v>104</v>
      </c>
      <c r="V1059" s="11" t="s">
        <v>105</v>
      </c>
      <c r="W1059" s="11" t="s">
        <v>106</v>
      </c>
      <c r="X1059" s="11"/>
      <c r="Y1059" s="11"/>
      <c r="Z1059" s="11"/>
      <c r="AA1059" s="12">
        <v>1058</v>
      </c>
      <c r="AB1059" s="12"/>
      <c r="AC1059" s="11" t="s">
        <v>2189</v>
      </c>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3"/>
      <c r="AZ1059" s="13"/>
      <c r="BA1059" s="13"/>
      <c r="BB1059" s="13"/>
      <c r="BC1059" s="13"/>
      <c r="BD1059" s="13"/>
    </row>
    <row r="1060" spans="1:56" ht="56" x14ac:dyDescent="0.25">
      <c r="A1060" s="11" t="s">
        <v>5473</v>
      </c>
      <c r="B1060" s="11" t="s">
        <v>5474</v>
      </c>
      <c r="C1060" s="11"/>
      <c r="D1060" s="11" t="s">
        <v>91</v>
      </c>
      <c r="E1060" s="11"/>
      <c r="F1060" s="11" t="s">
        <v>5475</v>
      </c>
      <c r="G1060" s="11" t="s">
        <v>5476</v>
      </c>
      <c r="H1060" s="11" t="s">
        <v>94</v>
      </c>
      <c r="I1060" s="11" t="s">
        <v>95</v>
      </c>
      <c r="J1060" s="11" t="s">
        <v>96</v>
      </c>
      <c r="K1060" s="11"/>
      <c r="L1060" s="11" t="s">
        <v>5477</v>
      </c>
      <c r="M1060" s="11" t="s">
        <v>183</v>
      </c>
      <c r="N1060" s="11"/>
      <c r="O1060" s="11"/>
      <c r="P1060" s="11" t="s">
        <v>102</v>
      </c>
      <c r="Q1060" s="12">
        <v>113.122263</v>
      </c>
      <c r="R1060" s="13">
        <v>23.109314000000001</v>
      </c>
      <c r="S1060" s="11" t="s">
        <v>5473</v>
      </c>
      <c r="T1060" s="11"/>
      <c r="U1060" s="11" t="s">
        <v>104</v>
      </c>
      <c r="V1060" s="11" t="s">
        <v>105</v>
      </c>
      <c r="W1060" s="11" t="s">
        <v>106</v>
      </c>
      <c r="X1060" s="11"/>
      <c r="Y1060" s="11"/>
      <c r="Z1060" s="11"/>
      <c r="AA1060" s="12">
        <v>1059</v>
      </c>
      <c r="AB1060" s="12"/>
      <c r="AC1060" s="11" t="s">
        <v>2189</v>
      </c>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c r="AY1060" s="13"/>
      <c r="AZ1060" s="13"/>
      <c r="BA1060" s="13"/>
      <c r="BB1060" s="13"/>
      <c r="BC1060" s="13"/>
      <c r="BD1060" s="13"/>
    </row>
    <row r="1061" spans="1:56" ht="56" x14ac:dyDescent="0.25">
      <c r="A1061" s="11" t="s">
        <v>5478</v>
      </c>
      <c r="B1061" s="11" t="s">
        <v>5479</v>
      </c>
      <c r="C1061" s="11"/>
      <c r="D1061" s="11" t="s">
        <v>91</v>
      </c>
      <c r="E1061" s="11"/>
      <c r="F1061" s="11" t="s">
        <v>5480</v>
      </c>
      <c r="G1061" s="11" t="s">
        <v>5481</v>
      </c>
      <c r="H1061" s="11" t="s">
        <v>94</v>
      </c>
      <c r="I1061" s="11" t="s">
        <v>2470</v>
      </c>
      <c r="J1061" s="11" t="s">
        <v>3417</v>
      </c>
      <c r="K1061" s="11"/>
      <c r="L1061" s="11" t="s">
        <v>5482</v>
      </c>
      <c r="M1061" s="11"/>
      <c r="N1061" s="11"/>
      <c r="O1061" s="11"/>
      <c r="P1061" s="11" t="s">
        <v>102</v>
      </c>
      <c r="Q1061" s="12">
        <v>112.42874500000001</v>
      </c>
      <c r="R1061" s="13">
        <v>23.06992</v>
      </c>
      <c r="S1061" s="11" t="s">
        <v>5478</v>
      </c>
      <c r="T1061" s="11"/>
      <c r="U1061" s="11" t="s">
        <v>104</v>
      </c>
      <c r="V1061" s="11" t="s">
        <v>105</v>
      </c>
      <c r="W1061" s="11" t="s">
        <v>106</v>
      </c>
      <c r="X1061" s="11"/>
      <c r="Y1061" s="11"/>
      <c r="Z1061" s="11"/>
      <c r="AA1061" s="12">
        <v>1060</v>
      </c>
      <c r="AB1061" s="12"/>
      <c r="AC1061" s="11" t="s">
        <v>2189</v>
      </c>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3"/>
      <c r="AZ1061" s="13"/>
      <c r="BA1061" s="13"/>
      <c r="BB1061" s="13"/>
      <c r="BC1061" s="13"/>
      <c r="BD1061" s="13"/>
    </row>
    <row r="1062" spans="1:56" ht="42" x14ac:dyDescent="0.25">
      <c r="A1062" s="11" t="s">
        <v>5483</v>
      </c>
      <c r="B1062" s="11" t="s">
        <v>5484</v>
      </c>
      <c r="C1062" s="11"/>
      <c r="D1062" s="11" t="s">
        <v>91</v>
      </c>
      <c r="E1062" s="11"/>
      <c r="F1062" s="11" t="s">
        <v>5485</v>
      </c>
      <c r="G1062" s="11" t="s">
        <v>5486</v>
      </c>
      <c r="H1062" s="11" t="s">
        <v>94</v>
      </c>
      <c r="I1062" s="11" t="s">
        <v>121</v>
      </c>
      <c r="J1062" s="11" t="s">
        <v>131</v>
      </c>
      <c r="K1062" s="11"/>
      <c r="L1062" s="11" t="s">
        <v>5487</v>
      </c>
      <c r="M1062" s="11"/>
      <c r="N1062" s="11"/>
      <c r="O1062" s="11"/>
      <c r="P1062" s="11" t="s">
        <v>102</v>
      </c>
      <c r="Q1062" s="12">
        <v>113.809279</v>
      </c>
      <c r="R1062" s="13">
        <v>23.294895</v>
      </c>
      <c r="S1062" s="11" t="s">
        <v>5483</v>
      </c>
      <c r="T1062" s="11"/>
      <c r="U1062" s="11" t="s">
        <v>104</v>
      </c>
      <c r="V1062" s="11" t="s">
        <v>105</v>
      </c>
      <c r="W1062" s="11" t="s">
        <v>106</v>
      </c>
      <c r="X1062" s="11"/>
      <c r="Y1062" s="11"/>
      <c r="Z1062" s="11"/>
      <c r="AA1062" s="12">
        <v>1061</v>
      </c>
      <c r="AB1062" s="12"/>
      <c r="AC1062" s="11" t="s">
        <v>2189</v>
      </c>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3"/>
      <c r="AY1062" s="13"/>
      <c r="AZ1062" s="13"/>
      <c r="BA1062" s="13"/>
      <c r="BB1062" s="13"/>
      <c r="BC1062" s="13"/>
      <c r="BD1062" s="13"/>
    </row>
    <row r="1063" spans="1:56" ht="42" x14ac:dyDescent="0.25">
      <c r="A1063" s="11" t="s">
        <v>5488</v>
      </c>
      <c r="B1063" s="11" t="s">
        <v>5489</v>
      </c>
      <c r="C1063" s="11"/>
      <c r="D1063" s="11" t="s">
        <v>91</v>
      </c>
      <c r="E1063" s="11"/>
      <c r="F1063" s="11" t="s">
        <v>5490</v>
      </c>
      <c r="G1063" s="11" t="s">
        <v>5491</v>
      </c>
      <c r="H1063" s="11" t="s">
        <v>94</v>
      </c>
      <c r="I1063" s="11" t="s">
        <v>121</v>
      </c>
      <c r="J1063" s="11" t="s">
        <v>971</v>
      </c>
      <c r="K1063" s="11"/>
      <c r="L1063" s="11" t="s">
        <v>5492</v>
      </c>
      <c r="M1063" s="11" t="s">
        <v>183</v>
      </c>
      <c r="N1063" s="11"/>
      <c r="O1063" s="11"/>
      <c r="P1063" s="11" t="s">
        <v>102</v>
      </c>
      <c r="Q1063" s="12">
        <v>113.277773</v>
      </c>
      <c r="R1063" s="13">
        <v>23.215316000000001</v>
      </c>
      <c r="S1063" s="11" t="s">
        <v>5488</v>
      </c>
      <c r="T1063" s="11"/>
      <c r="U1063" s="11" t="s">
        <v>104</v>
      </c>
      <c r="V1063" s="11" t="s">
        <v>105</v>
      </c>
      <c r="W1063" s="11" t="s">
        <v>106</v>
      </c>
      <c r="X1063" s="11"/>
      <c r="Y1063" s="11"/>
      <c r="Z1063" s="11"/>
      <c r="AA1063" s="12">
        <v>1062</v>
      </c>
      <c r="AB1063" s="12"/>
      <c r="AC1063" s="11" t="s">
        <v>2189</v>
      </c>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3"/>
      <c r="AY1063" s="13"/>
      <c r="AZ1063" s="13"/>
      <c r="BA1063" s="13"/>
      <c r="BB1063" s="13"/>
      <c r="BC1063" s="13"/>
      <c r="BD1063" s="13"/>
    </row>
    <row r="1064" spans="1:56" ht="56" x14ac:dyDescent="0.25">
      <c r="A1064" s="11" t="s">
        <v>5493</v>
      </c>
      <c r="B1064" s="11" t="s">
        <v>5494</v>
      </c>
      <c r="C1064" s="11"/>
      <c r="D1064" s="11" t="s">
        <v>91</v>
      </c>
      <c r="E1064" s="11"/>
      <c r="F1064" s="11" t="s">
        <v>5495</v>
      </c>
      <c r="G1064" s="11" t="s">
        <v>5496</v>
      </c>
      <c r="H1064" s="11" t="s">
        <v>94</v>
      </c>
      <c r="I1064" s="11" t="s">
        <v>121</v>
      </c>
      <c r="J1064" s="11" t="s">
        <v>971</v>
      </c>
      <c r="K1064" s="11"/>
      <c r="L1064" s="11" t="s">
        <v>5497</v>
      </c>
      <c r="M1064" s="11" t="s">
        <v>183</v>
      </c>
      <c r="N1064" s="11"/>
      <c r="O1064" s="11"/>
      <c r="P1064" s="11" t="s">
        <v>102</v>
      </c>
      <c r="Q1064" s="12">
        <v>113.29481800000001</v>
      </c>
      <c r="R1064" s="13">
        <v>23.341702000000002</v>
      </c>
      <c r="S1064" s="11" t="s">
        <v>5493</v>
      </c>
      <c r="T1064" s="11"/>
      <c r="U1064" s="11" t="s">
        <v>104</v>
      </c>
      <c r="V1064" s="11" t="s">
        <v>105</v>
      </c>
      <c r="W1064" s="11" t="s">
        <v>106</v>
      </c>
      <c r="X1064" s="11"/>
      <c r="Y1064" s="11"/>
      <c r="Z1064" s="11"/>
      <c r="AA1064" s="12">
        <v>1063</v>
      </c>
      <c r="AB1064" s="12"/>
      <c r="AC1064" s="11" t="s">
        <v>2189</v>
      </c>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3"/>
      <c r="AY1064" s="13"/>
      <c r="AZ1064" s="13"/>
      <c r="BA1064" s="13"/>
      <c r="BB1064" s="13"/>
      <c r="BC1064" s="13"/>
      <c r="BD1064" s="13"/>
    </row>
    <row r="1065" spans="1:56" ht="56" x14ac:dyDescent="0.25">
      <c r="A1065" s="11" t="s">
        <v>5498</v>
      </c>
      <c r="B1065" s="11" t="s">
        <v>5499</v>
      </c>
      <c r="C1065" s="11"/>
      <c r="D1065" s="11" t="s">
        <v>91</v>
      </c>
      <c r="E1065" s="11"/>
      <c r="F1065" s="11" t="s">
        <v>5500</v>
      </c>
      <c r="G1065" s="11" t="s">
        <v>5501</v>
      </c>
      <c r="H1065" s="11" t="s">
        <v>94</v>
      </c>
      <c r="I1065" s="11" t="s">
        <v>121</v>
      </c>
      <c r="J1065" s="11" t="s">
        <v>2343</v>
      </c>
      <c r="K1065" s="11"/>
      <c r="L1065" s="11" t="s">
        <v>5502</v>
      </c>
      <c r="M1065" s="11" t="s">
        <v>183</v>
      </c>
      <c r="N1065" s="11"/>
      <c r="O1065" s="11"/>
      <c r="P1065" s="11" t="s">
        <v>102</v>
      </c>
      <c r="Q1065" s="12">
        <v>113.59743899999999</v>
      </c>
      <c r="R1065" s="13">
        <v>23.537877999999999</v>
      </c>
      <c r="S1065" s="11" t="s">
        <v>5498</v>
      </c>
      <c r="T1065" s="11"/>
      <c r="U1065" s="11" t="s">
        <v>104</v>
      </c>
      <c r="V1065" s="11" t="s">
        <v>105</v>
      </c>
      <c r="W1065" s="11" t="s">
        <v>106</v>
      </c>
      <c r="X1065" s="11"/>
      <c r="Y1065" s="11"/>
      <c r="Z1065" s="11"/>
      <c r="AA1065" s="12">
        <v>1064</v>
      </c>
      <c r="AB1065" s="12"/>
      <c r="AC1065" s="11" t="s">
        <v>2189</v>
      </c>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3"/>
      <c r="AY1065" s="13"/>
      <c r="AZ1065" s="13"/>
      <c r="BA1065" s="13"/>
      <c r="BB1065" s="13"/>
      <c r="BC1065" s="13"/>
      <c r="BD1065" s="13"/>
    </row>
    <row r="1066" spans="1:56" ht="42" x14ac:dyDescent="0.25">
      <c r="A1066" s="11" t="s">
        <v>5503</v>
      </c>
      <c r="B1066" s="11" t="s">
        <v>5504</v>
      </c>
      <c r="C1066" s="11"/>
      <c r="D1066" s="11" t="s">
        <v>91</v>
      </c>
      <c r="E1066" s="11"/>
      <c r="F1066" s="11" t="s">
        <v>5505</v>
      </c>
      <c r="G1066" s="11" t="s">
        <v>5486</v>
      </c>
      <c r="H1066" s="11" t="s">
        <v>94</v>
      </c>
      <c r="I1066" s="11" t="s">
        <v>121</v>
      </c>
      <c r="J1066" s="11" t="s">
        <v>131</v>
      </c>
      <c r="K1066" s="11"/>
      <c r="L1066" s="11" t="s">
        <v>5506</v>
      </c>
      <c r="M1066" s="11"/>
      <c r="N1066" s="11"/>
      <c r="O1066" s="11"/>
      <c r="P1066" s="11" t="s">
        <v>102</v>
      </c>
      <c r="Q1066" s="12">
        <v>113.821889</v>
      </c>
      <c r="R1066" s="13">
        <v>23.281974000000002</v>
      </c>
      <c r="S1066" s="11" t="s">
        <v>5503</v>
      </c>
      <c r="T1066" s="11"/>
      <c r="U1066" s="11" t="s">
        <v>104</v>
      </c>
      <c r="V1066" s="11" t="s">
        <v>105</v>
      </c>
      <c r="W1066" s="11" t="s">
        <v>106</v>
      </c>
      <c r="X1066" s="11"/>
      <c r="Y1066" s="11"/>
      <c r="Z1066" s="11"/>
      <c r="AA1066" s="12">
        <v>1065</v>
      </c>
      <c r="AB1066" s="12"/>
      <c r="AC1066" s="11" t="s">
        <v>2189</v>
      </c>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3"/>
      <c r="AY1066" s="13"/>
      <c r="AZ1066" s="13"/>
      <c r="BA1066" s="13"/>
      <c r="BB1066" s="13"/>
      <c r="BC1066" s="13"/>
      <c r="BD1066" s="13"/>
    </row>
    <row r="1067" spans="1:56" ht="42" x14ac:dyDescent="0.25">
      <c r="A1067" s="11" t="s">
        <v>5507</v>
      </c>
      <c r="B1067" s="11" t="s">
        <v>5508</v>
      </c>
      <c r="C1067" s="11"/>
      <c r="D1067" s="11" t="s">
        <v>91</v>
      </c>
      <c r="E1067" s="11"/>
      <c r="F1067" s="11" t="s">
        <v>5509</v>
      </c>
      <c r="G1067" s="11" t="s">
        <v>5510</v>
      </c>
      <c r="H1067" s="11" t="s">
        <v>94</v>
      </c>
      <c r="I1067" s="11" t="s">
        <v>722</v>
      </c>
      <c r="J1067" s="11" t="s">
        <v>3428</v>
      </c>
      <c r="K1067" s="11"/>
      <c r="L1067" s="11" t="s">
        <v>5511</v>
      </c>
      <c r="M1067" s="11"/>
      <c r="N1067" s="11"/>
      <c r="O1067" s="11"/>
      <c r="P1067" s="11" t="s">
        <v>102</v>
      </c>
      <c r="Q1067" s="12">
        <v>113.539884</v>
      </c>
      <c r="R1067" s="13">
        <v>24.759302000000002</v>
      </c>
      <c r="S1067" s="11" t="s">
        <v>5507</v>
      </c>
      <c r="T1067" s="11"/>
      <c r="U1067" s="11" t="s">
        <v>104</v>
      </c>
      <c r="V1067" s="11" t="s">
        <v>105</v>
      </c>
      <c r="W1067" s="11" t="s">
        <v>106</v>
      </c>
      <c r="X1067" s="11"/>
      <c r="Y1067" s="11"/>
      <c r="Z1067" s="11"/>
      <c r="AA1067" s="12">
        <v>1066</v>
      </c>
      <c r="AB1067" s="12"/>
      <c r="AC1067" s="11" t="s">
        <v>2189</v>
      </c>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3"/>
      <c r="AY1067" s="13"/>
      <c r="AZ1067" s="13"/>
      <c r="BA1067" s="13"/>
      <c r="BB1067" s="13"/>
      <c r="BC1067" s="13"/>
      <c r="BD1067" s="13"/>
    </row>
    <row r="1068" spans="1:56" ht="42" x14ac:dyDescent="0.25">
      <c r="A1068" s="11" t="s">
        <v>5512</v>
      </c>
      <c r="B1068" s="11" t="s">
        <v>5513</v>
      </c>
      <c r="C1068" s="11"/>
      <c r="D1068" s="11" t="s">
        <v>91</v>
      </c>
      <c r="E1068" s="11"/>
      <c r="F1068" s="11" t="s">
        <v>5514</v>
      </c>
      <c r="G1068" s="11" t="s">
        <v>5515</v>
      </c>
      <c r="H1068" s="11" t="s">
        <v>94</v>
      </c>
      <c r="I1068" s="11" t="s">
        <v>95</v>
      </c>
      <c r="J1068" s="11" t="s">
        <v>96</v>
      </c>
      <c r="K1068" s="11"/>
      <c r="L1068" s="11" t="s">
        <v>5516</v>
      </c>
      <c r="M1068" s="11" t="s">
        <v>183</v>
      </c>
      <c r="N1068" s="11"/>
      <c r="O1068" s="11"/>
      <c r="P1068" s="11" t="s">
        <v>102</v>
      </c>
      <c r="Q1068" s="12">
        <v>113.04414199999999</v>
      </c>
      <c r="R1068" s="13">
        <v>23.054113000000001</v>
      </c>
      <c r="S1068" s="11" t="s">
        <v>5512</v>
      </c>
      <c r="T1068" s="11"/>
      <c r="U1068" s="11" t="s">
        <v>104</v>
      </c>
      <c r="V1068" s="11" t="s">
        <v>105</v>
      </c>
      <c r="W1068" s="11" t="s">
        <v>106</v>
      </c>
      <c r="X1068" s="11"/>
      <c r="Y1068" s="11"/>
      <c r="Z1068" s="11"/>
      <c r="AA1068" s="12">
        <v>1067</v>
      </c>
      <c r="AB1068" s="12"/>
      <c r="AC1068" s="11" t="s">
        <v>2189</v>
      </c>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3"/>
      <c r="AY1068" s="13"/>
      <c r="AZ1068" s="13"/>
      <c r="BA1068" s="13"/>
      <c r="BB1068" s="13"/>
      <c r="BC1068" s="13"/>
      <c r="BD1068" s="13"/>
    </row>
    <row r="1069" spans="1:56" ht="42" x14ac:dyDescent="0.25">
      <c r="A1069" s="11" t="s">
        <v>5517</v>
      </c>
      <c r="B1069" s="11" t="s">
        <v>5518</v>
      </c>
      <c r="C1069" s="11"/>
      <c r="D1069" s="11" t="s">
        <v>91</v>
      </c>
      <c r="E1069" s="11"/>
      <c r="F1069" s="11" t="s">
        <v>5278</v>
      </c>
      <c r="G1069" s="11" t="s">
        <v>5519</v>
      </c>
      <c r="H1069" s="11" t="s">
        <v>94</v>
      </c>
      <c r="I1069" s="11" t="s">
        <v>121</v>
      </c>
      <c r="J1069" s="11" t="s">
        <v>2285</v>
      </c>
      <c r="K1069" s="11"/>
      <c r="L1069" s="11" t="s">
        <v>5520</v>
      </c>
      <c r="M1069" s="11" t="s">
        <v>183</v>
      </c>
      <c r="N1069" s="11"/>
      <c r="O1069" s="11"/>
      <c r="P1069" s="11" t="s">
        <v>102</v>
      </c>
      <c r="Q1069" s="12">
        <v>113.259444</v>
      </c>
      <c r="R1069" s="13">
        <v>23.103242999999999</v>
      </c>
      <c r="S1069" s="11" t="s">
        <v>5517</v>
      </c>
      <c r="T1069" s="11"/>
      <c r="U1069" s="11" t="s">
        <v>104</v>
      </c>
      <c r="V1069" s="11" t="s">
        <v>105</v>
      </c>
      <c r="W1069" s="11" t="s">
        <v>106</v>
      </c>
      <c r="X1069" s="11"/>
      <c r="Y1069" s="11"/>
      <c r="Z1069" s="11"/>
      <c r="AA1069" s="12">
        <v>1068</v>
      </c>
      <c r="AB1069" s="12"/>
      <c r="AC1069" s="11" t="s">
        <v>2189</v>
      </c>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3"/>
      <c r="AY1069" s="13"/>
      <c r="AZ1069" s="13"/>
      <c r="BA1069" s="13"/>
      <c r="BB1069" s="13"/>
      <c r="BC1069" s="13"/>
      <c r="BD1069" s="13"/>
    </row>
    <row r="1070" spans="1:56" ht="42" x14ac:dyDescent="0.25">
      <c r="A1070" s="11" t="s">
        <v>5521</v>
      </c>
      <c r="B1070" s="11" t="s">
        <v>5522</v>
      </c>
      <c r="C1070" s="11"/>
      <c r="D1070" s="11" t="s">
        <v>91</v>
      </c>
      <c r="E1070" s="11"/>
      <c r="F1070" s="11" t="s">
        <v>5505</v>
      </c>
      <c r="G1070" s="11" t="s">
        <v>5486</v>
      </c>
      <c r="H1070" s="11" t="s">
        <v>94</v>
      </c>
      <c r="I1070" s="11" t="s">
        <v>121</v>
      </c>
      <c r="J1070" s="11" t="s">
        <v>131</v>
      </c>
      <c r="K1070" s="11"/>
      <c r="L1070" s="11" t="s">
        <v>5523</v>
      </c>
      <c r="M1070" s="11" t="s">
        <v>183</v>
      </c>
      <c r="N1070" s="11"/>
      <c r="O1070" s="11"/>
      <c r="P1070" s="11" t="s">
        <v>102</v>
      </c>
      <c r="Q1070" s="12">
        <v>113.809279</v>
      </c>
      <c r="R1070" s="13">
        <v>23.294895</v>
      </c>
      <c r="S1070" s="11" t="s">
        <v>5521</v>
      </c>
      <c r="T1070" s="11"/>
      <c r="U1070" s="11" t="s">
        <v>104</v>
      </c>
      <c r="V1070" s="11" t="s">
        <v>105</v>
      </c>
      <c r="W1070" s="11" t="s">
        <v>106</v>
      </c>
      <c r="X1070" s="11"/>
      <c r="Y1070" s="11"/>
      <c r="Z1070" s="11"/>
      <c r="AA1070" s="12">
        <v>1069</v>
      </c>
      <c r="AB1070" s="12"/>
      <c r="AC1070" s="11" t="s">
        <v>2189</v>
      </c>
      <c r="AD1070" s="13"/>
      <c r="AE1070" s="13"/>
      <c r="AF1070" s="13"/>
      <c r="AG1070" s="13"/>
      <c r="AH1070" s="13"/>
      <c r="AI1070" s="13"/>
      <c r="AJ1070" s="13"/>
      <c r="AK1070" s="13"/>
      <c r="AL1070" s="13"/>
      <c r="AM1070" s="13"/>
      <c r="AN1070" s="13"/>
      <c r="AO1070" s="13"/>
      <c r="AP1070" s="13"/>
      <c r="AQ1070" s="13"/>
      <c r="AR1070" s="13"/>
      <c r="AS1070" s="13"/>
      <c r="AT1070" s="13"/>
      <c r="AU1070" s="13"/>
      <c r="AV1070" s="13"/>
      <c r="AW1070" s="13"/>
      <c r="AX1070" s="13"/>
      <c r="AY1070" s="13"/>
      <c r="AZ1070" s="13"/>
      <c r="BA1070" s="13"/>
      <c r="BB1070" s="13"/>
      <c r="BC1070" s="13"/>
      <c r="BD1070" s="13"/>
    </row>
    <row r="1071" spans="1:56" ht="42" x14ac:dyDescent="0.25">
      <c r="A1071" s="11" t="s">
        <v>5524</v>
      </c>
      <c r="B1071" s="11" t="s">
        <v>5525</v>
      </c>
      <c r="C1071" s="11"/>
      <c r="D1071" s="11" t="s">
        <v>91</v>
      </c>
      <c r="E1071" s="11"/>
      <c r="F1071" s="11" t="s">
        <v>3878</v>
      </c>
      <c r="G1071" s="11" t="s">
        <v>153</v>
      </c>
      <c r="H1071" s="11" t="s">
        <v>94</v>
      </c>
      <c r="I1071" s="11" t="s">
        <v>121</v>
      </c>
      <c r="J1071" s="11" t="s">
        <v>122</v>
      </c>
      <c r="K1071" s="11"/>
      <c r="L1071" s="11" t="s">
        <v>5526</v>
      </c>
      <c r="M1071" s="11"/>
      <c r="N1071" s="11"/>
      <c r="O1071" s="11"/>
      <c r="P1071" s="11" t="s">
        <v>102</v>
      </c>
      <c r="Q1071" s="12">
        <v>0</v>
      </c>
      <c r="R1071" s="13">
        <v>0</v>
      </c>
      <c r="S1071" s="11" t="s">
        <v>5524</v>
      </c>
      <c r="T1071" s="11"/>
      <c r="U1071" s="11" t="s">
        <v>104</v>
      </c>
      <c r="V1071" s="11" t="s">
        <v>105</v>
      </c>
      <c r="W1071" s="11" t="s">
        <v>106</v>
      </c>
      <c r="X1071" s="11"/>
      <c r="Y1071" s="11"/>
      <c r="Z1071" s="11"/>
      <c r="AA1071" s="12">
        <v>1070</v>
      </c>
      <c r="AB1071" s="12"/>
      <c r="AC1071" s="11" t="s">
        <v>107</v>
      </c>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3"/>
      <c r="AY1071" s="13"/>
      <c r="AZ1071" s="13"/>
      <c r="BA1071" s="13"/>
      <c r="BB1071" s="13"/>
      <c r="BC1071" s="13"/>
      <c r="BD1071" s="13"/>
    </row>
    <row r="1072" spans="1:56" ht="42" x14ac:dyDescent="0.25">
      <c r="A1072" s="11" t="s">
        <v>5527</v>
      </c>
      <c r="B1072" s="11" t="s">
        <v>5528</v>
      </c>
      <c r="C1072" s="11"/>
      <c r="D1072" s="11" t="s">
        <v>91</v>
      </c>
      <c r="E1072" s="11"/>
      <c r="F1072" s="11" t="s">
        <v>5529</v>
      </c>
      <c r="G1072" s="11" t="s">
        <v>153</v>
      </c>
      <c r="H1072" s="11" t="s">
        <v>94</v>
      </c>
      <c r="I1072" s="11" t="s">
        <v>95</v>
      </c>
      <c r="J1072" s="11" t="s">
        <v>96</v>
      </c>
      <c r="K1072" s="11"/>
      <c r="L1072" s="11" t="s">
        <v>5530</v>
      </c>
      <c r="M1072" s="11"/>
      <c r="N1072" s="11"/>
      <c r="O1072" s="11"/>
      <c r="P1072" s="11" t="s">
        <v>102</v>
      </c>
      <c r="Q1072" s="12">
        <v>0</v>
      </c>
      <c r="R1072" s="13">
        <v>0</v>
      </c>
      <c r="S1072" s="11" t="s">
        <v>5527</v>
      </c>
      <c r="T1072" s="11"/>
      <c r="U1072" s="11" t="s">
        <v>104</v>
      </c>
      <c r="V1072" s="11" t="s">
        <v>105</v>
      </c>
      <c r="W1072" s="11" t="s">
        <v>106</v>
      </c>
      <c r="X1072" s="11"/>
      <c r="Y1072" s="11"/>
      <c r="Z1072" s="11"/>
      <c r="AA1072" s="12">
        <v>1071</v>
      </c>
      <c r="AB1072" s="12"/>
      <c r="AC1072" s="11" t="s">
        <v>107</v>
      </c>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3"/>
      <c r="AZ1072" s="13"/>
      <c r="BA1072" s="13"/>
      <c r="BB1072" s="13"/>
      <c r="BC1072" s="13"/>
      <c r="BD1072" s="13"/>
    </row>
    <row r="1073" spans="1:56" ht="42" x14ac:dyDescent="0.25">
      <c r="A1073" s="11" t="s">
        <v>5531</v>
      </c>
      <c r="B1073" s="11" t="s">
        <v>5532</v>
      </c>
      <c r="C1073" s="11"/>
      <c r="D1073" s="11" t="s">
        <v>91</v>
      </c>
      <c r="E1073" s="11"/>
      <c r="F1073" s="11" t="s">
        <v>5533</v>
      </c>
      <c r="G1073" s="11" t="s">
        <v>153</v>
      </c>
      <c r="H1073" s="11" t="s">
        <v>94</v>
      </c>
      <c r="I1073" s="11" t="s">
        <v>121</v>
      </c>
      <c r="J1073" s="11" t="s">
        <v>2007</v>
      </c>
      <c r="K1073" s="11"/>
      <c r="L1073" s="11" t="s">
        <v>5534</v>
      </c>
      <c r="M1073" s="11"/>
      <c r="N1073" s="11"/>
      <c r="O1073" s="11"/>
      <c r="P1073" s="11" t="s">
        <v>102</v>
      </c>
      <c r="Q1073" s="12">
        <v>0</v>
      </c>
      <c r="R1073" s="13">
        <v>0</v>
      </c>
      <c r="S1073" s="11" t="s">
        <v>5531</v>
      </c>
      <c r="T1073" s="11"/>
      <c r="U1073" s="11" t="s">
        <v>104</v>
      </c>
      <c r="V1073" s="11" t="s">
        <v>105</v>
      </c>
      <c r="W1073" s="11" t="s">
        <v>106</v>
      </c>
      <c r="X1073" s="11"/>
      <c r="Y1073" s="11"/>
      <c r="Z1073" s="11"/>
      <c r="AA1073" s="12">
        <v>1072</v>
      </c>
      <c r="AB1073" s="12"/>
      <c r="AC1073" s="11" t="s">
        <v>107</v>
      </c>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3"/>
      <c r="AZ1073" s="13"/>
      <c r="BA1073" s="13"/>
      <c r="BB1073" s="13"/>
      <c r="BC1073" s="13"/>
      <c r="BD1073" s="13"/>
    </row>
    <row r="1074" spans="1:56" ht="42" x14ac:dyDescent="0.25">
      <c r="A1074" s="11" t="s">
        <v>5535</v>
      </c>
      <c r="B1074" s="11" t="s">
        <v>5536</v>
      </c>
      <c r="C1074" s="11"/>
      <c r="D1074" s="11" t="s">
        <v>91</v>
      </c>
      <c r="E1074" s="11"/>
      <c r="F1074" s="11" t="s">
        <v>5537</v>
      </c>
      <c r="G1074" s="11" t="s">
        <v>153</v>
      </c>
      <c r="H1074" s="11" t="s">
        <v>94</v>
      </c>
      <c r="I1074" s="11" t="s">
        <v>121</v>
      </c>
      <c r="J1074" s="11" t="s">
        <v>2264</v>
      </c>
      <c r="K1074" s="11"/>
      <c r="L1074" s="11" t="s">
        <v>5538</v>
      </c>
      <c r="M1074" s="11"/>
      <c r="N1074" s="11"/>
      <c r="O1074" s="11"/>
      <c r="P1074" s="11" t="s">
        <v>102</v>
      </c>
      <c r="Q1074" s="12">
        <v>0</v>
      </c>
      <c r="R1074" s="13">
        <v>0</v>
      </c>
      <c r="S1074" s="11" t="s">
        <v>5535</v>
      </c>
      <c r="T1074" s="11"/>
      <c r="U1074" s="11" t="s">
        <v>104</v>
      </c>
      <c r="V1074" s="11" t="s">
        <v>105</v>
      </c>
      <c r="W1074" s="11" t="s">
        <v>106</v>
      </c>
      <c r="X1074" s="11"/>
      <c r="Y1074" s="11"/>
      <c r="Z1074" s="11"/>
      <c r="AA1074" s="12">
        <v>1073</v>
      </c>
      <c r="AB1074" s="12"/>
      <c r="AC1074" s="11" t="s">
        <v>107</v>
      </c>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3"/>
      <c r="AY1074" s="13"/>
      <c r="AZ1074" s="13"/>
      <c r="BA1074" s="13"/>
      <c r="BB1074" s="13"/>
      <c r="BC1074" s="13"/>
      <c r="BD1074" s="13"/>
    </row>
    <row r="1075" spans="1:56" ht="42" x14ac:dyDescent="0.25">
      <c r="A1075" s="11" t="s">
        <v>5539</v>
      </c>
      <c r="B1075" s="11" t="s">
        <v>5540</v>
      </c>
      <c r="C1075" s="11"/>
      <c r="D1075" s="11" t="s">
        <v>91</v>
      </c>
      <c r="E1075" s="11"/>
      <c r="F1075" s="11" t="s">
        <v>5541</v>
      </c>
      <c r="G1075" s="11" t="s">
        <v>153</v>
      </c>
      <c r="H1075" s="11" t="s">
        <v>94</v>
      </c>
      <c r="I1075" s="11" t="s">
        <v>95</v>
      </c>
      <c r="J1075" s="11" t="s">
        <v>749</v>
      </c>
      <c r="K1075" s="11"/>
      <c r="L1075" s="11" t="s">
        <v>5542</v>
      </c>
      <c r="M1075" s="11" t="s">
        <v>139</v>
      </c>
      <c r="N1075" s="11"/>
      <c r="O1075" s="11"/>
      <c r="P1075" s="11" t="s">
        <v>102</v>
      </c>
      <c r="Q1075" s="12">
        <v>0</v>
      </c>
      <c r="R1075" s="13">
        <v>0</v>
      </c>
      <c r="S1075" s="11" t="s">
        <v>5539</v>
      </c>
      <c r="T1075" s="11"/>
      <c r="U1075" s="11" t="s">
        <v>104</v>
      </c>
      <c r="V1075" s="11" t="s">
        <v>105</v>
      </c>
      <c r="W1075" s="11" t="s">
        <v>106</v>
      </c>
      <c r="X1075" s="11"/>
      <c r="Y1075" s="11"/>
      <c r="Z1075" s="11"/>
      <c r="AA1075" s="12">
        <v>1074</v>
      </c>
      <c r="AB1075" s="12"/>
      <c r="AC1075" s="11" t="s">
        <v>107</v>
      </c>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3"/>
      <c r="AZ1075" s="13"/>
      <c r="BA1075" s="13"/>
      <c r="BB1075" s="13"/>
      <c r="BC1075" s="13"/>
      <c r="BD1075" s="13"/>
    </row>
    <row r="1076" spans="1:56" ht="42" x14ac:dyDescent="0.25">
      <c r="A1076" s="11" t="s">
        <v>5543</v>
      </c>
      <c r="B1076" s="11" t="s">
        <v>5544</v>
      </c>
      <c r="C1076" s="11"/>
      <c r="D1076" s="11" t="s">
        <v>91</v>
      </c>
      <c r="E1076" s="11"/>
      <c r="F1076" s="11" t="s">
        <v>5545</v>
      </c>
      <c r="G1076" s="11" t="s">
        <v>153</v>
      </c>
      <c r="H1076" s="11" t="s">
        <v>94</v>
      </c>
      <c r="I1076" s="11" t="s">
        <v>121</v>
      </c>
      <c r="J1076" s="11" t="s">
        <v>122</v>
      </c>
      <c r="K1076" s="11"/>
      <c r="L1076" s="11" t="s">
        <v>5546</v>
      </c>
      <c r="M1076" s="11"/>
      <c r="N1076" s="11"/>
      <c r="O1076" s="11"/>
      <c r="P1076" s="11" t="s">
        <v>102</v>
      </c>
      <c r="Q1076" s="12">
        <v>0</v>
      </c>
      <c r="R1076" s="13">
        <v>0</v>
      </c>
      <c r="S1076" s="11" t="s">
        <v>5543</v>
      </c>
      <c r="T1076" s="11"/>
      <c r="U1076" s="11" t="s">
        <v>104</v>
      </c>
      <c r="V1076" s="11" t="s">
        <v>105</v>
      </c>
      <c r="W1076" s="11" t="s">
        <v>106</v>
      </c>
      <c r="X1076" s="11"/>
      <c r="Y1076" s="11"/>
      <c r="Z1076" s="11"/>
      <c r="AA1076" s="12">
        <v>1075</v>
      </c>
      <c r="AB1076" s="12"/>
      <c r="AC1076" s="11" t="s">
        <v>107</v>
      </c>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3"/>
      <c r="AY1076" s="13"/>
      <c r="AZ1076" s="13"/>
      <c r="BA1076" s="13"/>
      <c r="BB1076" s="13"/>
      <c r="BC1076" s="13"/>
      <c r="BD1076" s="13"/>
    </row>
    <row r="1077" spans="1:56" ht="42" x14ac:dyDescent="0.25">
      <c r="A1077" s="11" t="s">
        <v>5547</v>
      </c>
      <c r="B1077" s="11" t="s">
        <v>5548</v>
      </c>
      <c r="C1077" s="11"/>
      <c r="D1077" s="11" t="s">
        <v>91</v>
      </c>
      <c r="E1077" s="11"/>
      <c r="F1077" s="11" t="s">
        <v>5549</v>
      </c>
      <c r="G1077" s="11" t="s">
        <v>153</v>
      </c>
      <c r="H1077" s="11" t="s">
        <v>94</v>
      </c>
      <c r="I1077" s="11" t="s">
        <v>121</v>
      </c>
      <c r="J1077" s="11" t="s">
        <v>2285</v>
      </c>
      <c r="K1077" s="11"/>
      <c r="L1077" s="11" t="s">
        <v>5550</v>
      </c>
      <c r="M1077" s="11"/>
      <c r="N1077" s="11"/>
      <c r="O1077" s="11"/>
      <c r="P1077" s="11" t="s">
        <v>102</v>
      </c>
      <c r="Q1077" s="12">
        <v>0</v>
      </c>
      <c r="R1077" s="13">
        <v>0</v>
      </c>
      <c r="S1077" s="11" t="s">
        <v>5547</v>
      </c>
      <c r="T1077" s="11"/>
      <c r="U1077" s="11" t="s">
        <v>104</v>
      </c>
      <c r="V1077" s="11" t="s">
        <v>105</v>
      </c>
      <c r="W1077" s="11" t="s">
        <v>106</v>
      </c>
      <c r="X1077" s="11"/>
      <c r="Y1077" s="11"/>
      <c r="Z1077" s="11"/>
      <c r="AA1077" s="12">
        <v>1076</v>
      </c>
      <c r="AB1077" s="12"/>
      <c r="AC1077" s="11" t="s">
        <v>107</v>
      </c>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3"/>
      <c r="AZ1077" s="13"/>
      <c r="BA1077" s="13"/>
      <c r="BB1077" s="13"/>
      <c r="BC1077" s="13"/>
      <c r="BD1077" s="13"/>
    </row>
    <row r="1078" spans="1:56" ht="42" x14ac:dyDescent="0.25">
      <c r="A1078" s="11" t="s">
        <v>5551</v>
      </c>
      <c r="B1078" s="11" t="s">
        <v>5552</v>
      </c>
      <c r="C1078" s="11"/>
      <c r="D1078" s="11" t="s">
        <v>91</v>
      </c>
      <c r="E1078" s="11"/>
      <c r="F1078" s="11" t="s">
        <v>5553</v>
      </c>
      <c r="G1078" s="11" t="s">
        <v>153</v>
      </c>
      <c r="H1078" s="11" t="s">
        <v>94</v>
      </c>
      <c r="I1078" s="11" t="s">
        <v>95</v>
      </c>
      <c r="J1078" s="11" t="s">
        <v>1087</v>
      </c>
      <c r="K1078" s="11"/>
      <c r="L1078" s="11" t="s">
        <v>5554</v>
      </c>
      <c r="M1078" s="11"/>
      <c r="N1078" s="11"/>
      <c r="O1078" s="11"/>
      <c r="P1078" s="11" t="s">
        <v>102</v>
      </c>
      <c r="Q1078" s="12">
        <v>0</v>
      </c>
      <c r="R1078" s="13">
        <v>0</v>
      </c>
      <c r="S1078" s="11" t="s">
        <v>5551</v>
      </c>
      <c r="T1078" s="11"/>
      <c r="U1078" s="11" t="s">
        <v>104</v>
      </c>
      <c r="V1078" s="11" t="s">
        <v>105</v>
      </c>
      <c r="W1078" s="11" t="s">
        <v>106</v>
      </c>
      <c r="X1078" s="11"/>
      <c r="Y1078" s="11"/>
      <c r="Z1078" s="11"/>
      <c r="AA1078" s="12">
        <v>1077</v>
      </c>
      <c r="AB1078" s="12"/>
      <c r="AC1078" s="11" t="s">
        <v>107</v>
      </c>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3"/>
      <c r="AY1078" s="13"/>
      <c r="AZ1078" s="13"/>
      <c r="BA1078" s="13"/>
      <c r="BB1078" s="13"/>
      <c r="BC1078" s="13"/>
      <c r="BD1078" s="13"/>
    </row>
    <row r="1079" spans="1:56" ht="42" x14ac:dyDescent="0.25">
      <c r="A1079" s="11" t="s">
        <v>5555</v>
      </c>
      <c r="B1079" s="11" t="s">
        <v>5556</v>
      </c>
      <c r="C1079" s="11"/>
      <c r="D1079" s="11" t="s">
        <v>91</v>
      </c>
      <c r="E1079" s="11"/>
      <c r="F1079" s="11" t="s">
        <v>5557</v>
      </c>
      <c r="G1079" s="11" t="s">
        <v>153</v>
      </c>
      <c r="H1079" s="11" t="s">
        <v>94</v>
      </c>
      <c r="I1079" s="11" t="s">
        <v>121</v>
      </c>
      <c r="J1079" s="11" t="s">
        <v>2285</v>
      </c>
      <c r="K1079" s="11"/>
      <c r="L1079" s="11" t="s">
        <v>5558</v>
      </c>
      <c r="M1079" s="11"/>
      <c r="N1079" s="11"/>
      <c r="O1079" s="11"/>
      <c r="P1079" s="11" t="s">
        <v>102</v>
      </c>
      <c r="Q1079" s="12">
        <v>0</v>
      </c>
      <c r="R1079" s="13">
        <v>0</v>
      </c>
      <c r="S1079" s="11" t="s">
        <v>5555</v>
      </c>
      <c r="T1079" s="11"/>
      <c r="U1079" s="11" t="s">
        <v>104</v>
      </c>
      <c r="V1079" s="11" t="s">
        <v>105</v>
      </c>
      <c r="W1079" s="11" t="s">
        <v>106</v>
      </c>
      <c r="X1079" s="11"/>
      <c r="Y1079" s="11"/>
      <c r="Z1079" s="11"/>
      <c r="AA1079" s="12">
        <v>1078</v>
      </c>
      <c r="AB1079" s="12"/>
      <c r="AC1079" s="11" t="s">
        <v>107</v>
      </c>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3"/>
      <c r="AY1079" s="13"/>
      <c r="AZ1079" s="13"/>
      <c r="BA1079" s="13"/>
      <c r="BB1079" s="13"/>
      <c r="BC1079" s="13"/>
      <c r="BD1079" s="13"/>
    </row>
    <row r="1080" spans="1:56" ht="42" x14ac:dyDescent="0.25">
      <c r="A1080" s="11" t="s">
        <v>5559</v>
      </c>
      <c r="B1080" s="11" t="s">
        <v>5560</v>
      </c>
      <c r="C1080" s="11"/>
      <c r="D1080" s="11" t="s">
        <v>91</v>
      </c>
      <c r="E1080" s="11"/>
      <c r="F1080" s="11" t="s">
        <v>5561</v>
      </c>
      <c r="G1080" s="11" t="s">
        <v>153</v>
      </c>
      <c r="H1080" s="11" t="s">
        <v>94</v>
      </c>
      <c r="I1080" s="11" t="s">
        <v>95</v>
      </c>
      <c r="J1080" s="11" t="s">
        <v>1087</v>
      </c>
      <c r="K1080" s="11"/>
      <c r="L1080" s="11" t="s">
        <v>5562</v>
      </c>
      <c r="M1080" s="11" t="s">
        <v>139</v>
      </c>
      <c r="N1080" s="11"/>
      <c r="O1080" s="11"/>
      <c r="P1080" s="11" t="s">
        <v>102</v>
      </c>
      <c r="Q1080" s="12">
        <v>0</v>
      </c>
      <c r="R1080" s="13">
        <v>0</v>
      </c>
      <c r="S1080" s="11" t="s">
        <v>5559</v>
      </c>
      <c r="T1080" s="11"/>
      <c r="U1080" s="11" t="s">
        <v>104</v>
      </c>
      <c r="V1080" s="11" t="s">
        <v>105</v>
      </c>
      <c r="W1080" s="11" t="s">
        <v>106</v>
      </c>
      <c r="X1080" s="11"/>
      <c r="Y1080" s="11"/>
      <c r="Z1080" s="11"/>
      <c r="AA1080" s="12">
        <v>1079</v>
      </c>
      <c r="AB1080" s="12"/>
      <c r="AC1080" s="11" t="s">
        <v>107</v>
      </c>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3"/>
      <c r="AY1080" s="13"/>
      <c r="AZ1080" s="13"/>
      <c r="BA1080" s="13"/>
      <c r="BB1080" s="13"/>
      <c r="BC1080" s="13"/>
      <c r="BD1080" s="13"/>
    </row>
    <row r="1081" spans="1:56" ht="42" x14ac:dyDescent="0.25">
      <c r="A1081" s="11" t="s">
        <v>5563</v>
      </c>
      <c r="B1081" s="11" t="s">
        <v>5564</v>
      </c>
      <c r="C1081" s="11"/>
      <c r="D1081" s="11" t="s">
        <v>91</v>
      </c>
      <c r="E1081" s="11"/>
      <c r="F1081" s="11" t="s">
        <v>5565</v>
      </c>
      <c r="G1081" s="11" t="s">
        <v>153</v>
      </c>
      <c r="H1081" s="11" t="s">
        <v>94</v>
      </c>
      <c r="I1081" s="11" t="s">
        <v>121</v>
      </c>
      <c r="J1081" s="11" t="s">
        <v>2264</v>
      </c>
      <c r="K1081" s="11"/>
      <c r="L1081" s="11" t="s">
        <v>5566</v>
      </c>
      <c r="M1081" s="11"/>
      <c r="N1081" s="11"/>
      <c r="O1081" s="11"/>
      <c r="P1081" s="11" t="s">
        <v>102</v>
      </c>
      <c r="Q1081" s="12">
        <v>0</v>
      </c>
      <c r="R1081" s="13">
        <v>0</v>
      </c>
      <c r="S1081" s="11" t="s">
        <v>5563</v>
      </c>
      <c r="T1081" s="11"/>
      <c r="U1081" s="11" t="s">
        <v>104</v>
      </c>
      <c r="V1081" s="11" t="s">
        <v>105</v>
      </c>
      <c r="W1081" s="11" t="s">
        <v>106</v>
      </c>
      <c r="X1081" s="11"/>
      <c r="Y1081" s="11"/>
      <c r="Z1081" s="11"/>
      <c r="AA1081" s="12">
        <v>1080</v>
      </c>
      <c r="AB1081" s="12"/>
      <c r="AC1081" s="11" t="s">
        <v>107</v>
      </c>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c r="AY1081" s="13"/>
      <c r="AZ1081" s="13"/>
      <c r="BA1081" s="13"/>
      <c r="BB1081" s="13"/>
      <c r="BC1081" s="13"/>
      <c r="BD1081" s="13"/>
    </row>
    <row r="1082" spans="1:56" ht="42" x14ac:dyDescent="0.25">
      <c r="A1082" s="11" t="s">
        <v>5567</v>
      </c>
      <c r="B1082" s="11" t="s">
        <v>5568</v>
      </c>
      <c r="C1082" s="11"/>
      <c r="D1082" s="11" t="s">
        <v>91</v>
      </c>
      <c r="E1082" s="11"/>
      <c r="F1082" s="11" t="s">
        <v>5569</v>
      </c>
      <c r="G1082" s="11" t="s">
        <v>153</v>
      </c>
      <c r="H1082" s="11" t="s">
        <v>94</v>
      </c>
      <c r="I1082" s="11" t="s">
        <v>121</v>
      </c>
      <c r="J1082" s="11" t="s">
        <v>737</v>
      </c>
      <c r="K1082" s="11"/>
      <c r="L1082" s="11" t="s">
        <v>5570</v>
      </c>
      <c r="M1082" s="11"/>
      <c r="N1082" s="11"/>
      <c r="O1082" s="11"/>
      <c r="P1082" s="11" t="s">
        <v>102</v>
      </c>
      <c r="Q1082" s="12">
        <v>0</v>
      </c>
      <c r="R1082" s="13">
        <v>0</v>
      </c>
      <c r="S1082" s="11" t="s">
        <v>5567</v>
      </c>
      <c r="T1082" s="11"/>
      <c r="U1082" s="11" t="s">
        <v>104</v>
      </c>
      <c r="V1082" s="11" t="s">
        <v>105</v>
      </c>
      <c r="W1082" s="11" t="s">
        <v>106</v>
      </c>
      <c r="X1082" s="11"/>
      <c r="Y1082" s="11"/>
      <c r="Z1082" s="11"/>
      <c r="AA1082" s="12">
        <v>1081</v>
      </c>
      <c r="AB1082" s="12"/>
      <c r="AC1082" s="11" t="s">
        <v>107</v>
      </c>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c r="AY1082" s="13"/>
      <c r="AZ1082" s="13"/>
      <c r="BA1082" s="13"/>
      <c r="BB1082" s="13"/>
      <c r="BC1082" s="13"/>
      <c r="BD1082" s="13"/>
    </row>
    <row r="1083" spans="1:56" ht="42" x14ac:dyDescent="0.25">
      <c r="A1083" s="11" t="s">
        <v>5571</v>
      </c>
      <c r="B1083" s="11" t="s">
        <v>5572</v>
      </c>
      <c r="C1083" s="11"/>
      <c r="D1083" s="11" t="s">
        <v>91</v>
      </c>
      <c r="E1083" s="11"/>
      <c r="F1083" s="11" t="s">
        <v>5573</v>
      </c>
      <c r="G1083" s="11" t="s">
        <v>153</v>
      </c>
      <c r="H1083" s="11" t="s">
        <v>94</v>
      </c>
      <c r="I1083" s="11" t="s">
        <v>95</v>
      </c>
      <c r="J1083" s="11" t="s">
        <v>1087</v>
      </c>
      <c r="K1083" s="11"/>
      <c r="L1083" s="11" t="s">
        <v>5574</v>
      </c>
      <c r="M1083" s="11" t="s">
        <v>139</v>
      </c>
      <c r="N1083" s="11"/>
      <c r="O1083" s="11"/>
      <c r="P1083" s="11" t="s">
        <v>102</v>
      </c>
      <c r="Q1083" s="12">
        <v>0</v>
      </c>
      <c r="R1083" s="13">
        <v>0</v>
      </c>
      <c r="S1083" s="11" t="s">
        <v>5571</v>
      </c>
      <c r="T1083" s="11"/>
      <c r="U1083" s="11" t="s">
        <v>104</v>
      </c>
      <c r="V1083" s="11" t="s">
        <v>105</v>
      </c>
      <c r="W1083" s="11" t="s">
        <v>106</v>
      </c>
      <c r="X1083" s="11"/>
      <c r="Y1083" s="11"/>
      <c r="Z1083" s="11"/>
      <c r="AA1083" s="12">
        <v>1082</v>
      </c>
      <c r="AB1083" s="12"/>
      <c r="AC1083" s="11" t="s">
        <v>107</v>
      </c>
      <c r="AD1083" s="13"/>
      <c r="AE1083" s="13"/>
      <c r="AF1083" s="13"/>
      <c r="AG1083" s="13"/>
      <c r="AH1083" s="13"/>
      <c r="AI1083" s="13"/>
      <c r="AJ1083" s="13"/>
      <c r="AK1083" s="13"/>
      <c r="AL1083" s="13"/>
      <c r="AM1083" s="13"/>
      <c r="AN1083" s="13"/>
      <c r="AO1083" s="13"/>
      <c r="AP1083" s="13"/>
      <c r="AQ1083" s="13"/>
      <c r="AR1083" s="13"/>
      <c r="AS1083" s="13"/>
      <c r="AT1083" s="13"/>
      <c r="AU1083" s="13"/>
      <c r="AV1083" s="13"/>
      <c r="AW1083" s="13"/>
      <c r="AX1083" s="13"/>
      <c r="AY1083" s="13"/>
      <c r="AZ1083" s="13"/>
      <c r="BA1083" s="13"/>
      <c r="BB1083" s="13"/>
      <c r="BC1083" s="13"/>
      <c r="BD1083" s="13"/>
    </row>
    <row r="1084" spans="1:56" ht="42" x14ac:dyDescent="0.25">
      <c r="A1084" s="11" t="s">
        <v>5575</v>
      </c>
      <c r="B1084" s="11" t="s">
        <v>5576</v>
      </c>
      <c r="C1084" s="11"/>
      <c r="D1084" s="11" t="s">
        <v>91</v>
      </c>
      <c r="E1084" s="11"/>
      <c r="F1084" s="11" t="s">
        <v>5577</v>
      </c>
      <c r="G1084" s="11" t="s">
        <v>153</v>
      </c>
      <c r="H1084" s="11" t="s">
        <v>94</v>
      </c>
      <c r="I1084" s="11" t="s">
        <v>95</v>
      </c>
      <c r="J1084" s="11" t="s">
        <v>1087</v>
      </c>
      <c r="K1084" s="11"/>
      <c r="L1084" s="11" t="s">
        <v>5578</v>
      </c>
      <c r="M1084" s="11"/>
      <c r="N1084" s="11"/>
      <c r="O1084" s="11"/>
      <c r="P1084" s="11" t="s">
        <v>102</v>
      </c>
      <c r="Q1084" s="12">
        <v>0</v>
      </c>
      <c r="R1084" s="13">
        <v>0</v>
      </c>
      <c r="S1084" s="11" t="s">
        <v>5575</v>
      </c>
      <c r="T1084" s="11"/>
      <c r="U1084" s="11" t="s">
        <v>104</v>
      </c>
      <c r="V1084" s="11" t="s">
        <v>105</v>
      </c>
      <c r="W1084" s="11" t="s">
        <v>106</v>
      </c>
      <c r="X1084" s="11"/>
      <c r="Y1084" s="11"/>
      <c r="Z1084" s="11"/>
      <c r="AA1084" s="12">
        <v>1083</v>
      </c>
      <c r="AB1084" s="12"/>
      <c r="AC1084" s="11" t="s">
        <v>107</v>
      </c>
      <c r="AD1084" s="13"/>
      <c r="AE1084" s="13"/>
      <c r="AF1084" s="13"/>
      <c r="AG1084" s="13"/>
      <c r="AH1084" s="13"/>
      <c r="AI1084" s="13"/>
      <c r="AJ1084" s="13"/>
      <c r="AK1084" s="13"/>
      <c r="AL1084" s="13"/>
      <c r="AM1084" s="13"/>
      <c r="AN1084" s="13"/>
      <c r="AO1084" s="13"/>
      <c r="AP1084" s="13"/>
      <c r="AQ1084" s="13"/>
      <c r="AR1084" s="13"/>
      <c r="AS1084" s="13"/>
      <c r="AT1084" s="13"/>
      <c r="AU1084" s="13"/>
      <c r="AV1084" s="13"/>
      <c r="AW1084" s="13"/>
      <c r="AX1084" s="13"/>
      <c r="AY1084" s="13"/>
      <c r="AZ1084" s="13"/>
      <c r="BA1084" s="13"/>
      <c r="BB1084" s="13"/>
      <c r="BC1084" s="13"/>
      <c r="BD1084" s="13"/>
    </row>
    <row r="1085" spans="1:56" ht="42" x14ac:dyDescent="0.25">
      <c r="A1085" s="11" t="s">
        <v>5579</v>
      </c>
      <c r="B1085" s="11" t="s">
        <v>5580</v>
      </c>
      <c r="C1085" s="11"/>
      <c r="D1085" s="11" t="s">
        <v>91</v>
      </c>
      <c r="E1085" s="11"/>
      <c r="F1085" s="11" t="s">
        <v>5581</v>
      </c>
      <c r="G1085" s="11" t="s">
        <v>153</v>
      </c>
      <c r="H1085" s="11" t="s">
        <v>94</v>
      </c>
      <c r="I1085" s="11" t="s">
        <v>121</v>
      </c>
      <c r="J1085" s="11" t="s">
        <v>737</v>
      </c>
      <c r="K1085" s="11"/>
      <c r="L1085" s="11" t="s">
        <v>5582</v>
      </c>
      <c r="M1085" s="11"/>
      <c r="N1085" s="11"/>
      <c r="O1085" s="11"/>
      <c r="P1085" s="11" t="s">
        <v>102</v>
      </c>
      <c r="Q1085" s="12">
        <v>0</v>
      </c>
      <c r="R1085" s="13">
        <v>0</v>
      </c>
      <c r="S1085" s="11" t="s">
        <v>5579</v>
      </c>
      <c r="T1085" s="11"/>
      <c r="U1085" s="11" t="s">
        <v>104</v>
      </c>
      <c r="V1085" s="11" t="s">
        <v>105</v>
      </c>
      <c r="W1085" s="11" t="s">
        <v>106</v>
      </c>
      <c r="X1085" s="11"/>
      <c r="Y1085" s="11"/>
      <c r="Z1085" s="11"/>
      <c r="AA1085" s="12">
        <v>1084</v>
      </c>
      <c r="AB1085" s="12"/>
      <c r="AC1085" s="11" t="s">
        <v>107</v>
      </c>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3"/>
      <c r="AY1085" s="13"/>
      <c r="AZ1085" s="13"/>
      <c r="BA1085" s="13"/>
      <c r="BB1085" s="13"/>
      <c r="BC1085" s="13"/>
      <c r="BD1085" s="13"/>
    </row>
    <row r="1086" spans="1:56" ht="42" x14ac:dyDescent="0.25">
      <c r="A1086" s="11" t="s">
        <v>5583</v>
      </c>
      <c r="B1086" s="11" t="s">
        <v>5584</v>
      </c>
      <c r="C1086" s="11"/>
      <c r="D1086" s="11" t="s">
        <v>91</v>
      </c>
      <c r="E1086" s="11"/>
      <c r="F1086" s="11" t="s">
        <v>5585</v>
      </c>
      <c r="G1086" s="11" t="s">
        <v>153</v>
      </c>
      <c r="H1086" s="11" t="s">
        <v>94</v>
      </c>
      <c r="I1086" s="11" t="s">
        <v>121</v>
      </c>
      <c r="J1086" s="11" t="s">
        <v>122</v>
      </c>
      <c r="K1086" s="11"/>
      <c r="L1086" s="11" t="s">
        <v>5586</v>
      </c>
      <c r="M1086" s="11"/>
      <c r="N1086" s="11"/>
      <c r="O1086" s="11"/>
      <c r="P1086" s="11" t="s">
        <v>102</v>
      </c>
      <c r="Q1086" s="12">
        <v>0</v>
      </c>
      <c r="R1086" s="13">
        <v>0</v>
      </c>
      <c r="S1086" s="11" t="s">
        <v>5583</v>
      </c>
      <c r="T1086" s="11"/>
      <c r="U1086" s="11" t="s">
        <v>104</v>
      </c>
      <c r="V1086" s="11" t="s">
        <v>105</v>
      </c>
      <c r="W1086" s="11" t="s">
        <v>106</v>
      </c>
      <c r="X1086" s="11"/>
      <c r="Y1086" s="11"/>
      <c r="Z1086" s="11"/>
      <c r="AA1086" s="12">
        <v>1085</v>
      </c>
      <c r="AB1086" s="12"/>
      <c r="AC1086" s="11" t="s">
        <v>107</v>
      </c>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3"/>
      <c r="AY1086" s="13"/>
      <c r="AZ1086" s="13"/>
      <c r="BA1086" s="13"/>
      <c r="BB1086" s="13"/>
      <c r="BC1086" s="13"/>
      <c r="BD1086" s="13"/>
    </row>
    <row r="1087" spans="1:56" ht="42" x14ac:dyDescent="0.25">
      <c r="A1087" s="11" t="s">
        <v>5587</v>
      </c>
      <c r="B1087" s="11" t="s">
        <v>5588</v>
      </c>
      <c r="C1087" s="11"/>
      <c r="D1087" s="11" t="s">
        <v>91</v>
      </c>
      <c r="E1087" s="11"/>
      <c r="F1087" s="11" t="s">
        <v>5589</v>
      </c>
      <c r="G1087" s="11" t="s">
        <v>153</v>
      </c>
      <c r="H1087" s="11" t="s">
        <v>94</v>
      </c>
      <c r="I1087" s="11" t="s">
        <v>121</v>
      </c>
      <c r="J1087" s="11" t="s">
        <v>799</v>
      </c>
      <c r="K1087" s="11"/>
      <c r="L1087" s="11" t="s">
        <v>5590</v>
      </c>
      <c r="M1087" s="11"/>
      <c r="N1087" s="11"/>
      <c r="O1087" s="11"/>
      <c r="P1087" s="11" t="s">
        <v>102</v>
      </c>
      <c r="Q1087" s="12">
        <v>0</v>
      </c>
      <c r="R1087" s="13">
        <v>0</v>
      </c>
      <c r="S1087" s="11" t="s">
        <v>5587</v>
      </c>
      <c r="T1087" s="11"/>
      <c r="U1087" s="11" t="s">
        <v>104</v>
      </c>
      <c r="V1087" s="11" t="s">
        <v>105</v>
      </c>
      <c r="W1087" s="11" t="s">
        <v>106</v>
      </c>
      <c r="X1087" s="11"/>
      <c r="Y1087" s="11"/>
      <c r="Z1087" s="11"/>
      <c r="AA1087" s="12">
        <v>1086</v>
      </c>
      <c r="AB1087" s="12"/>
      <c r="AC1087" s="11" t="s">
        <v>107</v>
      </c>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3"/>
      <c r="AY1087" s="13"/>
      <c r="AZ1087" s="13"/>
      <c r="BA1087" s="13"/>
      <c r="BB1087" s="13"/>
      <c r="BC1087" s="13"/>
      <c r="BD1087" s="13"/>
    </row>
    <row r="1088" spans="1:56" ht="42" x14ac:dyDescent="0.25">
      <c r="A1088" s="11" t="s">
        <v>5591</v>
      </c>
      <c r="B1088" s="11" t="s">
        <v>5592</v>
      </c>
      <c r="C1088" s="11"/>
      <c r="D1088" s="11" t="s">
        <v>91</v>
      </c>
      <c r="E1088" s="11"/>
      <c r="F1088" s="11" t="s">
        <v>5593</v>
      </c>
      <c r="G1088" s="11" t="s">
        <v>153</v>
      </c>
      <c r="H1088" s="11" t="s">
        <v>94</v>
      </c>
      <c r="I1088" s="11" t="s">
        <v>121</v>
      </c>
      <c r="J1088" s="11" t="s">
        <v>2285</v>
      </c>
      <c r="K1088" s="11"/>
      <c r="L1088" s="11" t="s">
        <v>5594</v>
      </c>
      <c r="M1088" s="11"/>
      <c r="N1088" s="11"/>
      <c r="O1088" s="11"/>
      <c r="P1088" s="11" t="s">
        <v>102</v>
      </c>
      <c r="Q1088" s="12">
        <v>0</v>
      </c>
      <c r="R1088" s="13">
        <v>0</v>
      </c>
      <c r="S1088" s="11" t="s">
        <v>5591</v>
      </c>
      <c r="T1088" s="11"/>
      <c r="U1088" s="11" t="s">
        <v>104</v>
      </c>
      <c r="V1088" s="11" t="s">
        <v>105</v>
      </c>
      <c r="W1088" s="11" t="s">
        <v>106</v>
      </c>
      <c r="X1088" s="11"/>
      <c r="Y1088" s="11"/>
      <c r="Z1088" s="11"/>
      <c r="AA1088" s="12">
        <v>1087</v>
      </c>
      <c r="AB1088" s="12"/>
      <c r="AC1088" s="11" t="s">
        <v>107</v>
      </c>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3"/>
      <c r="AY1088" s="13"/>
      <c r="AZ1088" s="13"/>
      <c r="BA1088" s="13"/>
      <c r="BB1088" s="13"/>
      <c r="BC1088" s="13"/>
      <c r="BD1088" s="13"/>
    </row>
    <row r="1089" spans="1:56" ht="42" x14ac:dyDescent="0.25">
      <c r="A1089" s="11" t="s">
        <v>5595</v>
      </c>
      <c r="B1089" s="11" t="s">
        <v>5596</v>
      </c>
      <c r="C1089" s="11"/>
      <c r="D1089" s="11" t="s">
        <v>91</v>
      </c>
      <c r="E1089" s="11"/>
      <c r="F1089" s="11" t="s">
        <v>5597</v>
      </c>
      <c r="G1089" s="11" t="s">
        <v>153</v>
      </c>
      <c r="H1089" s="11" t="s">
        <v>94</v>
      </c>
      <c r="I1089" s="11" t="s">
        <v>121</v>
      </c>
      <c r="J1089" s="11" t="s">
        <v>2264</v>
      </c>
      <c r="K1089" s="11"/>
      <c r="L1089" s="11" t="s">
        <v>5598</v>
      </c>
      <c r="M1089" s="11"/>
      <c r="N1089" s="11"/>
      <c r="O1089" s="11"/>
      <c r="P1089" s="11" t="s">
        <v>102</v>
      </c>
      <c r="Q1089" s="12">
        <v>0</v>
      </c>
      <c r="R1089" s="13">
        <v>0</v>
      </c>
      <c r="S1089" s="11" t="s">
        <v>5595</v>
      </c>
      <c r="T1089" s="11"/>
      <c r="U1089" s="11" t="s">
        <v>104</v>
      </c>
      <c r="V1089" s="11" t="s">
        <v>105</v>
      </c>
      <c r="W1089" s="11" t="s">
        <v>106</v>
      </c>
      <c r="X1089" s="11"/>
      <c r="Y1089" s="11"/>
      <c r="Z1089" s="11"/>
      <c r="AA1089" s="12">
        <v>1088</v>
      </c>
      <c r="AB1089" s="12"/>
      <c r="AC1089" s="11" t="s">
        <v>107</v>
      </c>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3"/>
      <c r="AY1089" s="13"/>
      <c r="AZ1089" s="13"/>
      <c r="BA1089" s="13"/>
      <c r="BB1089" s="13"/>
      <c r="BC1089" s="13"/>
      <c r="BD1089" s="13"/>
    </row>
    <row r="1090" spans="1:56" ht="42" x14ac:dyDescent="0.25">
      <c r="A1090" s="11" t="s">
        <v>5599</v>
      </c>
      <c r="B1090" s="11" t="s">
        <v>5600</v>
      </c>
      <c r="C1090" s="11"/>
      <c r="D1090" s="11" t="s">
        <v>91</v>
      </c>
      <c r="E1090" s="11"/>
      <c r="F1090" s="11" t="s">
        <v>5601</v>
      </c>
      <c r="G1090" s="11" t="s">
        <v>153</v>
      </c>
      <c r="H1090" s="11" t="s">
        <v>94</v>
      </c>
      <c r="I1090" s="11" t="s">
        <v>121</v>
      </c>
      <c r="J1090" s="11" t="s">
        <v>122</v>
      </c>
      <c r="K1090" s="11"/>
      <c r="L1090" s="11" t="s">
        <v>5602</v>
      </c>
      <c r="M1090" s="11"/>
      <c r="N1090" s="11"/>
      <c r="O1090" s="11"/>
      <c r="P1090" s="11" t="s">
        <v>102</v>
      </c>
      <c r="Q1090" s="12">
        <v>0</v>
      </c>
      <c r="R1090" s="13">
        <v>0</v>
      </c>
      <c r="S1090" s="11" t="s">
        <v>5599</v>
      </c>
      <c r="T1090" s="11"/>
      <c r="U1090" s="11" t="s">
        <v>104</v>
      </c>
      <c r="V1090" s="11" t="s">
        <v>105</v>
      </c>
      <c r="W1090" s="11" t="s">
        <v>106</v>
      </c>
      <c r="X1090" s="11"/>
      <c r="Y1090" s="11"/>
      <c r="Z1090" s="11"/>
      <c r="AA1090" s="12">
        <v>1089</v>
      </c>
      <c r="AB1090" s="12"/>
      <c r="AC1090" s="11" t="s">
        <v>107</v>
      </c>
      <c r="AD1090" s="13"/>
      <c r="AE1090" s="13"/>
      <c r="AF1090" s="13"/>
      <c r="AG1090" s="13"/>
      <c r="AH1090" s="13"/>
      <c r="AI1090" s="13"/>
      <c r="AJ1090" s="13"/>
      <c r="AK1090" s="13"/>
      <c r="AL1090" s="13"/>
      <c r="AM1090" s="13"/>
      <c r="AN1090" s="13"/>
      <c r="AO1090" s="13"/>
      <c r="AP1090" s="13"/>
      <c r="AQ1090" s="13"/>
      <c r="AR1090" s="13"/>
      <c r="AS1090" s="13"/>
      <c r="AT1090" s="13"/>
      <c r="AU1090" s="13"/>
      <c r="AV1090" s="13"/>
      <c r="AW1090" s="13"/>
      <c r="AX1090" s="13"/>
      <c r="AY1090" s="13"/>
      <c r="AZ1090" s="13"/>
      <c r="BA1090" s="13"/>
      <c r="BB1090" s="13"/>
      <c r="BC1090" s="13"/>
      <c r="BD1090" s="13"/>
    </row>
    <row r="1091" spans="1:56" ht="42" x14ac:dyDescent="0.25">
      <c r="A1091" s="11" t="s">
        <v>5603</v>
      </c>
      <c r="B1091" s="11" t="s">
        <v>5604</v>
      </c>
      <c r="C1091" s="11"/>
      <c r="D1091" s="11" t="s">
        <v>91</v>
      </c>
      <c r="E1091" s="11"/>
      <c r="F1091" s="11" t="s">
        <v>5605</v>
      </c>
      <c r="G1091" s="11" t="s">
        <v>153</v>
      </c>
      <c r="H1091" s="11" t="s">
        <v>94</v>
      </c>
      <c r="I1091" s="11" t="s">
        <v>121</v>
      </c>
      <c r="J1091" s="11" t="s">
        <v>122</v>
      </c>
      <c r="K1091" s="11"/>
      <c r="L1091" s="11" t="s">
        <v>5606</v>
      </c>
      <c r="M1091" s="11"/>
      <c r="N1091" s="11"/>
      <c r="O1091" s="11"/>
      <c r="P1091" s="11" t="s">
        <v>102</v>
      </c>
      <c r="Q1091" s="12">
        <v>0</v>
      </c>
      <c r="R1091" s="13">
        <v>0</v>
      </c>
      <c r="S1091" s="11" t="s">
        <v>5603</v>
      </c>
      <c r="T1091" s="11"/>
      <c r="U1091" s="11" t="s">
        <v>104</v>
      </c>
      <c r="V1091" s="11" t="s">
        <v>105</v>
      </c>
      <c r="W1091" s="11" t="s">
        <v>106</v>
      </c>
      <c r="X1091" s="11"/>
      <c r="Y1091" s="11"/>
      <c r="Z1091" s="11"/>
      <c r="AA1091" s="12">
        <v>1090</v>
      </c>
      <c r="AB1091" s="12"/>
      <c r="AC1091" s="11" t="s">
        <v>107</v>
      </c>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3"/>
      <c r="AY1091" s="13"/>
      <c r="AZ1091" s="13"/>
      <c r="BA1091" s="13"/>
      <c r="BB1091" s="13"/>
      <c r="BC1091" s="13"/>
      <c r="BD1091" s="13"/>
    </row>
    <row r="1092" spans="1:56" ht="42" x14ac:dyDescent="0.25">
      <c r="A1092" s="11" t="s">
        <v>5607</v>
      </c>
      <c r="B1092" s="11" t="s">
        <v>5608</v>
      </c>
      <c r="C1092" s="11"/>
      <c r="D1092" s="11" t="s">
        <v>91</v>
      </c>
      <c r="E1092" s="11" t="s">
        <v>92</v>
      </c>
      <c r="F1092" s="11" t="s">
        <v>5609</v>
      </c>
      <c r="G1092" s="11" t="s">
        <v>153</v>
      </c>
      <c r="H1092" s="11" t="s">
        <v>94</v>
      </c>
      <c r="I1092" s="11" t="s">
        <v>121</v>
      </c>
      <c r="J1092" s="11" t="s">
        <v>122</v>
      </c>
      <c r="K1092" s="11" t="s">
        <v>123</v>
      </c>
      <c r="L1092" s="11" t="s">
        <v>5610</v>
      </c>
      <c r="M1092" s="11" t="s">
        <v>139</v>
      </c>
      <c r="N1092" s="11" t="s">
        <v>174</v>
      </c>
      <c r="O1092" s="11" t="s">
        <v>140</v>
      </c>
      <c r="P1092" s="11" t="s">
        <v>102</v>
      </c>
      <c r="Q1092" s="12">
        <v>0</v>
      </c>
      <c r="R1092" s="13">
        <v>0</v>
      </c>
      <c r="S1092" s="11" t="s">
        <v>5607</v>
      </c>
      <c r="T1092" s="11"/>
      <c r="U1092" s="11" t="s">
        <v>104</v>
      </c>
      <c r="V1092" s="11" t="s">
        <v>105</v>
      </c>
      <c r="W1092" s="11" t="s">
        <v>106</v>
      </c>
      <c r="X1092" s="11"/>
      <c r="Y1092" s="11"/>
      <c r="Z1092" s="11"/>
      <c r="AA1092" s="12">
        <v>1091</v>
      </c>
      <c r="AB1092" s="12"/>
      <c r="AC1092" s="11" t="s">
        <v>107</v>
      </c>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3"/>
      <c r="AY1092" s="13"/>
      <c r="AZ1092" s="13"/>
      <c r="BA1092" s="13"/>
      <c r="BB1092" s="13"/>
      <c r="BC1092" s="13"/>
      <c r="BD1092" s="13"/>
    </row>
    <row r="1093" spans="1:56" ht="42" x14ac:dyDescent="0.25">
      <c r="A1093" s="11" t="s">
        <v>5611</v>
      </c>
      <c r="B1093" s="11" t="s">
        <v>5612</v>
      </c>
      <c r="C1093" s="11"/>
      <c r="D1093" s="11" t="s">
        <v>91</v>
      </c>
      <c r="E1093" s="11"/>
      <c r="F1093" s="11" t="s">
        <v>5613</v>
      </c>
      <c r="G1093" s="11" t="s">
        <v>153</v>
      </c>
      <c r="H1093" s="11" t="s">
        <v>94</v>
      </c>
      <c r="I1093" s="11" t="s">
        <v>121</v>
      </c>
      <c r="J1093" s="11" t="s">
        <v>2264</v>
      </c>
      <c r="K1093" s="11"/>
      <c r="L1093" s="11" t="s">
        <v>5614</v>
      </c>
      <c r="M1093" s="11"/>
      <c r="N1093" s="11"/>
      <c r="O1093" s="11"/>
      <c r="P1093" s="11" t="s">
        <v>102</v>
      </c>
      <c r="Q1093" s="12">
        <v>0</v>
      </c>
      <c r="R1093" s="13">
        <v>0</v>
      </c>
      <c r="S1093" s="11" t="s">
        <v>5611</v>
      </c>
      <c r="T1093" s="11"/>
      <c r="U1093" s="11" t="s">
        <v>104</v>
      </c>
      <c r="V1093" s="11" t="s">
        <v>105</v>
      </c>
      <c r="W1093" s="11" t="s">
        <v>106</v>
      </c>
      <c r="X1093" s="11"/>
      <c r="Y1093" s="11"/>
      <c r="Z1093" s="11"/>
      <c r="AA1093" s="12">
        <v>1092</v>
      </c>
      <c r="AB1093" s="12"/>
      <c r="AC1093" s="11" t="s">
        <v>107</v>
      </c>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3"/>
      <c r="AZ1093" s="13"/>
      <c r="BA1093" s="13"/>
      <c r="BB1093" s="13"/>
      <c r="BC1093" s="13"/>
      <c r="BD1093" s="13"/>
    </row>
    <row r="1094" spans="1:56" ht="42" x14ac:dyDescent="0.25">
      <c r="A1094" s="11" t="s">
        <v>5615</v>
      </c>
      <c r="B1094" s="11" t="s">
        <v>5616</v>
      </c>
      <c r="C1094" s="11"/>
      <c r="D1094" s="11" t="s">
        <v>91</v>
      </c>
      <c r="E1094" s="11"/>
      <c r="F1094" s="11" t="s">
        <v>5617</v>
      </c>
      <c r="G1094" s="11" t="s">
        <v>153</v>
      </c>
      <c r="H1094" s="11" t="s">
        <v>94</v>
      </c>
      <c r="I1094" s="11" t="s">
        <v>121</v>
      </c>
      <c r="J1094" s="11" t="s">
        <v>122</v>
      </c>
      <c r="K1094" s="11"/>
      <c r="L1094" s="11" t="s">
        <v>5618</v>
      </c>
      <c r="M1094" s="11"/>
      <c r="N1094" s="11"/>
      <c r="O1094" s="11"/>
      <c r="P1094" s="11" t="s">
        <v>102</v>
      </c>
      <c r="Q1094" s="12">
        <v>0</v>
      </c>
      <c r="R1094" s="13">
        <v>0</v>
      </c>
      <c r="S1094" s="11" t="s">
        <v>5615</v>
      </c>
      <c r="T1094" s="11"/>
      <c r="U1094" s="11" t="s">
        <v>104</v>
      </c>
      <c r="V1094" s="11" t="s">
        <v>105</v>
      </c>
      <c r="W1094" s="11" t="s">
        <v>106</v>
      </c>
      <c r="X1094" s="11"/>
      <c r="Y1094" s="11"/>
      <c r="Z1094" s="11"/>
      <c r="AA1094" s="12">
        <v>1093</v>
      </c>
      <c r="AB1094" s="12"/>
      <c r="AC1094" s="11" t="s">
        <v>107</v>
      </c>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3"/>
      <c r="AY1094" s="13"/>
      <c r="AZ1094" s="13"/>
      <c r="BA1094" s="13"/>
      <c r="BB1094" s="13"/>
      <c r="BC1094" s="13"/>
      <c r="BD1094" s="13"/>
    </row>
    <row r="1095" spans="1:56" ht="42" x14ac:dyDescent="0.25">
      <c r="A1095" s="11" t="s">
        <v>5619</v>
      </c>
      <c r="B1095" s="11" t="s">
        <v>5620</v>
      </c>
      <c r="C1095" s="11"/>
      <c r="D1095" s="11" t="s">
        <v>91</v>
      </c>
      <c r="E1095" s="11"/>
      <c r="F1095" s="11" t="s">
        <v>5621</v>
      </c>
      <c r="G1095" s="11" t="s">
        <v>153</v>
      </c>
      <c r="H1095" s="11" t="s">
        <v>94</v>
      </c>
      <c r="I1095" s="11" t="s">
        <v>121</v>
      </c>
      <c r="J1095" s="11" t="s">
        <v>737</v>
      </c>
      <c r="K1095" s="11"/>
      <c r="L1095" s="11" t="s">
        <v>5622</v>
      </c>
      <c r="M1095" s="11"/>
      <c r="N1095" s="11"/>
      <c r="O1095" s="11"/>
      <c r="P1095" s="11" t="s">
        <v>102</v>
      </c>
      <c r="Q1095" s="12">
        <v>0</v>
      </c>
      <c r="R1095" s="13">
        <v>0</v>
      </c>
      <c r="S1095" s="11" t="s">
        <v>5619</v>
      </c>
      <c r="T1095" s="11"/>
      <c r="U1095" s="11" t="s">
        <v>104</v>
      </c>
      <c r="V1095" s="11" t="s">
        <v>105</v>
      </c>
      <c r="W1095" s="11" t="s">
        <v>106</v>
      </c>
      <c r="X1095" s="11"/>
      <c r="Y1095" s="11"/>
      <c r="Z1095" s="11"/>
      <c r="AA1095" s="12">
        <v>1094</v>
      </c>
      <c r="AB1095" s="12"/>
      <c r="AC1095" s="11" t="s">
        <v>107</v>
      </c>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3"/>
      <c r="AY1095" s="13"/>
      <c r="AZ1095" s="13"/>
      <c r="BA1095" s="13"/>
      <c r="BB1095" s="13"/>
      <c r="BC1095" s="13"/>
      <c r="BD1095" s="13"/>
    </row>
    <row r="1096" spans="1:56" ht="42" x14ac:dyDescent="0.25">
      <c r="A1096" s="11" t="s">
        <v>5623</v>
      </c>
      <c r="B1096" s="11" t="s">
        <v>5624</v>
      </c>
      <c r="C1096" s="11"/>
      <c r="D1096" s="11" t="s">
        <v>91</v>
      </c>
      <c r="E1096" s="11"/>
      <c r="F1096" s="11" t="s">
        <v>5625</v>
      </c>
      <c r="G1096" s="11" t="s">
        <v>153</v>
      </c>
      <c r="H1096" s="11" t="s">
        <v>94</v>
      </c>
      <c r="I1096" s="11" t="s">
        <v>121</v>
      </c>
      <c r="J1096" s="11" t="s">
        <v>2285</v>
      </c>
      <c r="K1096" s="11"/>
      <c r="L1096" s="11" t="s">
        <v>5626</v>
      </c>
      <c r="M1096" s="11"/>
      <c r="N1096" s="11"/>
      <c r="O1096" s="11"/>
      <c r="P1096" s="11" t="s">
        <v>102</v>
      </c>
      <c r="Q1096" s="12">
        <v>0</v>
      </c>
      <c r="R1096" s="13">
        <v>0</v>
      </c>
      <c r="S1096" s="11" t="s">
        <v>5623</v>
      </c>
      <c r="T1096" s="11"/>
      <c r="U1096" s="11" t="s">
        <v>104</v>
      </c>
      <c r="V1096" s="11" t="s">
        <v>105</v>
      </c>
      <c r="W1096" s="11" t="s">
        <v>106</v>
      </c>
      <c r="X1096" s="11"/>
      <c r="Y1096" s="11"/>
      <c r="Z1096" s="11"/>
      <c r="AA1096" s="12">
        <v>1095</v>
      </c>
      <c r="AB1096" s="12"/>
      <c r="AC1096" s="11" t="s">
        <v>107</v>
      </c>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3"/>
      <c r="AZ1096" s="13"/>
      <c r="BA1096" s="13"/>
      <c r="BB1096" s="13"/>
      <c r="BC1096" s="13"/>
      <c r="BD1096" s="13"/>
    </row>
    <row r="1097" spans="1:56" ht="42" x14ac:dyDescent="0.25">
      <c r="A1097" s="11" t="s">
        <v>5627</v>
      </c>
      <c r="B1097" s="11" t="s">
        <v>5628</v>
      </c>
      <c r="C1097" s="11"/>
      <c r="D1097" s="11" t="s">
        <v>91</v>
      </c>
      <c r="E1097" s="11"/>
      <c r="F1097" s="11" t="s">
        <v>5629</v>
      </c>
      <c r="G1097" s="11" t="s">
        <v>153</v>
      </c>
      <c r="H1097" s="11" t="s">
        <v>94</v>
      </c>
      <c r="I1097" s="11" t="s">
        <v>121</v>
      </c>
      <c r="J1097" s="11" t="s">
        <v>122</v>
      </c>
      <c r="K1097" s="11"/>
      <c r="L1097" s="11" t="s">
        <v>5630</v>
      </c>
      <c r="M1097" s="11"/>
      <c r="N1097" s="11"/>
      <c r="O1097" s="11"/>
      <c r="P1097" s="11" t="s">
        <v>102</v>
      </c>
      <c r="Q1097" s="12">
        <v>0</v>
      </c>
      <c r="R1097" s="13">
        <v>0</v>
      </c>
      <c r="S1097" s="11" t="s">
        <v>5627</v>
      </c>
      <c r="T1097" s="11"/>
      <c r="U1097" s="11" t="s">
        <v>104</v>
      </c>
      <c r="V1097" s="11" t="s">
        <v>105</v>
      </c>
      <c r="W1097" s="11" t="s">
        <v>106</v>
      </c>
      <c r="X1097" s="11"/>
      <c r="Y1097" s="11"/>
      <c r="Z1097" s="11"/>
      <c r="AA1097" s="12">
        <v>1096</v>
      </c>
      <c r="AB1097" s="12"/>
      <c r="AC1097" s="11" t="s">
        <v>107</v>
      </c>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3"/>
      <c r="AZ1097" s="13"/>
      <c r="BA1097" s="13"/>
      <c r="BB1097" s="13"/>
      <c r="BC1097" s="13"/>
      <c r="BD1097" s="13"/>
    </row>
    <row r="1098" spans="1:56" ht="42" x14ac:dyDescent="0.25">
      <c r="A1098" s="11" t="s">
        <v>5631</v>
      </c>
      <c r="B1098" s="11" t="s">
        <v>5632</v>
      </c>
      <c r="C1098" s="11"/>
      <c r="D1098" s="11" t="s">
        <v>91</v>
      </c>
      <c r="E1098" s="11"/>
      <c r="F1098" s="11" t="s">
        <v>5633</v>
      </c>
      <c r="G1098" s="11" t="s">
        <v>153</v>
      </c>
      <c r="H1098" s="11" t="s">
        <v>94</v>
      </c>
      <c r="I1098" s="11" t="s">
        <v>121</v>
      </c>
      <c r="J1098" s="11" t="s">
        <v>122</v>
      </c>
      <c r="K1098" s="11"/>
      <c r="L1098" s="11" t="s">
        <v>5634</v>
      </c>
      <c r="M1098" s="11"/>
      <c r="N1098" s="11"/>
      <c r="O1098" s="11"/>
      <c r="P1098" s="11" t="s">
        <v>102</v>
      </c>
      <c r="Q1098" s="12">
        <v>0</v>
      </c>
      <c r="R1098" s="13">
        <v>0</v>
      </c>
      <c r="S1098" s="11" t="s">
        <v>5631</v>
      </c>
      <c r="T1098" s="11"/>
      <c r="U1098" s="11" t="s">
        <v>104</v>
      </c>
      <c r="V1098" s="11" t="s">
        <v>105</v>
      </c>
      <c r="W1098" s="11" t="s">
        <v>106</v>
      </c>
      <c r="X1098" s="11"/>
      <c r="Y1098" s="11"/>
      <c r="Z1098" s="11"/>
      <c r="AA1098" s="12">
        <v>1097</v>
      </c>
      <c r="AB1098" s="12"/>
      <c r="AC1098" s="11" t="s">
        <v>107</v>
      </c>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3"/>
      <c r="AZ1098" s="13"/>
      <c r="BA1098" s="13"/>
      <c r="BB1098" s="13"/>
      <c r="BC1098" s="13"/>
      <c r="BD1098" s="13"/>
    </row>
    <row r="1099" spans="1:56" ht="42" x14ac:dyDescent="0.25">
      <c r="A1099" s="11" t="s">
        <v>5635</v>
      </c>
      <c r="B1099" s="11" t="s">
        <v>5636</v>
      </c>
      <c r="C1099" s="11"/>
      <c r="D1099" s="11" t="s">
        <v>91</v>
      </c>
      <c r="E1099" s="11"/>
      <c r="F1099" s="11" t="s">
        <v>5637</v>
      </c>
      <c r="G1099" s="11" t="s">
        <v>153</v>
      </c>
      <c r="H1099" s="11" t="s">
        <v>94</v>
      </c>
      <c r="I1099" s="11" t="s">
        <v>121</v>
      </c>
      <c r="J1099" s="11" t="s">
        <v>122</v>
      </c>
      <c r="K1099" s="11"/>
      <c r="L1099" s="11" t="s">
        <v>5638</v>
      </c>
      <c r="M1099" s="11" t="s">
        <v>139</v>
      </c>
      <c r="N1099" s="11"/>
      <c r="O1099" s="11"/>
      <c r="P1099" s="11" t="s">
        <v>102</v>
      </c>
      <c r="Q1099" s="12">
        <v>0</v>
      </c>
      <c r="R1099" s="13">
        <v>0</v>
      </c>
      <c r="S1099" s="11" t="s">
        <v>5635</v>
      </c>
      <c r="T1099" s="11"/>
      <c r="U1099" s="11" t="s">
        <v>104</v>
      </c>
      <c r="V1099" s="11" t="s">
        <v>105</v>
      </c>
      <c r="W1099" s="11" t="s">
        <v>106</v>
      </c>
      <c r="X1099" s="11"/>
      <c r="Y1099" s="11"/>
      <c r="Z1099" s="11"/>
      <c r="AA1099" s="12">
        <v>1098</v>
      </c>
      <c r="AB1099" s="12"/>
      <c r="AC1099" s="11" t="s">
        <v>107</v>
      </c>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3"/>
      <c r="AZ1099" s="13"/>
      <c r="BA1099" s="13"/>
      <c r="BB1099" s="13"/>
      <c r="BC1099" s="13"/>
      <c r="BD1099" s="13"/>
    </row>
    <row r="1100" spans="1:56" ht="42" x14ac:dyDescent="0.25">
      <c r="A1100" s="11" t="s">
        <v>5639</v>
      </c>
      <c r="B1100" s="11" t="s">
        <v>5640</v>
      </c>
      <c r="C1100" s="11"/>
      <c r="D1100" s="11" t="s">
        <v>91</v>
      </c>
      <c r="E1100" s="11"/>
      <c r="F1100" s="11" t="s">
        <v>5641</v>
      </c>
      <c r="G1100" s="11" t="s">
        <v>153</v>
      </c>
      <c r="H1100" s="11" t="s">
        <v>94</v>
      </c>
      <c r="I1100" s="11" t="s">
        <v>121</v>
      </c>
      <c r="J1100" s="11" t="s">
        <v>2264</v>
      </c>
      <c r="K1100" s="11"/>
      <c r="L1100" s="11" t="s">
        <v>5642</v>
      </c>
      <c r="M1100" s="11"/>
      <c r="N1100" s="11"/>
      <c r="O1100" s="11"/>
      <c r="P1100" s="11" t="s">
        <v>102</v>
      </c>
      <c r="Q1100" s="12">
        <v>0</v>
      </c>
      <c r="R1100" s="13">
        <v>0</v>
      </c>
      <c r="S1100" s="11" t="s">
        <v>5639</v>
      </c>
      <c r="T1100" s="11"/>
      <c r="U1100" s="11" t="s">
        <v>104</v>
      </c>
      <c r="V1100" s="11" t="s">
        <v>105</v>
      </c>
      <c r="W1100" s="11" t="s">
        <v>106</v>
      </c>
      <c r="X1100" s="11"/>
      <c r="Y1100" s="11"/>
      <c r="Z1100" s="11"/>
      <c r="AA1100" s="12">
        <v>1099</v>
      </c>
      <c r="AB1100" s="12"/>
      <c r="AC1100" s="11" t="s">
        <v>107</v>
      </c>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3"/>
      <c r="AZ1100" s="13"/>
      <c r="BA1100" s="13"/>
      <c r="BB1100" s="13"/>
      <c r="BC1100" s="13"/>
      <c r="BD1100" s="13"/>
    </row>
    <row r="1101" spans="1:56" ht="42" x14ac:dyDescent="0.25">
      <c r="A1101" s="11" t="s">
        <v>5643</v>
      </c>
      <c r="B1101" s="11" t="s">
        <v>5644</v>
      </c>
      <c r="C1101" s="11"/>
      <c r="D1101" s="11" t="s">
        <v>91</v>
      </c>
      <c r="E1101" s="11"/>
      <c r="F1101" s="11" t="s">
        <v>5645</v>
      </c>
      <c r="G1101" s="11" t="s">
        <v>153</v>
      </c>
      <c r="H1101" s="11" t="s">
        <v>94</v>
      </c>
      <c r="I1101" s="11" t="s">
        <v>121</v>
      </c>
      <c r="J1101" s="11" t="s">
        <v>122</v>
      </c>
      <c r="K1101" s="11"/>
      <c r="L1101" s="11" t="s">
        <v>5646</v>
      </c>
      <c r="M1101" s="11"/>
      <c r="N1101" s="11"/>
      <c r="O1101" s="11"/>
      <c r="P1101" s="11" t="s">
        <v>102</v>
      </c>
      <c r="Q1101" s="12">
        <v>0</v>
      </c>
      <c r="R1101" s="13">
        <v>0</v>
      </c>
      <c r="S1101" s="11" t="s">
        <v>5643</v>
      </c>
      <c r="T1101" s="11"/>
      <c r="U1101" s="11" t="s">
        <v>104</v>
      </c>
      <c r="V1101" s="11" t="s">
        <v>105</v>
      </c>
      <c r="W1101" s="11" t="s">
        <v>106</v>
      </c>
      <c r="X1101" s="11"/>
      <c r="Y1101" s="11"/>
      <c r="Z1101" s="11"/>
      <c r="AA1101" s="12">
        <v>1100</v>
      </c>
      <c r="AB1101" s="12"/>
      <c r="AC1101" s="11" t="s">
        <v>107</v>
      </c>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3"/>
      <c r="BA1101" s="13"/>
      <c r="BB1101" s="13"/>
      <c r="BC1101" s="13"/>
      <c r="BD1101" s="13"/>
    </row>
    <row r="1102" spans="1:56" ht="42" x14ac:dyDescent="0.25">
      <c r="A1102" s="11" t="s">
        <v>5647</v>
      </c>
      <c r="B1102" s="11" t="s">
        <v>5648</v>
      </c>
      <c r="C1102" s="11"/>
      <c r="D1102" s="11" t="s">
        <v>91</v>
      </c>
      <c r="E1102" s="11"/>
      <c r="F1102" s="11" t="s">
        <v>5649</v>
      </c>
      <c r="G1102" s="11" t="s">
        <v>153</v>
      </c>
      <c r="H1102" s="11" t="s">
        <v>94</v>
      </c>
      <c r="I1102" s="11" t="s">
        <v>121</v>
      </c>
      <c r="J1102" s="11" t="s">
        <v>2264</v>
      </c>
      <c r="K1102" s="11"/>
      <c r="L1102" s="11" t="s">
        <v>5650</v>
      </c>
      <c r="M1102" s="11"/>
      <c r="N1102" s="11"/>
      <c r="O1102" s="11"/>
      <c r="P1102" s="11" t="s">
        <v>102</v>
      </c>
      <c r="Q1102" s="12">
        <v>0</v>
      </c>
      <c r="R1102" s="13">
        <v>0</v>
      </c>
      <c r="S1102" s="11" t="s">
        <v>5647</v>
      </c>
      <c r="T1102" s="11"/>
      <c r="U1102" s="11" t="s">
        <v>104</v>
      </c>
      <c r="V1102" s="11" t="s">
        <v>105</v>
      </c>
      <c r="W1102" s="11" t="s">
        <v>106</v>
      </c>
      <c r="X1102" s="11"/>
      <c r="Y1102" s="11"/>
      <c r="Z1102" s="11"/>
      <c r="AA1102" s="12">
        <v>1101</v>
      </c>
      <c r="AB1102" s="12"/>
      <c r="AC1102" s="11" t="s">
        <v>107</v>
      </c>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3"/>
      <c r="BA1102" s="13"/>
      <c r="BB1102" s="13"/>
      <c r="BC1102" s="13"/>
      <c r="BD1102" s="13"/>
    </row>
    <row r="1103" spans="1:56" ht="42" x14ac:dyDescent="0.25">
      <c r="A1103" s="11" t="s">
        <v>5651</v>
      </c>
      <c r="B1103" s="11" t="s">
        <v>5652</v>
      </c>
      <c r="C1103" s="11"/>
      <c r="D1103" s="11" t="s">
        <v>91</v>
      </c>
      <c r="E1103" s="11"/>
      <c r="F1103" s="11" t="s">
        <v>5653</v>
      </c>
      <c r="G1103" s="11" t="s">
        <v>153</v>
      </c>
      <c r="H1103" s="11" t="s">
        <v>94</v>
      </c>
      <c r="I1103" s="11" t="s">
        <v>121</v>
      </c>
      <c r="J1103" s="11" t="s">
        <v>2264</v>
      </c>
      <c r="K1103" s="11"/>
      <c r="L1103" s="11" t="s">
        <v>5654</v>
      </c>
      <c r="M1103" s="11"/>
      <c r="N1103" s="11"/>
      <c r="O1103" s="11"/>
      <c r="P1103" s="11" t="s">
        <v>102</v>
      </c>
      <c r="Q1103" s="12">
        <v>0</v>
      </c>
      <c r="R1103" s="13">
        <v>0</v>
      </c>
      <c r="S1103" s="11" t="s">
        <v>5651</v>
      </c>
      <c r="T1103" s="11"/>
      <c r="U1103" s="11" t="s">
        <v>104</v>
      </c>
      <c r="V1103" s="11" t="s">
        <v>105</v>
      </c>
      <c r="W1103" s="11" t="s">
        <v>106</v>
      </c>
      <c r="X1103" s="11"/>
      <c r="Y1103" s="11"/>
      <c r="Z1103" s="11"/>
      <c r="AA1103" s="12">
        <v>1102</v>
      </c>
      <c r="AB1103" s="12"/>
      <c r="AC1103" s="11" t="s">
        <v>107</v>
      </c>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3"/>
      <c r="BA1103" s="13"/>
      <c r="BB1103" s="13"/>
      <c r="BC1103" s="13"/>
      <c r="BD1103" s="13"/>
    </row>
    <row r="1104" spans="1:56" ht="42" x14ac:dyDescent="0.25">
      <c r="A1104" s="11" t="s">
        <v>5655</v>
      </c>
      <c r="B1104" s="11" t="s">
        <v>5656</v>
      </c>
      <c r="C1104" s="11"/>
      <c r="D1104" s="11" t="s">
        <v>91</v>
      </c>
      <c r="E1104" s="11"/>
      <c r="F1104" s="11" t="s">
        <v>5657</v>
      </c>
      <c r="G1104" s="11" t="s">
        <v>153</v>
      </c>
      <c r="H1104" s="11" t="s">
        <v>94</v>
      </c>
      <c r="I1104" s="11" t="s">
        <v>121</v>
      </c>
      <c r="J1104" s="11" t="s">
        <v>971</v>
      </c>
      <c r="K1104" s="11"/>
      <c r="L1104" s="11" t="s">
        <v>5658</v>
      </c>
      <c r="M1104" s="11"/>
      <c r="N1104" s="11"/>
      <c r="O1104" s="11"/>
      <c r="P1104" s="11" t="s">
        <v>102</v>
      </c>
      <c r="Q1104" s="12">
        <v>0</v>
      </c>
      <c r="R1104" s="13">
        <v>0</v>
      </c>
      <c r="S1104" s="11" t="s">
        <v>5655</v>
      </c>
      <c r="T1104" s="11"/>
      <c r="U1104" s="11" t="s">
        <v>104</v>
      </c>
      <c r="V1104" s="11" t="s">
        <v>105</v>
      </c>
      <c r="W1104" s="11" t="s">
        <v>106</v>
      </c>
      <c r="X1104" s="11"/>
      <c r="Y1104" s="11"/>
      <c r="Z1104" s="11"/>
      <c r="AA1104" s="12">
        <v>1103</v>
      </c>
      <c r="AB1104" s="12"/>
      <c r="AC1104" s="11" t="s">
        <v>107</v>
      </c>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row>
    <row r="1105" spans="1:56" ht="56" x14ac:dyDescent="0.25">
      <c r="A1105" s="11" t="s">
        <v>5659</v>
      </c>
      <c r="B1105" s="11" t="s">
        <v>5660</v>
      </c>
      <c r="C1105" s="11"/>
      <c r="D1105" s="11" t="s">
        <v>91</v>
      </c>
      <c r="E1105" s="11" t="s">
        <v>92</v>
      </c>
      <c r="F1105" s="11" t="s">
        <v>3250</v>
      </c>
      <c r="G1105" s="11" t="s">
        <v>5661</v>
      </c>
      <c r="H1105" s="11" t="s">
        <v>94</v>
      </c>
      <c r="I1105" s="11" t="s">
        <v>95</v>
      </c>
      <c r="J1105" s="11" t="s">
        <v>1087</v>
      </c>
      <c r="K1105" s="11" t="s">
        <v>123</v>
      </c>
      <c r="L1105" s="11" t="s">
        <v>5662</v>
      </c>
      <c r="M1105" s="11" t="s">
        <v>99</v>
      </c>
      <c r="N1105" s="11" t="s">
        <v>100</v>
      </c>
      <c r="O1105" s="11" t="s">
        <v>101</v>
      </c>
      <c r="P1105" s="11" t="s">
        <v>102</v>
      </c>
      <c r="Q1105" s="11"/>
      <c r="R1105" s="11"/>
      <c r="S1105" s="11"/>
      <c r="T1105" s="11"/>
      <c r="U1105" s="11" t="s">
        <v>104</v>
      </c>
      <c r="V1105" s="11" t="s">
        <v>105</v>
      </c>
      <c r="W1105" s="11" t="s">
        <v>106</v>
      </c>
      <c r="X1105" s="11"/>
      <c r="Y1105" s="11"/>
      <c r="Z1105" s="11"/>
      <c r="AA1105" s="12">
        <v>1104</v>
      </c>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3"/>
      <c r="AZ1105" s="13"/>
      <c r="BA1105" s="13"/>
      <c r="BB1105" s="13"/>
      <c r="BC1105" s="13"/>
      <c r="BD1105" s="13"/>
    </row>
    <row r="1106" spans="1:56" ht="42" x14ac:dyDescent="0.25">
      <c r="A1106" s="11" t="s">
        <v>5663</v>
      </c>
      <c r="B1106" s="11" t="s">
        <v>5664</v>
      </c>
      <c r="C1106" s="11"/>
      <c r="D1106" s="11" t="s">
        <v>91</v>
      </c>
      <c r="E1106" s="11" t="s">
        <v>92</v>
      </c>
      <c r="F1106" s="11" t="s">
        <v>5664</v>
      </c>
      <c r="G1106" s="11" t="s">
        <v>2913</v>
      </c>
      <c r="H1106" s="11" t="s">
        <v>94</v>
      </c>
      <c r="I1106" s="11" t="s">
        <v>112</v>
      </c>
      <c r="J1106" s="11" t="s">
        <v>112</v>
      </c>
      <c r="K1106" s="11" t="s">
        <v>123</v>
      </c>
      <c r="L1106" s="11" t="s">
        <v>5665</v>
      </c>
      <c r="M1106" s="11" t="s">
        <v>133</v>
      </c>
      <c r="N1106" s="11" t="s">
        <v>100</v>
      </c>
      <c r="O1106" s="11" t="s">
        <v>2297</v>
      </c>
      <c r="P1106" s="11" t="s">
        <v>102</v>
      </c>
      <c r="Q1106" s="11">
        <v>114.140805</v>
      </c>
      <c r="R1106" s="11">
        <v>22.751608999999998</v>
      </c>
      <c r="S1106" s="11"/>
      <c r="T1106" s="11"/>
      <c r="U1106" s="11" t="s">
        <v>104</v>
      </c>
      <c r="V1106" s="11" t="s">
        <v>105</v>
      </c>
      <c r="W1106" s="11" t="s">
        <v>106</v>
      </c>
      <c r="X1106" s="11"/>
      <c r="Y1106" s="11"/>
      <c r="Z1106" s="11"/>
      <c r="AA1106" s="12">
        <v>1105</v>
      </c>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3"/>
      <c r="AZ1106" s="13"/>
      <c r="BA1106" s="13"/>
      <c r="BB1106" s="13"/>
      <c r="BC1106" s="13"/>
      <c r="BD1106" s="13"/>
    </row>
    <row r="1107" spans="1:56" ht="56" x14ac:dyDescent="0.25">
      <c r="A1107" s="11" t="s">
        <v>5666</v>
      </c>
      <c r="B1107" s="11" t="s">
        <v>5667</v>
      </c>
      <c r="C1107" s="11"/>
      <c r="D1107" s="11" t="s">
        <v>91</v>
      </c>
      <c r="E1107" s="11" t="s">
        <v>92</v>
      </c>
      <c r="F1107" s="11" t="s">
        <v>5601</v>
      </c>
      <c r="G1107" s="11" t="s">
        <v>5668</v>
      </c>
      <c r="H1107" s="11" t="s">
        <v>94</v>
      </c>
      <c r="I1107" s="11" t="s">
        <v>121</v>
      </c>
      <c r="J1107" s="11" t="s">
        <v>122</v>
      </c>
      <c r="K1107" s="11" t="s">
        <v>123</v>
      </c>
      <c r="L1107" s="11" t="s">
        <v>5669</v>
      </c>
      <c r="M1107" s="11" t="s">
        <v>133</v>
      </c>
      <c r="N1107" s="11" t="s">
        <v>100</v>
      </c>
      <c r="O1107" s="11" t="s">
        <v>101</v>
      </c>
      <c r="P1107" s="11" t="s">
        <v>102</v>
      </c>
      <c r="Q1107" s="11"/>
      <c r="R1107" s="11"/>
      <c r="S1107" s="11"/>
      <c r="T1107" s="11"/>
      <c r="U1107" s="11" t="s">
        <v>104</v>
      </c>
      <c r="V1107" s="11" t="s">
        <v>105</v>
      </c>
      <c r="W1107" s="11" t="s">
        <v>106</v>
      </c>
      <c r="X1107" s="11"/>
      <c r="Y1107" s="11"/>
      <c r="Z1107" s="11"/>
      <c r="AA1107" s="12">
        <v>1106</v>
      </c>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3"/>
      <c r="BA1107" s="13"/>
      <c r="BB1107" s="13"/>
      <c r="BC1107" s="13"/>
      <c r="BD1107" s="13"/>
    </row>
    <row r="1108" spans="1:56" ht="84" x14ac:dyDescent="0.25">
      <c r="A1108" s="11" t="s">
        <v>5670</v>
      </c>
      <c r="B1108" s="11" t="s">
        <v>5671</v>
      </c>
      <c r="C1108" s="11"/>
      <c r="D1108" s="11" t="s">
        <v>91</v>
      </c>
      <c r="E1108" s="11" t="s">
        <v>92</v>
      </c>
      <c r="F1108" s="11" t="s">
        <v>5672</v>
      </c>
      <c r="G1108" s="11" t="s">
        <v>5673</v>
      </c>
      <c r="H1108" s="11" t="s">
        <v>94</v>
      </c>
      <c r="I1108" s="11" t="s">
        <v>95</v>
      </c>
      <c r="J1108" s="11" t="s">
        <v>1087</v>
      </c>
      <c r="K1108" s="11" t="s">
        <v>123</v>
      </c>
      <c r="L1108" s="11" t="s">
        <v>5674</v>
      </c>
      <c r="M1108" s="11" t="s">
        <v>133</v>
      </c>
      <c r="N1108" s="11" t="s">
        <v>100</v>
      </c>
      <c r="O1108" s="11" t="s">
        <v>101</v>
      </c>
      <c r="P1108" s="11" t="s">
        <v>102</v>
      </c>
      <c r="Q1108" s="11"/>
      <c r="R1108" s="11"/>
      <c r="S1108" s="11"/>
      <c r="T1108" s="11"/>
      <c r="U1108" s="11" t="s">
        <v>104</v>
      </c>
      <c r="V1108" s="11" t="s">
        <v>105</v>
      </c>
      <c r="W1108" s="11" t="s">
        <v>106</v>
      </c>
      <c r="X1108" s="11"/>
      <c r="Y1108" s="11"/>
      <c r="Z1108" s="11"/>
      <c r="AA1108" s="12">
        <v>1107</v>
      </c>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3"/>
      <c r="AZ1108" s="13"/>
      <c r="BA1108" s="13"/>
      <c r="BB1108" s="13"/>
      <c r="BC1108" s="13"/>
      <c r="BD1108" s="13"/>
    </row>
    <row r="1109" spans="1:56" ht="84" x14ac:dyDescent="0.25">
      <c r="A1109" s="11" t="s">
        <v>5675</v>
      </c>
      <c r="B1109" s="11" t="s">
        <v>5676</v>
      </c>
      <c r="C1109" s="11"/>
      <c r="D1109" s="11" t="s">
        <v>91</v>
      </c>
      <c r="E1109" s="11" t="s">
        <v>92</v>
      </c>
      <c r="F1109" s="11" t="s">
        <v>5677</v>
      </c>
      <c r="G1109" s="11" t="s">
        <v>5678</v>
      </c>
      <c r="H1109" s="11" t="s">
        <v>94</v>
      </c>
      <c r="I1109" s="11" t="s">
        <v>95</v>
      </c>
      <c r="J1109" s="11" t="s">
        <v>749</v>
      </c>
      <c r="K1109" s="11" t="s">
        <v>123</v>
      </c>
      <c r="L1109" s="11" t="s">
        <v>5679</v>
      </c>
      <c r="M1109" s="11" t="s">
        <v>133</v>
      </c>
      <c r="N1109" s="11" t="s">
        <v>100</v>
      </c>
      <c r="O1109" s="11" t="s">
        <v>101</v>
      </c>
      <c r="P1109" s="11" t="s">
        <v>102</v>
      </c>
      <c r="Q1109" s="11"/>
      <c r="R1109" s="11"/>
      <c r="S1109" s="11"/>
      <c r="T1109" s="11"/>
      <c r="U1109" s="11" t="s">
        <v>104</v>
      </c>
      <c r="V1109" s="11" t="s">
        <v>105</v>
      </c>
      <c r="W1109" s="11" t="s">
        <v>106</v>
      </c>
      <c r="X1109" s="11"/>
      <c r="Y1109" s="11"/>
      <c r="Z1109" s="11"/>
      <c r="AA1109" s="12">
        <v>1108</v>
      </c>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3"/>
      <c r="AZ1109" s="13"/>
      <c r="BA1109" s="13"/>
      <c r="BB1109" s="13"/>
      <c r="BC1109" s="13"/>
      <c r="BD1109" s="13"/>
    </row>
    <row r="1110" spans="1:56" ht="70" x14ac:dyDescent="0.25">
      <c r="A1110" s="11" t="s">
        <v>5680</v>
      </c>
      <c r="B1110" s="11" t="s">
        <v>5681</v>
      </c>
      <c r="C1110" s="11"/>
      <c r="D1110" s="11" t="s">
        <v>91</v>
      </c>
      <c r="E1110" s="11" t="s">
        <v>92</v>
      </c>
      <c r="F1110" s="11" t="s">
        <v>5682</v>
      </c>
      <c r="G1110" s="11" t="s">
        <v>5683</v>
      </c>
      <c r="H1110" s="11" t="s">
        <v>94</v>
      </c>
      <c r="I1110" s="11" t="s">
        <v>95</v>
      </c>
      <c r="J1110" s="11" t="s">
        <v>749</v>
      </c>
      <c r="K1110" s="11" t="s">
        <v>123</v>
      </c>
      <c r="L1110" s="11" t="s">
        <v>5684</v>
      </c>
      <c r="M1110" s="11" t="s">
        <v>99</v>
      </c>
      <c r="N1110" s="11" t="s">
        <v>100</v>
      </c>
      <c r="O1110" s="11" t="s">
        <v>101</v>
      </c>
      <c r="P1110" s="11" t="s">
        <v>102</v>
      </c>
      <c r="Q1110" s="11"/>
      <c r="R1110" s="11"/>
      <c r="S1110" s="11"/>
      <c r="T1110" s="11"/>
      <c r="U1110" s="11" t="s">
        <v>104</v>
      </c>
      <c r="V1110" s="11" t="s">
        <v>105</v>
      </c>
      <c r="W1110" s="11" t="s">
        <v>106</v>
      </c>
      <c r="X1110" s="11"/>
      <c r="Y1110" s="11"/>
      <c r="Z1110" s="11"/>
      <c r="AA1110" s="12">
        <v>1109</v>
      </c>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3"/>
      <c r="AZ1110" s="13"/>
      <c r="BA1110" s="13"/>
      <c r="BB1110" s="13"/>
      <c r="BC1110" s="13"/>
      <c r="BD1110" s="1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Waybill</vt:lpstr>
      <vt:lpstr>CustomerLine</vt:lpstr>
      <vt:lpstr>OrderLine</vt:lpstr>
      <vt:lpstr>GoodsLine</vt:lpstr>
      <vt:lpstr>数据输入表</vt:lpstr>
      <vt:lpstr>客户信息底表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宇睿 翁</cp:lastModifiedBy>
  <dcterms:created xsi:type="dcterms:W3CDTF">2026-04-20T08:39:00Z</dcterms:created>
  <dcterms:modified xsi:type="dcterms:W3CDTF">2026-04-24T09:03:31Z</dcterms:modified>
</cp:coreProperties>
</file>