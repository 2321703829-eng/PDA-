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5421\PycharmProjects\pythonProject\build\城市配送\数据分析脚本\物流产出结果\"/>
    </mc:Choice>
  </mc:AlternateContent>
  <xr:revisionPtr revIDLastSave="0" documentId="13_ncr:1_{35705CB7-C9C2-40B7-A436-F5C77F91BE1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B21" i="1"/>
  <c r="C21" i="1"/>
  <c r="A8" i="1"/>
  <c r="B8" i="1"/>
  <c r="C8" i="1"/>
  <c r="A9" i="1"/>
  <c r="B9" i="1"/>
  <c r="C9" i="1"/>
  <c r="A11" i="1"/>
  <c r="B11" i="1"/>
  <c r="C11" i="1"/>
  <c r="A17" i="1"/>
  <c r="B17" i="1"/>
  <c r="C17" i="1"/>
  <c r="A6" i="1"/>
  <c r="B6" i="1"/>
  <c r="C6" i="1"/>
  <c r="A28" i="1"/>
  <c r="B28" i="1"/>
  <c r="C28" i="1"/>
  <c r="A4" i="1"/>
  <c r="B4" i="1"/>
  <c r="C4" i="1"/>
  <c r="A32" i="1"/>
  <c r="B32" i="1"/>
  <c r="C32" i="1"/>
  <c r="A2" i="1"/>
  <c r="B2" i="1"/>
  <c r="C2" i="1"/>
  <c r="A30" i="1"/>
  <c r="B30" i="1"/>
  <c r="C30" i="1"/>
  <c r="A31" i="1"/>
  <c r="B31" i="1"/>
  <c r="C31" i="1"/>
  <c r="A20" i="1"/>
  <c r="B20" i="1"/>
  <c r="C20" i="1"/>
  <c r="A7" i="1"/>
  <c r="B7" i="1"/>
  <c r="C7" i="1"/>
  <c r="A10" i="1"/>
  <c r="B10" i="1"/>
  <c r="C10" i="1"/>
  <c r="A24" i="1"/>
  <c r="B24" i="1"/>
  <c r="C24" i="1"/>
  <c r="A25" i="1"/>
  <c r="B25" i="1"/>
  <c r="C25" i="1"/>
  <c r="A27" i="1"/>
  <c r="B27" i="1"/>
  <c r="C27" i="1"/>
  <c r="A23" i="1"/>
  <c r="B23" i="1"/>
  <c r="C23" i="1"/>
  <c r="A22" i="1"/>
  <c r="B22" i="1"/>
  <c r="C22" i="1"/>
  <c r="A19" i="1"/>
  <c r="B19" i="1"/>
  <c r="C19" i="1"/>
  <c r="A16" i="1"/>
  <c r="B16" i="1"/>
  <c r="C16" i="1"/>
  <c r="A13" i="1"/>
  <c r="B13" i="1"/>
  <c r="C13" i="1"/>
  <c r="A15" i="1"/>
  <c r="B15" i="1"/>
  <c r="C15" i="1"/>
  <c r="A14" i="1"/>
  <c r="B14" i="1"/>
  <c r="C14" i="1"/>
  <c r="A29" i="1"/>
  <c r="B29" i="1"/>
  <c r="C29" i="1"/>
  <c r="A5" i="1"/>
  <c r="B5" i="1"/>
  <c r="C5" i="1"/>
  <c r="A18" i="1"/>
  <c r="B18" i="1"/>
  <c r="C18" i="1"/>
  <c r="A12" i="1"/>
  <c r="B12" i="1"/>
  <c r="C12" i="1"/>
  <c r="A3" i="1"/>
  <c r="B3" i="1"/>
  <c r="C3" i="1"/>
  <c r="C26" i="1"/>
  <c r="B26" i="1"/>
  <c r="A26" i="1"/>
</calcChain>
</file>

<file path=xl/sharedStrings.xml><?xml version="1.0" encoding="utf-8"?>
<sst xmlns="http://schemas.openxmlformats.org/spreadsheetml/2006/main" count="224" uniqueCount="216">
  <si>
    <t>批次号</t>
  </si>
  <si>
    <t>排线序号</t>
  </si>
  <si>
    <t>运单号</t>
  </si>
  <si>
    <t>客户名称</t>
  </si>
  <si>
    <t>收货地址</t>
  </si>
  <si>
    <t>联系人</t>
  </si>
  <si>
    <t>联系电话</t>
  </si>
  <si>
    <t>集货位</t>
  </si>
  <si>
    <t>不收货时间段</t>
  </si>
  <si>
    <t>门店备注</t>
  </si>
  <si>
    <t>整件数</t>
  </si>
  <si>
    <t>散件数</t>
  </si>
  <si>
    <t>总重量_kg</t>
  </si>
  <si>
    <t>总体积_m3</t>
  </si>
  <si>
    <t>经度</t>
  </si>
  <si>
    <t>纬度</t>
  </si>
  <si>
    <t>司机姓名</t>
  </si>
  <si>
    <t>车牌号</t>
  </si>
  <si>
    <t>名创优品（广州海珠敦和路店）</t>
  </si>
  <si>
    <t>名创优品（广州越秀黄华路店）</t>
  </si>
  <si>
    <t>名创优品（广州荔湾周门北路店）</t>
  </si>
  <si>
    <t>名创优品（广州番禺南村店）</t>
  </si>
  <si>
    <t>名创优品（广州越秀寺右新马路店）</t>
  </si>
  <si>
    <t>名创优品（广州天河育英路店）</t>
  </si>
  <si>
    <t>名创优品（深圳宝安西乡海滨新村店）</t>
  </si>
  <si>
    <t>名创优品（深圳南山粤海琼宇路店）</t>
  </si>
  <si>
    <t>名创优品（深圳福田华强北店）</t>
  </si>
  <si>
    <t>名创优品（深圳福田车公庙店）</t>
  </si>
  <si>
    <t>名创优品（深圳福田中港城店）</t>
  </si>
  <si>
    <t>名创优品（深圳沙井松山西路店）</t>
  </si>
  <si>
    <t>名创优品（深圳罗湖洪湖路店）</t>
  </si>
  <si>
    <t>名创优品（深圳南山南头国兴大厦店）</t>
  </si>
  <si>
    <t>名创优品（深圳龙华民治店）</t>
  </si>
  <si>
    <t>名创优品（深圳龙岗坂田长发西路店）</t>
  </si>
  <si>
    <t>协爽IDEA创工场B栋4楼出电梯右转再左转直走403</t>
  </si>
  <si>
    <t>黄华路中约外街9号之一102房</t>
  </si>
  <si>
    <t>周门北路35号首层自编A01</t>
  </si>
  <si>
    <t>南村镇万惠一路36号201</t>
  </si>
  <si>
    <t>寺右新马路77号地下1层</t>
  </si>
  <si>
    <t>广州市天河区黄村育英路31号自编C106</t>
  </si>
  <si>
    <t>西乡街道蚝业社区海滨新村沿河路14栋26号铺</t>
  </si>
  <si>
    <t>粤海街道科技园社区科技园琼宇路5号51栋厂房208</t>
  </si>
  <si>
    <t>华强北街道荔村社区华强北路3012号赛格科技园2栋东1001室</t>
  </si>
  <si>
    <t>泰然四路24号中联大厦2楼201室</t>
  </si>
  <si>
    <t>中港城大厦4楼小班布教育城4层L416-2室</t>
  </si>
  <si>
    <t>沙井街道壆岗社区松山西路10号厂房205</t>
  </si>
  <si>
    <t>笋岗街道湖景社区洪湖路32号湖景花园湖滨阁裙楼第二层L2-I2#</t>
  </si>
  <si>
    <t>南头街道田厦社区国兴大厦9A房</t>
  </si>
  <si>
    <t>龙华新区民治街道上芬社区西头村西头东苑1栋A203室</t>
  </si>
  <si>
    <t>坂田街道大发埔社区长发西路34号中宝通B3栋103房</t>
  </si>
  <si>
    <t>雷永骏</t>
  </si>
  <si>
    <t>梁东浩</t>
  </si>
  <si>
    <t>林燕煌</t>
  </si>
  <si>
    <t>麦宇霞</t>
  </si>
  <si>
    <t>赵小棋</t>
  </si>
  <si>
    <t>周雅吉</t>
  </si>
  <si>
    <t>白国伟</t>
  </si>
  <si>
    <t>陈敏敏</t>
  </si>
  <si>
    <t>陈木兰</t>
  </si>
  <si>
    <t>陈千悦</t>
  </si>
  <si>
    <t>何鑫玲</t>
  </si>
  <si>
    <t>黄兰萍</t>
  </si>
  <si>
    <t>廖友珠</t>
  </si>
  <si>
    <t>名创优品</t>
  </si>
  <si>
    <t>眭玲</t>
  </si>
  <si>
    <t>袁晓漫</t>
  </si>
  <si>
    <t>19120661026</t>
  </si>
  <si>
    <t>19878912059</t>
  </si>
  <si>
    <t>18823932132</t>
  </si>
  <si>
    <t>13232157824</t>
  </si>
  <si>
    <t>19129287464</t>
  </si>
  <si>
    <t>19120355106</t>
  </si>
  <si>
    <t>15323724437</t>
  </si>
  <si>
    <t>17818951730</t>
  </si>
  <si>
    <t>19022080561</t>
  </si>
  <si>
    <t>18620320182</t>
  </si>
  <si>
    <t>13113675543</t>
  </si>
  <si>
    <t>19022080602</t>
  </si>
  <si>
    <t>13049069633</t>
  </si>
  <si>
    <t>15323872703</t>
  </si>
  <si>
    <t>19917997505</t>
  </si>
  <si>
    <t>19926008956</t>
  </si>
  <si>
    <t>整23；散172</t>
  </si>
  <si>
    <t>整22；散180</t>
  </si>
  <si>
    <t>整24；散186</t>
  </si>
  <si>
    <t>整22；散178</t>
  </si>
  <si>
    <t>整22；散176</t>
  </si>
  <si>
    <t>整23；散184</t>
  </si>
  <si>
    <t>整25；散182</t>
  </si>
  <si>
    <t>整24；散174</t>
  </si>
  <si>
    <t>整24；散204</t>
  </si>
  <si>
    <t>整23；散162</t>
  </si>
  <si>
    <t>整22；散170</t>
  </si>
  <si>
    <t>整21；散160</t>
  </si>
  <si>
    <t>整23；散198</t>
  </si>
  <si>
    <t>整24；散190</t>
  </si>
  <si>
    <t>整23；散164</t>
  </si>
  <si>
    <t>整27；散164</t>
  </si>
  <si>
    <t>113.33</t>
  </si>
  <si>
    <t>113.28</t>
  </si>
  <si>
    <t>113.24</t>
  </si>
  <si>
    <t>113.35</t>
  </si>
  <si>
    <t>113.32</t>
  </si>
  <si>
    <t>113.42</t>
  </si>
  <si>
    <t>113.88</t>
  </si>
  <si>
    <t>113.95</t>
  </si>
  <si>
    <t>114.09</t>
  </si>
  <si>
    <t>114.04</t>
  </si>
  <si>
    <t>114.06</t>
  </si>
  <si>
    <t>113.82</t>
  </si>
  <si>
    <t>114.13</t>
  </si>
  <si>
    <t>113.93</t>
  </si>
  <si>
    <t>114.03</t>
  </si>
  <si>
    <t>23.09</t>
  </si>
  <si>
    <t>23.14</t>
  </si>
  <si>
    <t>23.13</t>
  </si>
  <si>
    <t>23.01</t>
  </si>
  <si>
    <t>22.57</t>
  </si>
  <si>
    <t>22.56</t>
  </si>
  <si>
    <t>22.55</t>
  </si>
  <si>
    <t>22.54</t>
  </si>
  <si>
    <t>22.52</t>
  </si>
  <si>
    <t>22.73</t>
  </si>
  <si>
    <t>22.53</t>
  </si>
  <si>
    <t>22.65</t>
  </si>
  <si>
    <t>22.64</t>
  </si>
  <si>
    <t>遇见个超市（固戍店）</t>
  </si>
  <si>
    <t>广东省 深圳市 宝安区 航城街道 三围社区三围顺发楼3楼遇见【需送货上门】</t>
  </si>
  <si>
    <t>18018758035</t>
  </si>
  <si>
    <t>整2；散68</t>
  </si>
  <si>
    <t>113.846572</t>
  </si>
  <si>
    <t>22.611433</t>
  </si>
  <si>
    <t>遇见个超市（龙岗店）</t>
  </si>
  <si>
    <t>广东省 深圳市 龙岗区 向银路祥达利文创园32号3栋101</t>
  </si>
  <si>
    <t>19926807325</t>
  </si>
  <si>
    <t>整3；散48</t>
  </si>
  <si>
    <t>114.258235</t>
  </si>
  <si>
    <t>22.711405</t>
  </si>
  <si>
    <t>遇见个超市（坪山店）</t>
  </si>
  <si>
    <t>广东省 深圳市 坪山区 马峦街道 坪环工业城102栋2楼遇见个超市（请勿三五，需要标签）</t>
  </si>
  <si>
    <t>13332949932</t>
  </si>
  <si>
    <t>整0；散95</t>
  </si>
  <si>
    <t>114.347735</t>
  </si>
  <si>
    <t>22.678559</t>
  </si>
  <si>
    <t>遇见个超市（石岩店）</t>
  </si>
  <si>
    <t>广东省 深圳市 宝安区 石岩街道 石岩镇成功里光辉路1号B栋二楼203</t>
  </si>
  <si>
    <t>15302692597</t>
  </si>
  <si>
    <t>整1；散47</t>
  </si>
  <si>
    <t>113.93123</t>
  </si>
  <si>
    <t>22.683023</t>
  </si>
  <si>
    <t>遇见个超市（深圳大学店）</t>
  </si>
  <si>
    <t>广东省 深圳市 南山区 粤海街道 M-10栋1号厂房东南角一楼</t>
  </si>
  <si>
    <t>15602986436</t>
  </si>
  <si>
    <t>整1；散44</t>
  </si>
  <si>
    <t>113.941771</t>
  </si>
  <si>
    <t>22.541582</t>
  </si>
  <si>
    <t>遇见个超市（平湖店）</t>
  </si>
  <si>
    <t>广东省 深圳市 龙岗区 平湖街道 平龙东路96-2号</t>
  </si>
  <si>
    <t>18824621434</t>
  </si>
  <si>
    <t>整1；散76</t>
  </si>
  <si>
    <t>114.131545</t>
  </si>
  <si>
    <t>22.701504</t>
  </si>
  <si>
    <t>遇见个超市（松岗店）</t>
  </si>
  <si>
    <t>广东省 深圳市 宝安区 松岗街道 红星社区松明大道185号二楼204</t>
  </si>
  <si>
    <t>17322324009</t>
  </si>
  <si>
    <t>整2；散49</t>
  </si>
  <si>
    <t>113.829699</t>
  </si>
  <si>
    <t>22.764699</t>
  </si>
  <si>
    <t>遇见个超市（笋岗店）</t>
  </si>
  <si>
    <t>广东省 深圳市 福田区 园岭街道八卦四路先科大院2栋4楼B区1`1</t>
  </si>
  <si>
    <t>遇见个超市（深圳笋岗店）</t>
  </si>
  <si>
    <t>13360975856</t>
  </si>
  <si>
    <t>整2；散54</t>
  </si>
  <si>
    <t>114.102781</t>
  </si>
  <si>
    <t>22.564643</t>
  </si>
  <si>
    <t>遇见个超市（观澜店）</t>
  </si>
  <si>
    <t>广东省 深圳市 龙华区 观湖街道 金茂路17号 4栋2楼</t>
  </si>
  <si>
    <t>18025431822</t>
  </si>
  <si>
    <t>整3；散98</t>
  </si>
  <si>
    <t>114.060625</t>
  </si>
  <si>
    <t>22.715625</t>
  </si>
  <si>
    <t>遇见个超市（清湖店）</t>
  </si>
  <si>
    <t>广东省 深圳市 龙华区 河背工业区遇见个超市清湖店</t>
  </si>
  <si>
    <t>18028728154</t>
  </si>
  <si>
    <t>整1；散94</t>
  </si>
  <si>
    <t>114.019509</t>
  </si>
  <si>
    <t>22.67079</t>
  </si>
  <si>
    <t>遇见个超市（凤凰城店）</t>
  </si>
  <si>
    <t>广东省 深圳市 光明区 凤凰街道 塘家社区塘兴路22号A栋101</t>
  </si>
  <si>
    <t>18098911871</t>
  </si>
  <si>
    <t>整1；散86</t>
  </si>
  <si>
    <t>113.934559</t>
  </si>
  <si>
    <t>22.731802</t>
  </si>
  <si>
    <t>遇见个超市（福城店）</t>
  </si>
  <si>
    <t>广东省 深圳市 龙华区福城街道 章阁社区章阁路78号荣力科技园G栋二楼</t>
  </si>
  <si>
    <t>18002537889</t>
  </si>
  <si>
    <t>整2；散37</t>
  </si>
  <si>
    <t>114.02018</t>
  </si>
  <si>
    <t>22.742778</t>
  </si>
  <si>
    <t>遇见个超市（西乡店）</t>
  </si>
  <si>
    <t>广东省 深圳市 宝安区 西乡街道 西乡荔园路4号西万大厦二楼</t>
  </si>
  <si>
    <t>18028757865</t>
  </si>
  <si>
    <t>整4；散47</t>
  </si>
  <si>
    <t>113.883538</t>
  </si>
  <si>
    <t>22.576865</t>
  </si>
  <si>
    <t>遇见个超市（大运店）</t>
  </si>
  <si>
    <t>广东省 深圳市 龙岗区 龙城街道 爱联台中工业区A6-203遇见个超市</t>
  </si>
  <si>
    <t>18025340660</t>
  </si>
  <si>
    <t>114.23</t>
  </si>
  <si>
    <t>22.7</t>
  </si>
  <si>
    <t>遇见个超市（天益城店）</t>
  </si>
  <si>
    <t>广东省 惠州市 惠城区 陈江街道 锦霞街8号厂房三楼（需要送货上门，拒绝三无产品需要贴合格证）</t>
  </si>
  <si>
    <t>18029994428</t>
  </si>
  <si>
    <t>整0；散77</t>
  </si>
  <si>
    <t>114.316875</t>
  </si>
  <si>
    <t>23.006475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</si>
</sst>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5421\PycharmProjects\pythonProject\build\&#22478;&#24066;&#37197;&#36865;\&#25968;&#25454;&#20998;&#26512;&#33050;&#26412;\&#29289;&#27969;&#20135;&#20986;&#32467;&#26524;\&#25490;&#32447;&#34920;0429.xlsx" TargetMode="External"/><Relationship Id="rId1" Type="http://schemas.openxmlformats.org/officeDocument/2006/relationships/externalLinkPath" Target="&#25490;&#32447;&#34920;04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批次号</v>
          </cell>
          <cell r="B1" t="str">
            <v>顺序</v>
          </cell>
          <cell r="C1" t="str">
            <v>运单号</v>
          </cell>
          <cell r="D1" t="str">
            <v>店铺名称</v>
          </cell>
        </row>
        <row r="2">
          <cell r="A2" t="str">
            <v>PC202604290001</v>
          </cell>
          <cell r="B2">
            <v>1</v>
          </cell>
          <cell r="C2" t="str">
            <v>YD2026042900001</v>
          </cell>
          <cell r="D2" t="str">
            <v>遇见个超市（清湖店）</v>
          </cell>
        </row>
        <row r="3">
          <cell r="A3" t="str">
            <v>PC202604290001</v>
          </cell>
          <cell r="B3">
            <v>2</v>
          </cell>
          <cell r="C3" t="str">
            <v>YD2026042900002</v>
          </cell>
          <cell r="D3" t="str">
            <v>名创优品（深圳龙岗坂田长发西路店）</v>
          </cell>
        </row>
        <row r="4">
          <cell r="A4" t="str">
            <v>PC202604290001</v>
          </cell>
          <cell r="B4">
            <v>3</v>
          </cell>
          <cell r="C4" t="str">
            <v>YD2026042900003</v>
          </cell>
          <cell r="D4" t="str">
            <v>遇见个超市（笋岗店）</v>
          </cell>
        </row>
        <row r="5">
          <cell r="A5" t="str">
            <v>PC202604290001</v>
          </cell>
          <cell r="B5">
            <v>4</v>
          </cell>
          <cell r="C5" t="str">
            <v>YD2026042900004</v>
          </cell>
          <cell r="D5" t="str">
            <v>名创优品（深圳罗湖洪湖路店）</v>
          </cell>
        </row>
        <row r="6">
          <cell r="A6" t="str">
            <v>PC202604290001</v>
          </cell>
          <cell r="B6">
            <v>5</v>
          </cell>
          <cell r="C6" t="str">
            <v>YD2026042900005</v>
          </cell>
          <cell r="D6" t="str">
            <v>遇见个超市（平湖店）</v>
          </cell>
        </row>
        <row r="7">
          <cell r="A7" t="str">
            <v>PC202604290001</v>
          </cell>
          <cell r="B7">
            <v>6</v>
          </cell>
          <cell r="C7" t="str">
            <v>YD2026042900006</v>
          </cell>
          <cell r="D7" t="str">
            <v>遇见个超市（大运店）</v>
          </cell>
        </row>
        <row r="8">
          <cell r="A8" t="str">
            <v>PC202604290001</v>
          </cell>
          <cell r="B8">
            <v>7</v>
          </cell>
          <cell r="C8" t="str">
            <v>YD2026042900007</v>
          </cell>
          <cell r="D8" t="str">
            <v>遇见个超市（龙岗店）</v>
          </cell>
        </row>
        <row r="9">
          <cell r="A9" t="str">
            <v>PC202604290001</v>
          </cell>
          <cell r="B9">
            <v>8</v>
          </cell>
          <cell r="C9" t="str">
            <v>YD2026042900008</v>
          </cell>
          <cell r="D9" t="str">
            <v>遇见个超市（坪山店）</v>
          </cell>
        </row>
        <row r="10">
          <cell r="A10" t="str">
            <v>PC202604290001</v>
          </cell>
          <cell r="B10">
            <v>9</v>
          </cell>
          <cell r="C10" t="str">
            <v>YD2026042900009</v>
          </cell>
          <cell r="D10" t="str">
            <v>遇见个超市（天益城店）</v>
          </cell>
        </row>
        <row r="11">
          <cell r="A11" t="str">
            <v>PC202604290002</v>
          </cell>
          <cell r="B11">
            <v>1</v>
          </cell>
          <cell r="C11" t="str">
            <v>YD2026042900010</v>
          </cell>
          <cell r="D11" t="str">
            <v>遇见个超市（石岩店）</v>
          </cell>
        </row>
        <row r="12">
          <cell r="A12" t="str">
            <v>PC202604290002</v>
          </cell>
          <cell r="B12">
            <v>2</v>
          </cell>
          <cell r="C12" t="str">
            <v>YD2026042900011</v>
          </cell>
          <cell r="D12" t="str">
            <v>名创优品（深圳龙华民治店）</v>
          </cell>
        </row>
        <row r="13">
          <cell r="A13" t="str">
            <v>PC202604290002</v>
          </cell>
          <cell r="B13">
            <v>3</v>
          </cell>
          <cell r="C13" t="str">
            <v>YD2026042900012</v>
          </cell>
          <cell r="D13" t="str">
            <v>名创优品（深圳福田华强北店）</v>
          </cell>
        </row>
        <row r="14">
          <cell r="A14" t="str">
            <v>PC202604290002</v>
          </cell>
          <cell r="B14">
            <v>4</v>
          </cell>
          <cell r="C14" t="str">
            <v>YD2026042900013</v>
          </cell>
          <cell r="D14" t="str">
            <v>名创优品（深圳福田中港城店）</v>
          </cell>
        </row>
        <row r="15">
          <cell r="A15" t="str">
            <v>PC202604290002</v>
          </cell>
          <cell r="B15">
            <v>5</v>
          </cell>
          <cell r="C15" t="str">
            <v>YD2026042900014</v>
          </cell>
          <cell r="D15" t="str">
            <v>名创优品（深圳福田车公庙店）</v>
          </cell>
        </row>
        <row r="16">
          <cell r="A16" t="str">
            <v>PC202604290002</v>
          </cell>
          <cell r="B16">
            <v>6</v>
          </cell>
          <cell r="C16" t="str">
            <v>YD2026042900015</v>
          </cell>
          <cell r="D16" t="str">
            <v>名创优品（深圳南山粤海琼宇路店）</v>
          </cell>
        </row>
        <row r="17">
          <cell r="A17" t="str">
            <v>PC202604290002</v>
          </cell>
          <cell r="B17">
            <v>7</v>
          </cell>
          <cell r="C17" t="str">
            <v>YD2026042900016</v>
          </cell>
          <cell r="D17" t="str">
            <v>遇见个超市（深圳大学店）</v>
          </cell>
        </row>
        <row r="18">
          <cell r="A18" t="str">
            <v>PC202604290002</v>
          </cell>
          <cell r="B18">
            <v>8</v>
          </cell>
          <cell r="C18" t="str">
            <v>YD2026042900017</v>
          </cell>
          <cell r="D18" t="str">
            <v>名创优品（深圳南山南头国兴大厦店）</v>
          </cell>
        </row>
        <row r="19">
          <cell r="A19" t="str">
            <v>PC202604290002</v>
          </cell>
          <cell r="B19">
            <v>9</v>
          </cell>
          <cell r="C19" t="str">
            <v>YD2026042900018</v>
          </cell>
          <cell r="D19" t="str">
            <v>名创优品（深圳宝安西乡海滨新村店）</v>
          </cell>
        </row>
        <row r="20">
          <cell r="A20" t="str">
            <v>PC202604290002</v>
          </cell>
          <cell r="B20">
            <v>10</v>
          </cell>
          <cell r="C20" t="str">
            <v>YD2026042900019</v>
          </cell>
          <cell r="D20" t="str">
            <v>遇见个超市（西乡店）</v>
          </cell>
        </row>
        <row r="21">
          <cell r="A21" t="str">
            <v>PC202604290002</v>
          </cell>
          <cell r="B21">
            <v>11</v>
          </cell>
          <cell r="C21" t="str">
            <v>YD2026042900020</v>
          </cell>
          <cell r="D21" t="str">
            <v>遇见个超市（固戍店）</v>
          </cell>
        </row>
        <row r="22">
          <cell r="A22" t="str">
            <v>PC202604290003</v>
          </cell>
          <cell r="B22">
            <v>1</v>
          </cell>
          <cell r="C22" t="str">
            <v>YD2026042900021</v>
          </cell>
          <cell r="D22" t="str">
            <v>名创优品（广州天河育英路店）</v>
          </cell>
        </row>
        <row r="23">
          <cell r="A23" t="str">
            <v>PC202604290003</v>
          </cell>
          <cell r="B23">
            <v>2</v>
          </cell>
          <cell r="C23" t="str">
            <v>YD2026042900022</v>
          </cell>
          <cell r="D23" t="str">
            <v>名创优品（广州越秀寺右新马路店）</v>
          </cell>
        </row>
        <row r="24">
          <cell r="A24" t="str">
            <v>PC202604290003</v>
          </cell>
          <cell r="B24">
            <v>3</v>
          </cell>
          <cell r="C24" t="str">
            <v>YD2026042900023</v>
          </cell>
          <cell r="D24" t="str">
            <v>名创优品（广州越秀黄华路店）</v>
          </cell>
        </row>
        <row r="25">
          <cell r="A25" t="str">
            <v>PC202604290003</v>
          </cell>
          <cell r="B25">
            <v>4</v>
          </cell>
          <cell r="C25" t="str">
            <v>YD2026042900024</v>
          </cell>
          <cell r="D25" t="str">
            <v>名创优品（广州荔湾周门北路店）</v>
          </cell>
        </row>
        <row r="26">
          <cell r="A26" t="str">
            <v>PC202604290003</v>
          </cell>
          <cell r="B26">
            <v>5</v>
          </cell>
          <cell r="C26" t="str">
            <v>YD2026042900025</v>
          </cell>
          <cell r="D26" t="str">
            <v>名创优品（广州海珠敦和路店）</v>
          </cell>
        </row>
        <row r="27">
          <cell r="A27" t="str">
            <v>PC202604290003</v>
          </cell>
          <cell r="B27">
            <v>6</v>
          </cell>
          <cell r="C27" t="str">
            <v>YD2026042900026</v>
          </cell>
          <cell r="D27" t="str">
            <v>名创优品（广州番禺南村店）</v>
          </cell>
        </row>
        <row r="28">
          <cell r="A28" t="str">
            <v>PC202604290003</v>
          </cell>
          <cell r="B28">
            <v>7</v>
          </cell>
          <cell r="C28" t="str">
            <v>YD2026042900027</v>
          </cell>
          <cell r="D28" t="str">
            <v>遇见个超市（松岗店）</v>
          </cell>
        </row>
        <row r="29">
          <cell r="A29" t="str">
            <v>PC202604290003</v>
          </cell>
          <cell r="B29">
            <v>8</v>
          </cell>
          <cell r="C29" t="str">
            <v>YD2026042900028</v>
          </cell>
          <cell r="D29" t="str">
            <v>名创优品（深圳沙井松山西路店）</v>
          </cell>
        </row>
        <row r="30">
          <cell r="A30" t="str">
            <v>PC202604290003</v>
          </cell>
          <cell r="B30">
            <v>9</v>
          </cell>
          <cell r="C30" t="str">
            <v>YD2026042900029</v>
          </cell>
          <cell r="D30" t="str">
            <v>遇见个超市（凤凰城店）</v>
          </cell>
        </row>
        <row r="31">
          <cell r="A31" t="str">
            <v>PC202604290003</v>
          </cell>
          <cell r="B31">
            <v>10</v>
          </cell>
          <cell r="C31" t="str">
            <v>YD2026042900030</v>
          </cell>
          <cell r="D31" t="str">
            <v>遇见个超市（福城店）</v>
          </cell>
        </row>
        <row r="32">
          <cell r="A32" t="str">
            <v>PC202604290003</v>
          </cell>
          <cell r="B32">
            <v>11</v>
          </cell>
          <cell r="C32" t="str">
            <v>YD2026042900031</v>
          </cell>
          <cell r="D32" t="str">
            <v>遇见个超市（观澜店）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3.5" x14ac:dyDescent="0.3"/>
  <cols>
    <col min="1" max="1" width="20.86328125" customWidth="1"/>
    <col min="2" max="2" width="12.73046875" customWidth="1"/>
    <col min="3" max="3" width="22.33203125" customWidth="1"/>
    <col min="4" max="4" width="19.73046875" customWidth="1"/>
    <col min="5" max="5" width="41.9296875" style="5" customWidth="1"/>
    <col min="6" max="6" width="12.73046875" customWidth="1"/>
    <col min="7" max="7" width="13.73046875" customWidth="1"/>
    <col min="8" max="12" width="12.73046875" customWidth="1"/>
    <col min="13" max="13" width="20.73046875" style="1" customWidth="1"/>
    <col min="14" max="14" width="21.73046875" style="1" customWidth="1"/>
    <col min="15" max="18" width="12.73046875" customWidth="1"/>
  </cols>
  <sheetData>
    <row r="1" spans="1:18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7" x14ac:dyDescent="0.3">
      <c r="A2" s="6" t="str">
        <f>_xlfn.XLOOKUP(D2,[1]Sheet1!$D:$D,[1]Sheet1!$A:$A,,0)</f>
        <v>PC202604290001</v>
      </c>
      <c r="B2" s="6">
        <f>_xlfn.XLOOKUP(D2,[1]Sheet1!$D:$D,[1]Sheet1!$B:$B,,0)</f>
        <v>1</v>
      </c>
      <c r="C2" s="6" t="str">
        <f>_xlfn.XLOOKUP(D2,[1]Sheet1!$D:$D,[1]Sheet1!$C:$C,,0)</f>
        <v>YD2026042900001</v>
      </c>
      <c r="D2" s="6" t="s">
        <v>181</v>
      </c>
      <c r="E2" s="7" t="s">
        <v>182</v>
      </c>
      <c r="F2" s="6" t="s">
        <v>181</v>
      </c>
      <c r="G2" s="6" t="s">
        <v>183</v>
      </c>
      <c r="H2" s="6"/>
      <c r="I2" s="6"/>
      <c r="J2" s="6" t="s">
        <v>184</v>
      </c>
      <c r="K2" s="6">
        <v>1</v>
      </c>
      <c r="L2" s="6">
        <v>94</v>
      </c>
      <c r="M2" s="8">
        <v>1.5</v>
      </c>
      <c r="N2" s="8">
        <v>6.0000000000000001E-3</v>
      </c>
      <c r="O2" s="6" t="s">
        <v>185</v>
      </c>
      <c r="P2" s="6" t="s">
        <v>186</v>
      </c>
      <c r="Q2" s="6"/>
      <c r="R2" s="6"/>
    </row>
    <row r="3" spans="1:18" ht="27" x14ac:dyDescent="0.3">
      <c r="A3" s="6" t="str">
        <f>_xlfn.XLOOKUP(D3,[1]Sheet1!$D:$D,[1]Sheet1!$A:$A,,0)</f>
        <v>PC202604290001</v>
      </c>
      <c r="B3" s="6">
        <f>_xlfn.XLOOKUP(D3,[1]Sheet1!$D:$D,[1]Sheet1!$B:$B,,0)</f>
        <v>2</v>
      </c>
      <c r="C3" s="6" t="str">
        <f>_xlfn.XLOOKUP(D3,[1]Sheet1!$D:$D,[1]Sheet1!$C:$C,,0)</f>
        <v>YD2026042900002</v>
      </c>
      <c r="D3" s="6" t="s">
        <v>33</v>
      </c>
      <c r="E3" s="7" t="s">
        <v>49</v>
      </c>
      <c r="F3" s="6" t="s">
        <v>65</v>
      </c>
      <c r="G3" s="6" t="s">
        <v>81</v>
      </c>
      <c r="H3" s="6"/>
      <c r="I3" s="6"/>
      <c r="J3" s="6" t="s">
        <v>97</v>
      </c>
      <c r="K3" s="6">
        <v>27</v>
      </c>
      <c r="L3" s="6">
        <v>164</v>
      </c>
      <c r="M3" s="8">
        <v>182.75</v>
      </c>
      <c r="N3" s="8">
        <v>0.34494819999999993</v>
      </c>
      <c r="O3" s="6" t="s">
        <v>108</v>
      </c>
      <c r="P3" s="6" t="s">
        <v>125</v>
      </c>
      <c r="Q3" s="6"/>
      <c r="R3" s="6"/>
    </row>
    <row r="4" spans="1:18" ht="27" x14ac:dyDescent="0.3">
      <c r="A4" s="6" t="str">
        <f>_xlfn.XLOOKUP(D4,[1]Sheet1!$D:$D,[1]Sheet1!$A:$A,,0)</f>
        <v>PC202604290001</v>
      </c>
      <c r="B4" s="6">
        <f>_xlfn.XLOOKUP(D4,[1]Sheet1!$D:$D,[1]Sheet1!$B:$B,,0)</f>
        <v>3</v>
      </c>
      <c r="C4" s="6" t="str">
        <f>_xlfn.XLOOKUP(D4,[1]Sheet1!$D:$D,[1]Sheet1!$C:$C,,0)</f>
        <v>YD2026042900003</v>
      </c>
      <c r="D4" s="6" t="s">
        <v>168</v>
      </c>
      <c r="E4" s="7" t="s">
        <v>169</v>
      </c>
      <c r="F4" s="6" t="s">
        <v>170</v>
      </c>
      <c r="G4" s="6" t="s">
        <v>171</v>
      </c>
      <c r="H4" s="6"/>
      <c r="I4" s="6"/>
      <c r="J4" s="6" t="s">
        <v>172</v>
      </c>
      <c r="K4" s="6">
        <v>2</v>
      </c>
      <c r="L4" s="6">
        <v>54</v>
      </c>
      <c r="M4" s="8">
        <v>3</v>
      </c>
      <c r="N4" s="8">
        <v>1.2E-2</v>
      </c>
      <c r="O4" s="6" t="s">
        <v>173</v>
      </c>
      <c r="P4" s="6" t="s">
        <v>174</v>
      </c>
      <c r="Q4" s="6"/>
      <c r="R4" s="6"/>
    </row>
    <row r="5" spans="1:18" ht="27" x14ac:dyDescent="0.3">
      <c r="A5" s="6" t="str">
        <f>_xlfn.XLOOKUP(D5,[1]Sheet1!$D:$D,[1]Sheet1!$A:$A,,0)</f>
        <v>PC202604290001</v>
      </c>
      <c r="B5" s="6">
        <f>_xlfn.XLOOKUP(D5,[1]Sheet1!$D:$D,[1]Sheet1!$B:$B,,0)</f>
        <v>4</v>
      </c>
      <c r="C5" s="6" t="str">
        <f>_xlfn.XLOOKUP(D5,[1]Sheet1!$D:$D,[1]Sheet1!$C:$C,,0)</f>
        <v>YD2026042900004</v>
      </c>
      <c r="D5" s="6" t="s">
        <v>30</v>
      </c>
      <c r="E5" s="7" t="s">
        <v>46</v>
      </c>
      <c r="F5" s="6" t="s">
        <v>62</v>
      </c>
      <c r="G5" s="6" t="s">
        <v>78</v>
      </c>
      <c r="H5" s="6"/>
      <c r="I5" s="6"/>
      <c r="J5" s="6" t="s">
        <v>94</v>
      </c>
      <c r="K5" s="6">
        <v>23</v>
      </c>
      <c r="L5" s="6">
        <v>198</v>
      </c>
      <c r="M5" s="8">
        <v>164.35</v>
      </c>
      <c r="N5" s="8">
        <v>0.2731382</v>
      </c>
      <c r="O5" s="6" t="s">
        <v>110</v>
      </c>
      <c r="P5" s="6" t="s">
        <v>117</v>
      </c>
      <c r="Q5" s="6"/>
      <c r="R5" s="6"/>
    </row>
    <row r="6" spans="1:18" ht="27" x14ac:dyDescent="0.3">
      <c r="A6" s="6" t="str">
        <f>_xlfn.XLOOKUP(D6,[1]Sheet1!$D:$D,[1]Sheet1!$A:$A,,0)</f>
        <v>PC202604290001</v>
      </c>
      <c r="B6" s="6">
        <f>_xlfn.XLOOKUP(D6,[1]Sheet1!$D:$D,[1]Sheet1!$B:$B,,0)</f>
        <v>5</v>
      </c>
      <c r="C6" s="6" t="str">
        <f>_xlfn.XLOOKUP(D6,[1]Sheet1!$D:$D,[1]Sheet1!$C:$C,,0)</f>
        <v>YD2026042900005</v>
      </c>
      <c r="D6" s="6" t="s">
        <v>156</v>
      </c>
      <c r="E6" s="7" t="s">
        <v>157</v>
      </c>
      <c r="F6" s="6"/>
      <c r="G6" s="6" t="s">
        <v>158</v>
      </c>
      <c r="H6" s="6"/>
      <c r="I6" s="6"/>
      <c r="J6" s="6" t="s">
        <v>159</v>
      </c>
      <c r="K6" s="6">
        <v>1</v>
      </c>
      <c r="L6" s="6">
        <v>76</v>
      </c>
      <c r="M6" s="8">
        <v>1.5</v>
      </c>
      <c r="N6" s="8">
        <v>6.0000000000000001E-3</v>
      </c>
      <c r="O6" s="6" t="s">
        <v>160</v>
      </c>
      <c r="P6" s="6" t="s">
        <v>161</v>
      </c>
      <c r="Q6" s="6"/>
      <c r="R6" s="6"/>
    </row>
    <row r="7" spans="1:18" ht="27" x14ac:dyDescent="0.3">
      <c r="A7" s="6" t="str">
        <f>_xlfn.XLOOKUP(D7,[1]Sheet1!$D:$D,[1]Sheet1!$A:$A,,0)</f>
        <v>PC202604290001</v>
      </c>
      <c r="B7" s="6">
        <f>_xlfn.XLOOKUP(D7,[1]Sheet1!$D:$D,[1]Sheet1!$B:$B,,0)</f>
        <v>6</v>
      </c>
      <c r="C7" s="6" t="str">
        <f>_xlfn.XLOOKUP(D7,[1]Sheet1!$D:$D,[1]Sheet1!$C:$C,,0)</f>
        <v>YD2026042900006</v>
      </c>
      <c r="D7" s="6" t="s">
        <v>205</v>
      </c>
      <c r="E7" s="7" t="s">
        <v>206</v>
      </c>
      <c r="F7" s="6"/>
      <c r="G7" s="6" t="s">
        <v>207</v>
      </c>
      <c r="H7" s="6"/>
      <c r="I7" s="6"/>
      <c r="J7" s="6" t="s">
        <v>159</v>
      </c>
      <c r="K7" s="6">
        <v>1</v>
      </c>
      <c r="L7" s="6">
        <v>76</v>
      </c>
      <c r="M7" s="8">
        <v>1.5</v>
      </c>
      <c r="N7" s="8">
        <v>6.0000000000000001E-3</v>
      </c>
      <c r="O7" s="6" t="s">
        <v>208</v>
      </c>
      <c r="P7" s="6" t="s">
        <v>209</v>
      </c>
      <c r="Q7" s="6"/>
      <c r="R7" s="6"/>
    </row>
    <row r="8" spans="1:18" ht="27" x14ac:dyDescent="0.3">
      <c r="A8" s="6" t="str">
        <f>_xlfn.XLOOKUP(D8,[1]Sheet1!$D:$D,[1]Sheet1!$A:$A,,0)</f>
        <v>PC202604290001</v>
      </c>
      <c r="B8" s="6">
        <f>_xlfn.XLOOKUP(D8,[1]Sheet1!$D:$D,[1]Sheet1!$B:$B,,0)</f>
        <v>7</v>
      </c>
      <c r="C8" s="6" t="str">
        <f>_xlfn.XLOOKUP(D8,[1]Sheet1!$D:$D,[1]Sheet1!$C:$C,,0)</f>
        <v>YD2026042900007</v>
      </c>
      <c r="D8" s="6" t="s">
        <v>132</v>
      </c>
      <c r="E8" s="7" t="s">
        <v>133</v>
      </c>
      <c r="F8" s="6" t="s">
        <v>132</v>
      </c>
      <c r="G8" s="6" t="s">
        <v>134</v>
      </c>
      <c r="H8" s="6"/>
      <c r="I8" s="6"/>
      <c r="J8" s="6" t="s">
        <v>135</v>
      </c>
      <c r="K8" s="6">
        <v>3</v>
      </c>
      <c r="L8" s="6">
        <v>48</v>
      </c>
      <c r="M8" s="8">
        <v>4.5</v>
      </c>
      <c r="N8" s="8">
        <v>1.7999999999999999E-2</v>
      </c>
      <c r="O8" s="6" t="s">
        <v>136</v>
      </c>
      <c r="P8" s="6" t="s">
        <v>137</v>
      </c>
      <c r="Q8" s="6"/>
      <c r="R8" s="6"/>
    </row>
    <row r="9" spans="1:18" ht="27" x14ac:dyDescent="0.3">
      <c r="A9" s="6" t="str">
        <f>_xlfn.XLOOKUP(D9,[1]Sheet1!$D:$D,[1]Sheet1!$A:$A,,0)</f>
        <v>PC202604290001</v>
      </c>
      <c r="B9" s="6">
        <f>_xlfn.XLOOKUP(D9,[1]Sheet1!$D:$D,[1]Sheet1!$B:$B,,0)</f>
        <v>8</v>
      </c>
      <c r="C9" s="6" t="str">
        <f>_xlfn.XLOOKUP(D9,[1]Sheet1!$D:$D,[1]Sheet1!$C:$C,,0)</f>
        <v>YD2026042900008</v>
      </c>
      <c r="D9" s="6" t="s">
        <v>138</v>
      </c>
      <c r="E9" s="7" t="s">
        <v>139</v>
      </c>
      <c r="F9" s="6"/>
      <c r="G9" s="6" t="s">
        <v>140</v>
      </c>
      <c r="H9" s="6"/>
      <c r="I9" s="6"/>
      <c r="J9" s="6" t="s">
        <v>141</v>
      </c>
      <c r="K9" s="6">
        <v>0</v>
      </c>
      <c r="L9" s="6">
        <v>95</v>
      </c>
      <c r="M9" s="8">
        <v>0</v>
      </c>
      <c r="N9" s="8">
        <v>0</v>
      </c>
      <c r="O9" s="6" t="s">
        <v>142</v>
      </c>
      <c r="P9" s="6" t="s">
        <v>143</v>
      </c>
      <c r="Q9" s="6"/>
      <c r="R9" s="6"/>
    </row>
    <row r="10" spans="1:18" ht="40.5" x14ac:dyDescent="0.3">
      <c r="A10" s="6" t="str">
        <f>_xlfn.XLOOKUP(D10,[1]Sheet1!$D:$D,[1]Sheet1!$A:$A,,0)</f>
        <v>PC202604290001</v>
      </c>
      <c r="B10" s="6">
        <f>_xlfn.XLOOKUP(D10,[1]Sheet1!$D:$D,[1]Sheet1!$B:$B,,0)</f>
        <v>9</v>
      </c>
      <c r="C10" s="6" t="str">
        <f>_xlfn.XLOOKUP(D10,[1]Sheet1!$D:$D,[1]Sheet1!$C:$C,,0)</f>
        <v>YD2026042900009</v>
      </c>
      <c r="D10" s="6" t="s">
        <v>210</v>
      </c>
      <c r="E10" s="7" t="s">
        <v>211</v>
      </c>
      <c r="F10" s="6"/>
      <c r="G10" s="6" t="s">
        <v>212</v>
      </c>
      <c r="H10" s="6"/>
      <c r="I10" s="6"/>
      <c r="J10" s="6" t="s">
        <v>213</v>
      </c>
      <c r="K10" s="6">
        <v>0</v>
      </c>
      <c r="L10" s="6">
        <v>77</v>
      </c>
      <c r="M10" s="8">
        <v>0</v>
      </c>
      <c r="N10" s="8">
        <v>0</v>
      </c>
      <c r="O10" s="6" t="s">
        <v>214</v>
      </c>
      <c r="P10" s="6" t="s">
        <v>215</v>
      </c>
      <c r="Q10" s="6"/>
      <c r="R10" s="6"/>
    </row>
    <row r="11" spans="1:18" ht="27" x14ac:dyDescent="0.3">
      <c r="A11" s="6" t="str">
        <f>_xlfn.XLOOKUP(D11,[1]Sheet1!$D:$D,[1]Sheet1!$A:$A,,0)</f>
        <v>PC202604290002</v>
      </c>
      <c r="B11" s="6">
        <f>_xlfn.XLOOKUP(D11,[1]Sheet1!$D:$D,[1]Sheet1!$B:$B,,0)</f>
        <v>1</v>
      </c>
      <c r="C11" s="6" t="str">
        <f>_xlfn.XLOOKUP(D11,[1]Sheet1!$D:$D,[1]Sheet1!$C:$C,,0)</f>
        <v>YD2026042900010</v>
      </c>
      <c r="D11" s="6" t="s">
        <v>144</v>
      </c>
      <c r="E11" s="7" t="s">
        <v>145</v>
      </c>
      <c r="F11" s="6"/>
      <c r="G11" s="6" t="s">
        <v>146</v>
      </c>
      <c r="H11" s="6"/>
      <c r="I11" s="6"/>
      <c r="J11" s="6" t="s">
        <v>147</v>
      </c>
      <c r="K11" s="6">
        <v>1</v>
      </c>
      <c r="L11" s="6">
        <v>47</v>
      </c>
      <c r="M11" s="8">
        <v>1.5</v>
      </c>
      <c r="N11" s="8">
        <v>6.0000000000000001E-3</v>
      </c>
      <c r="O11" s="6" t="s">
        <v>148</v>
      </c>
      <c r="P11" s="6" t="s">
        <v>149</v>
      </c>
      <c r="Q11" s="6"/>
      <c r="R11" s="6"/>
    </row>
    <row r="12" spans="1:18" ht="27" x14ac:dyDescent="0.3">
      <c r="A12" s="6" t="str">
        <f>_xlfn.XLOOKUP(D12,[1]Sheet1!$D:$D,[1]Sheet1!$A:$A,,0)</f>
        <v>PC202604290002</v>
      </c>
      <c r="B12" s="6">
        <f>_xlfn.XLOOKUP(D12,[1]Sheet1!$D:$D,[1]Sheet1!$B:$B,,0)</f>
        <v>2</v>
      </c>
      <c r="C12" s="6" t="str">
        <f>_xlfn.XLOOKUP(D12,[1]Sheet1!$D:$D,[1]Sheet1!$C:$C,,0)</f>
        <v>YD2026042900011</v>
      </c>
      <c r="D12" s="6" t="s">
        <v>32</v>
      </c>
      <c r="E12" s="7" t="s">
        <v>48</v>
      </c>
      <c r="F12" s="6" t="s">
        <v>64</v>
      </c>
      <c r="G12" s="6" t="s">
        <v>80</v>
      </c>
      <c r="H12" s="6"/>
      <c r="I12" s="6"/>
      <c r="J12" s="6" t="s">
        <v>96</v>
      </c>
      <c r="K12" s="6">
        <v>23</v>
      </c>
      <c r="L12" s="6">
        <v>164</v>
      </c>
      <c r="M12" s="8">
        <v>168.75</v>
      </c>
      <c r="N12" s="8">
        <v>0.27929630000000011</v>
      </c>
      <c r="O12" s="6" t="s">
        <v>112</v>
      </c>
      <c r="P12" s="6" t="s">
        <v>124</v>
      </c>
      <c r="Q12" s="6"/>
      <c r="R12" s="6"/>
    </row>
    <row r="13" spans="1:18" ht="27" x14ac:dyDescent="0.3">
      <c r="A13" s="6" t="str">
        <f>_xlfn.XLOOKUP(D13,[1]Sheet1!$D:$D,[1]Sheet1!$A:$A,,0)</f>
        <v>PC202604290002</v>
      </c>
      <c r="B13" s="6">
        <f>_xlfn.XLOOKUP(D13,[1]Sheet1!$D:$D,[1]Sheet1!$B:$B,,0)</f>
        <v>3</v>
      </c>
      <c r="C13" s="6" t="str">
        <f>_xlfn.XLOOKUP(D13,[1]Sheet1!$D:$D,[1]Sheet1!$C:$C,,0)</f>
        <v>YD2026042900012</v>
      </c>
      <c r="D13" s="6" t="s">
        <v>26</v>
      </c>
      <c r="E13" s="7" t="s">
        <v>42</v>
      </c>
      <c r="F13" s="6" t="s">
        <v>58</v>
      </c>
      <c r="G13" s="6" t="s">
        <v>74</v>
      </c>
      <c r="H13" s="6"/>
      <c r="I13" s="6"/>
      <c r="J13" s="6" t="s">
        <v>90</v>
      </c>
      <c r="K13" s="6">
        <v>24</v>
      </c>
      <c r="L13" s="6">
        <v>204</v>
      </c>
      <c r="M13" s="8">
        <v>166.45</v>
      </c>
      <c r="N13" s="8">
        <v>0.29512290000000002</v>
      </c>
      <c r="O13" s="6" t="s">
        <v>106</v>
      </c>
      <c r="P13" s="6" t="s">
        <v>119</v>
      </c>
      <c r="Q13" s="6"/>
      <c r="R13" s="6"/>
    </row>
    <row r="14" spans="1:18" x14ac:dyDescent="0.3">
      <c r="A14" s="6" t="str">
        <f>_xlfn.XLOOKUP(D14,[1]Sheet1!$D:$D,[1]Sheet1!$A:$A,,0)</f>
        <v>PC202604290002</v>
      </c>
      <c r="B14" s="6">
        <f>_xlfn.XLOOKUP(D14,[1]Sheet1!$D:$D,[1]Sheet1!$B:$B,,0)</f>
        <v>4</v>
      </c>
      <c r="C14" s="6" t="str">
        <f>_xlfn.XLOOKUP(D14,[1]Sheet1!$D:$D,[1]Sheet1!$C:$C,,0)</f>
        <v>YD2026042900013</v>
      </c>
      <c r="D14" s="6" t="s">
        <v>28</v>
      </c>
      <c r="E14" s="7" t="s">
        <v>44</v>
      </c>
      <c r="F14" s="6" t="s">
        <v>60</v>
      </c>
      <c r="G14" s="6" t="s">
        <v>76</v>
      </c>
      <c r="H14" s="6"/>
      <c r="I14" s="6"/>
      <c r="J14" s="6" t="s">
        <v>92</v>
      </c>
      <c r="K14" s="6">
        <v>22</v>
      </c>
      <c r="L14" s="6">
        <v>170</v>
      </c>
      <c r="M14" s="8">
        <v>158.44999999999999</v>
      </c>
      <c r="N14" s="8">
        <v>0.26098009999999999</v>
      </c>
      <c r="O14" s="6" t="s">
        <v>108</v>
      </c>
      <c r="P14" s="6" t="s">
        <v>121</v>
      </c>
      <c r="Q14" s="6"/>
      <c r="R14" s="6"/>
    </row>
    <row r="15" spans="1:18" x14ac:dyDescent="0.3">
      <c r="A15" s="6" t="str">
        <f>_xlfn.XLOOKUP(D15,[1]Sheet1!$D:$D,[1]Sheet1!$A:$A,,0)</f>
        <v>PC202604290002</v>
      </c>
      <c r="B15" s="6">
        <f>_xlfn.XLOOKUP(D15,[1]Sheet1!$D:$D,[1]Sheet1!$B:$B,,0)</f>
        <v>5</v>
      </c>
      <c r="C15" s="6" t="str">
        <f>_xlfn.XLOOKUP(D15,[1]Sheet1!$D:$D,[1]Sheet1!$C:$C,,0)</f>
        <v>YD2026042900014</v>
      </c>
      <c r="D15" s="6" t="s">
        <v>27</v>
      </c>
      <c r="E15" s="7" t="s">
        <v>43</v>
      </c>
      <c r="F15" s="6" t="s">
        <v>59</v>
      </c>
      <c r="G15" s="6" t="s">
        <v>75</v>
      </c>
      <c r="H15" s="6"/>
      <c r="I15" s="6"/>
      <c r="J15" s="6" t="s">
        <v>91</v>
      </c>
      <c r="K15" s="6">
        <v>23</v>
      </c>
      <c r="L15" s="6">
        <v>162</v>
      </c>
      <c r="M15" s="8">
        <v>171.5</v>
      </c>
      <c r="N15" s="8">
        <v>0.28361809999999998</v>
      </c>
      <c r="O15" s="6" t="s">
        <v>107</v>
      </c>
      <c r="P15" s="6" t="s">
        <v>120</v>
      </c>
      <c r="Q15" s="6"/>
      <c r="R15" s="6"/>
    </row>
    <row r="16" spans="1:18" ht="27" x14ac:dyDescent="0.3">
      <c r="A16" s="6" t="str">
        <f>_xlfn.XLOOKUP(D16,[1]Sheet1!$D:$D,[1]Sheet1!$A:$A,,0)</f>
        <v>PC202604290002</v>
      </c>
      <c r="B16" s="6">
        <f>_xlfn.XLOOKUP(D16,[1]Sheet1!$D:$D,[1]Sheet1!$B:$B,,0)</f>
        <v>6</v>
      </c>
      <c r="C16" s="6" t="str">
        <f>_xlfn.XLOOKUP(D16,[1]Sheet1!$D:$D,[1]Sheet1!$C:$C,,0)</f>
        <v>YD2026042900015</v>
      </c>
      <c r="D16" s="6" t="s">
        <v>25</v>
      </c>
      <c r="E16" s="7" t="s">
        <v>41</v>
      </c>
      <c r="F16" s="6" t="s">
        <v>57</v>
      </c>
      <c r="G16" s="6" t="s">
        <v>73</v>
      </c>
      <c r="H16" s="6"/>
      <c r="I16" s="6"/>
      <c r="J16" s="6" t="s">
        <v>89</v>
      </c>
      <c r="K16" s="6">
        <v>24</v>
      </c>
      <c r="L16" s="6">
        <v>174</v>
      </c>
      <c r="M16" s="8">
        <v>166.45</v>
      </c>
      <c r="N16" s="8">
        <v>0.29512290000000002</v>
      </c>
      <c r="O16" s="6" t="s">
        <v>105</v>
      </c>
      <c r="P16" s="6" t="s">
        <v>118</v>
      </c>
      <c r="Q16" s="6"/>
      <c r="R16" s="6"/>
    </row>
    <row r="17" spans="1:18" ht="27" x14ac:dyDescent="0.3">
      <c r="A17" s="6" t="str">
        <f>_xlfn.XLOOKUP(D17,[1]Sheet1!$D:$D,[1]Sheet1!$A:$A,,0)</f>
        <v>PC202604290002</v>
      </c>
      <c r="B17" s="6">
        <f>_xlfn.XLOOKUP(D17,[1]Sheet1!$D:$D,[1]Sheet1!$B:$B,,0)</f>
        <v>7</v>
      </c>
      <c r="C17" s="6" t="str">
        <f>_xlfn.XLOOKUP(D17,[1]Sheet1!$D:$D,[1]Sheet1!$C:$C,,0)</f>
        <v>YD2026042900016</v>
      </c>
      <c r="D17" s="6" t="s">
        <v>150</v>
      </c>
      <c r="E17" s="7" t="s">
        <v>151</v>
      </c>
      <c r="F17" s="6"/>
      <c r="G17" s="6" t="s">
        <v>152</v>
      </c>
      <c r="H17" s="6"/>
      <c r="I17" s="6"/>
      <c r="J17" s="6" t="s">
        <v>153</v>
      </c>
      <c r="K17" s="6">
        <v>1</v>
      </c>
      <c r="L17" s="6">
        <v>44</v>
      </c>
      <c r="M17" s="8">
        <v>1.5</v>
      </c>
      <c r="N17" s="8">
        <v>6.0000000000000001E-3</v>
      </c>
      <c r="O17" s="6" t="s">
        <v>154</v>
      </c>
      <c r="P17" s="6" t="s">
        <v>155</v>
      </c>
      <c r="Q17" s="6"/>
      <c r="R17" s="6"/>
    </row>
    <row r="18" spans="1:18" x14ac:dyDescent="0.3">
      <c r="A18" s="6" t="str">
        <f>_xlfn.XLOOKUP(D18,[1]Sheet1!$D:$D,[1]Sheet1!$A:$A,,0)</f>
        <v>PC202604290002</v>
      </c>
      <c r="B18" s="6">
        <f>_xlfn.XLOOKUP(D18,[1]Sheet1!$D:$D,[1]Sheet1!$B:$B,,0)</f>
        <v>8</v>
      </c>
      <c r="C18" s="6" t="str">
        <f>_xlfn.XLOOKUP(D18,[1]Sheet1!$D:$D,[1]Sheet1!$C:$C,,0)</f>
        <v>YD2026042900017</v>
      </c>
      <c r="D18" s="6" t="s">
        <v>31</v>
      </c>
      <c r="E18" s="7" t="s">
        <v>47</v>
      </c>
      <c r="F18" s="6" t="s">
        <v>63</v>
      </c>
      <c r="G18" s="6" t="s">
        <v>79</v>
      </c>
      <c r="H18" s="6"/>
      <c r="I18" s="6"/>
      <c r="J18" s="6" t="s">
        <v>95</v>
      </c>
      <c r="K18" s="6">
        <v>24</v>
      </c>
      <c r="L18" s="6">
        <v>190</v>
      </c>
      <c r="M18" s="8">
        <v>162.05000000000001</v>
      </c>
      <c r="N18" s="8">
        <v>0.29765904999999998</v>
      </c>
      <c r="O18" s="6" t="s">
        <v>111</v>
      </c>
      <c r="P18" s="6" t="s">
        <v>123</v>
      </c>
      <c r="Q18" s="6"/>
      <c r="R18" s="6"/>
    </row>
    <row r="19" spans="1:18" x14ac:dyDescent="0.3">
      <c r="A19" s="6" t="str">
        <f>_xlfn.XLOOKUP(D19,[1]Sheet1!$D:$D,[1]Sheet1!$A:$A,,0)</f>
        <v>PC202604290002</v>
      </c>
      <c r="B19" s="6">
        <f>_xlfn.XLOOKUP(D19,[1]Sheet1!$D:$D,[1]Sheet1!$B:$B,,0)</f>
        <v>9</v>
      </c>
      <c r="C19" s="6" t="str">
        <f>_xlfn.XLOOKUP(D19,[1]Sheet1!$D:$D,[1]Sheet1!$C:$C,,0)</f>
        <v>YD2026042900018</v>
      </c>
      <c r="D19" s="6" t="s">
        <v>24</v>
      </c>
      <c r="E19" s="7" t="s">
        <v>40</v>
      </c>
      <c r="F19" s="6" t="s">
        <v>56</v>
      </c>
      <c r="G19" s="6" t="s">
        <v>72</v>
      </c>
      <c r="H19" s="6"/>
      <c r="I19" s="6"/>
      <c r="J19" s="6" t="s">
        <v>88</v>
      </c>
      <c r="K19" s="6">
        <v>25</v>
      </c>
      <c r="L19" s="6">
        <v>182</v>
      </c>
      <c r="M19" s="8">
        <v>168.55</v>
      </c>
      <c r="N19" s="8">
        <v>0.31710759999999999</v>
      </c>
      <c r="O19" s="6" t="s">
        <v>104</v>
      </c>
      <c r="P19" s="6" t="s">
        <v>117</v>
      </c>
      <c r="Q19" s="6"/>
      <c r="R19" s="6"/>
    </row>
    <row r="20" spans="1:18" ht="27" x14ac:dyDescent="0.3">
      <c r="A20" s="6" t="str">
        <f>_xlfn.XLOOKUP(D20,[1]Sheet1!$D:$D,[1]Sheet1!$A:$A,,0)</f>
        <v>PC202604290002</v>
      </c>
      <c r="B20" s="6">
        <f>_xlfn.XLOOKUP(D20,[1]Sheet1!$D:$D,[1]Sheet1!$B:$B,,0)</f>
        <v>10</v>
      </c>
      <c r="C20" s="6" t="str">
        <f>_xlfn.XLOOKUP(D20,[1]Sheet1!$D:$D,[1]Sheet1!$C:$C,,0)</f>
        <v>YD2026042900019</v>
      </c>
      <c r="D20" s="6" t="s">
        <v>199</v>
      </c>
      <c r="E20" s="7" t="s">
        <v>200</v>
      </c>
      <c r="F20" s="6"/>
      <c r="G20" s="6" t="s">
        <v>201</v>
      </c>
      <c r="H20" s="6"/>
      <c r="I20" s="6"/>
      <c r="J20" s="6" t="s">
        <v>202</v>
      </c>
      <c r="K20" s="6">
        <v>4</v>
      </c>
      <c r="L20" s="6">
        <v>47</v>
      </c>
      <c r="M20" s="8">
        <v>6</v>
      </c>
      <c r="N20" s="8">
        <v>2.4E-2</v>
      </c>
      <c r="O20" s="6" t="s">
        <v>203</v>
      </c>
      <c r="P20" s="6" t="s">
        <v>204</v>
      </c>
      <c r="Q20" s="6"/>
      <c r="R20" s="6"/>
    </row>
    <row r="21" spans="1:18" ht="27" x14ac:dyDescent="0.3">
      <c r="A21" s="6" t="str">
        <f>_xlfn.XLOOKUP(D21,[1]Sheet1!$D:$D,[1]Sheet1!$A:$A,,0)</f>
        <v>PC202604290002</v>
      </c>
      <c r="B21" s="6">
        <f>_xlfn.XLOOKUP(D21,[1]Sheet1!$D:$D,[1]Sheet1!$B:$B,,0)</f>
        <v>11</v>
      </c>
      <c r="C21" s="6" t="str">
        <f>_xlfn.XLOOKUP(D21,[1]Sheet1!$D:$D,[1]Sheet1!$C:$C,,0)</f>
        <v>YD2026042900020</v>
      </c>
      <c r="D21" s="6" t="s">
        <v>126</v>
      </c>
      <c r="E21" s="7" t="s">
        <v>127</v>
      </c>
      <c r="F21" s="6"/>
      <c r="G21" s="6" t="s">
        <v>128</v>
      </c>
      <c r="H21" s="6"/>
      <c r="I21" s="6"/>
      <c r="J21" s="6" t="s">
        <v>129</v>
      </c>
      <c r="K21" s="6">
        <v>2</v>
      </c>
      <c r="L21" s="6">
        <v>68</v>
      </c>
      <c r="M21" s="8">
        <v>3</v>
      </c>
      <c r="N21" s="8">
        <v>1.2E-2</v>
      </c>
      <c r="O21" s="6" t="s">
        <v>130</v>
      </c>
      <c r="P21" s="6" t="s">
        <v>131</v>
      </c>
      <c r="Q21" s="6"/>
      <c r="R21" s="6"/>
    </row>
    <row r="22" spans="1:18" x14ac:dyDescent="0.3">
      <c r="A22" s="6" t="str">
        <f>_xlfn.XLOOKUP(D22,[1]Sheet1!$D:$D,[1]Sheet1!$A:$A,,0)</f>
        <v>PC202604290003</v>
      </c>
      <c r="B22" s="6">
        <f>_xlfn.XLOOKUP(D22,[1]Sheet1!$D:$D,[1]Sheet1!$B:$B,,0)</f>
        <v>1</v>
      </c>
      <c r="C22" s="6" t="str">
        <f>_xlfn.XLOOKUP(D22,[1]Sheet1!$D:$D,[1]Sheet1!$C:$C,,0)</f>
        <v>YD2026042900021</v>
      </c>
      <c r="D22" s="6" t="s">
        <v>23</v>
      </c>
      <c r="E22" s="7" t="s">
        <v>39</v>
      </c>
      <c r="F22" s="6" t="s">
        <v>55</v>
      </c>
      <c r="G22" s="6" t="s">
        <v>71</v>
      </c>
      <c r="H22" s="6"/>
      <c r="I22" s="6"/>
      <c r="J22" s="6" t="s">
        <v>87</v>
      </c>
      <c r="K22" s="6">
        <v>23</v>
      </c>
      <c r="L22" s="6">
        <v>184</v>
      </c>
      <c r="M22" s="8">
        <v>164.35</v>
      </c>
      <c r="N22" s="8">
        <v>0.2731382</v>
      </c>
      <c r="O22" s="6" t="s">
        <v>103</v>
      </c>
      <c r="P22" s="6" t="s">
        <v>115</v>
      </c>
      <c r="Q22" s="6"/>
      <c r="R22" s="6"/>
    </row>
    <row r="23" spans="1:18" x14ac:dyDescent="0.3">
      <c r="A23" s="6" t="str">
        <f>_xlfn.XLOOKUP(D23,[1]Sheet1!$D:$D,[1]Sheet1!$A:$A,,0)</f>
        <v>PC202604290003</v>
      </c>
      <c r="B23" s="6">
        <f>_xlfn.XLOOKUP(D23,[1]Sheet1!$D:$D,[1]Sheet1!$B:$B,,0)</f>
        <v>2</v>
      </c>
      <c r="C23" s="6" t="str">
        <f>_xlfn.XLOOKUP(D23,[1]Sheet1!$D:$D,[1]Sheet1!$C:$C,,0)</f>
        <v>YD2026042900022</v>
      </c>
      <c r="D23" s="6" t="s">
        <v>22</v>
      </c>
      <c r="E23" s="7" t="s">
        <v>38</v>
      </c>
      <c r="F23" s="6" t="s">
        <v>54</v>
      </c>
      <c r="G23" s="6" t="s">
        <v>70</v>
      </c>
      <c r="H23" s="6"/>
      <c r="I23" s="6"/>
      <c r="J23" s="6" t="s">
        <v>86</v>
      </c>
      <c r="K23" s="6">
        <v>22</v>
      </c>
      <c r="L23" s="6">
        <v>176</v>
      </c>
      <c r="M23" s="8">
        <v>158.44999999999999</v>
      </c>
      <c r="N23" s="8">
        <v>0.26098009999999999</v>
      </c>
      <c r="O23" s="6" t="s">
        <v>102</v>
      </c>
      <c r="P23" s="6" t="s">
        <v>115</v>
      </c>
      <c r="Q23" s="6"/>
      <c r="R23" s="6"/>
    </row>
    <row r="24" spans="1:18" x14ac:dyDescent="0.3">
      <c r="A24" s="6" t="str">
        <f>_xlfn.XLOOKUP(D24,[1]Sheet1!$D:$D,[1]Sheet1!$A:$A,,0)</f>
        <v>PC202604290003</v>
      </c>
      <c r="B24" s="6">
        <f>_xlfn.XLOOKUP(D24,[1]Sheet1!$D:$D,[1]Sheet1!$B:$B,,0)</f>
        <v>3</v>
      </c>
      <c r="C24" s="6" t="str">
        <f>_xlfn.XLOOKUP(D24,[1]Sheet1!$D:$D,[1]Sheet1!$C:$C,,0)</f>
        <v>YD2026042900023</v>
      </c>
      <c r="D24" s="6" t="s">
        <v>19</v>
      </c>
      <c r="E24" s="7" t="s">
        <v>35</v>
      </c>
      <c r="F24" s="6" t="s">
        <v>51</v>
      </c>
      <c r="G24" s="6" t="s">
        <v>67</v>
      </c>
      <c r="H24" s="6"/>
      <c r="I24" s="6"/>
      <c r="J24" s="6" t="s">
        <v>83</v>
      </c>
      <c r="K24" s="6">
        <v>22</v>
      </c>
      <c r="L24" s="6">
        <v>180</v>
      </c>
      <c r="M24" s="8">
        <v>165.6</v>
      </c>
      <c r="N24" s="8">
        <v>0.27145999999999998</v>
      </c>
      <c r="O24" s="6" t="s">
        <v>99</v>
      </c>
      <c r="P24" s="6" t="s">
        <v>114</v>
      </c>
      <c r="Q24" s="6"/>
      <c r="R24" s="6"/>
    </row>
    <row r="25" spans="1:18" x14ac:dyDescent="0.3">
      <c r="A25" s="6" t="str">
        <f>_xlfn.XLOOKUP(D25,[1]Sheet1!$D:$D,[1]Sheet1!$A:$A,,0)</f>
        <v>PC202604290003</v>
      </c>
      <c r="B25" s="6">
        <f>_xlfn.XLOOKUP(D25,[1]Sheet1!$D:$D,[1]Sheet1!$B:$B,,0)</f>
        <v>4</v>
      </c>
      <c r="C25" s="6" t="str">
        <f>_xlfn.XLOOKUP(D25,[1]Sheet1!$D:$D,[1]Sheet1!$C:$C,,0)</f>
        <v>YD2026042900024</v>
      </c>
      <c r="D25" s="6" t="s">
        <v>20</v>
      </c>
      <c r="E25" s="7" t="s">
        <v>36</v>
      </c>
      <c r="F25" s="6" t="s">
        <v>52</v>
      </c>
      <c r="G25" s="6" t="s">
        <v>68</v>
      </c>
      <c r="H25" s="6"/>
      <c r="I25" s="6"/>
      <c r="J25" s="6" t="s">
        <v>84</v>
      </c>
      <c r="K25" s="6">
        <v>24</v>
      </c>
      <c r="L25" s="6">
        <v>186</v>
      </c>
      <c r="M25" s="8">
        <v>165.85</v>
      </c>
      <c r="N25" s="8">
        <v>0.28783245000000002</v>
      </c>
      <c r="O25" s="6" t="s">
        <v>100</v>
      </c>
      <c r="P25" s="6" t="s">
        <v>115</v>
      </c>
      <c r="Q25" s="6"/>
      <c r="R25" s="6"/>
    </row>
    <row r="26" spans="1:18" ht="27" x14ac:dyDescent="0.3">
      <c r="A26" s="6" t="str">
        <f>_xlfn.XLOOKUP(D26,[1]Sheet1!$D:$D,[1]Sheet1!$A:$A,,0)</f>
        <v>PC202604290003</v>
      </c>
      <c r="B26" s="6">
        <f>_xlfn.XLOOKUP(D26,[1]Sheet1!$D:$D,[1]Sheet1!$B:$B,,0)</f>
        <v>5</v>
      </c>
      <c r="C26" s="6" t="str">
        <f>_xlfn.XLOOKUP(D26,[1]Sheet1!$D:$D,[1]Sheet1!$C:$C,,0)</f>
        <v>YD2026042900025</v>
      </c>
      <c r="D26" s="6" t="s">
        <v>18</v>
      </c>
      <c r="E26" s="7" t="s">
        <v>34</v>
      </c>
      <c r="F26" s="6" t="s">
        <v>50</v>
      </c>
      <c r="G26" s="6" t="s">
        <v>66</v>
      </c>
      <c r="H26" s="6"/>
      <c r="I26" s="6"/>
      <c r="J26" s="6" t="s">
        <v>82</v>
      </c>
      <c r="K26" s="6">
        <v>23</v>
      </c>
      <c r="L26" s="6">
        <v>172</v>
      </c>
      <c r="M26" s="8">
        <v>171.5</v>
      </c>
      <c r="N26" s="8">
        <v>0.28361809999999998</v>
      </c>
      <c r="O26" s="6" t="s">
        <v>98</v>
      </c>
      <c r="P26" s="6" t="s">
        <v>113</v>
      </c>
      <c r="Q26" s="6"/>
      <c r="R26" s="6"/>
    </row>
    <row r="27" spans="1:18" x14ac:dyDescent="0.3">
      <c r="A27" s="6" t="str">
        <f>_xlfn.XLOOKUP(D27,[1]Sheet1!$D:$D,[1]Sheet1!$A:$A,,0)</f>
        <v>PC202604290003</v>
      </c>
      <c r="B27" s="6">
        <f>_xlfn.XLOOKUP(D27,[1]Sheet1!$D:$D,[1]Sheet1!$B:$B,,0)</f>
        <v>6</v>
      </c>
      <c r="C27" s="6" t="str">
        <f>_xlfn.XLOOKUP(D27,[1]Sheet1!$D:$D,[1]Sheet1!$C:$C,,0)</f>
        <v>YD2026042900026</v>
      </c>
      <c r="D27" s="6" t="s">
        <v>21</v>
      </c>
      <c r="E27" s="7" t="s">
        <v>37</v>
      </c>
      <c r="F27" s="6" t="s">
        <v>53</v>
      </c>
      <c r="G27" s="6" t="s">
        <v>69</v>
      </c>
      <c r="H27" s="6"/>
      <c r="I27" s="6"/>
      <c r="J27" s="6" t="s">
        <v>85</v>
      </c>
      <c r="K27" s="6">
        <v>22</v>
      </c>
      <c r="L27" s="6">
        <v>178</v>
      </c>
      <c r="M27" s="8">
        <v>158.44999999999999</v>
      </c>
      <c r="N27" s="8">
        <v>0.26098009999999999</v>
      </c>
      <c r="O27" s="6" t="s">
        <v>101</v>
      </c>
      <c r="P27" s="6" t="s">
        <v>116</v>
      </c>
      <c r="Q27" s="6"/>
      <c r="R27" s="6"/>
    </row>
    <row r="28" spans="1:18" ht="27" x14ac:dyDescent="0.3">
      <c r="A28" s="6" t="str">
        <f>_xlfn.XLOOKUP(D28,[1]Sheet1!$D:$D,[1]Sheet1!$A:$A,,0)</f>
        <v>PC202604290003</v>
      </c>
      <c r="B28" s="6">
        <f>_xlfn.XLOOKUP(D28,[1]Sheet1!$D:$D,[1]Sheet1!$B:$B,,0)</f>
        <v>7</v>
      </c>
      <c r="C28" s="6" t="str">
        <f>_xlfn.XLOOKUP(D28,[1]Sheet1!$D:$D,[1]Sheet1!$C:$C,,0)</f>
        <v>YD2026042900027</v>
      </c>
      <c r="D28" s="6" t="s">
        <v>162</v>
      </c>
      <c r="E28" s="7" t="s">
        <v>163</v>
      </c>
      <c r="F28" s="6"/>
      <c r="G28" s="6" t="s">
        <v>164</v>
      </c>
      <c r="H28" s="6"/>
      <c r="I28" s="6"/>
      <c r="J28" s="6" t="s">
        <v>165</v>
      </c>
      <c r="K28" s="6">
        <v>2</v>
      </c>
      <c r="L28" s="6">
        <v>49</v>
      </c>
      <c r="M28" s="8">
        <v>3</v>
      </c>
      <c r="N28" s="8">
        <v>1.2E-2</v>
      </c>
      <c r="O28" s="6" t="s">
        <v>166</v>
      </c>
      <c r="P28" s="6" t="s">
        <v>167</v>
      </c>
      <c r="Q28" s="6"/>
      <c r="R28" s="6"/>
    </row>
    <row r="29" spans="1:18" x14ac:dyDescent="0.3">
      <c r="A29" s="6" t="str">
        <f>_xlfn.XLOOKUP(D29,[1]Sheet1!$D:$D,[1]Sheet1!$A:$A,,0)</f>
        <v>PC202604290003</v>
      </c>
      <c r="B29" s="6">
        <f>_xlfn.XLOOKUP(D29,[1]Sheet1!$D:$D,[1]Sheet1!$B:$B,,0)</f>
        <v>8</v>
      </c>
      <c r="C29" s="6" t="str">
        <f>_xlfn.XLOOKUP(D29,[1]Sheet1!$D:$D,[1]Sheet1!$C:$C,,0)</f>
        <v>YD2026042900028</v>
      </c>
      <c r="D29" s="6" t="s">
        <v>29</v>
      </c>
      <c r="E29" s="7" t="s">
        <v>45</v>
      </c>
      <c r="F29" s="6" t="s">
        <v>61</v>
      </c>
      <c r="G29" s="6" t="s">
        <v>77</v>
      </c>
      <c r="H29" s="6"/>
      <c r="I29" s="6"/>
      <c r="J29" s="6" t="s">
        <v>93</v>
      </c>
      <c r="K29" s="6">
        <v>21</v>
      </c>
      <c r="L29" s="6">
        <v>160</v>
      </c>
      <c r="M29" s="8">
        <v>156.94999999999999</v>
      </c>
      <c r="N29" s="8">
        <v>0.25498009999999999</v>
      </c>
      <c r="O29" s="6" t="s">
        <v>109</v>
      </c>
      <c r="P29" s="6" t="s">
        <v>122</v>
      </c>
      <c r="Q29" s="6"/>
      <c r="R29" s="6"/>
    </row>
    <row r="30" spans="1:18" ht="27" x14ac:dyDescent="0.3">
      <c r="A30" s="6" t="str">
        <f>_xlfn.XLOOKUP(D30,[1]Sheet1!$D:$D,[1]Sheet1!$A:$A,,0)</f>
        <v>PC202604290003</v>
      </c>
      <c r="B30" s="6">
        <f>_xlfn.XLOOKUP(D30,[1]Sheet1!$D:$D,[1]Sheet1!$B:$B,,0)</f>
        <v>9</v>
      </c>
      <c r="C30" s="6" t="str">
        <f>_xlfn.XLOOKUP(D30,[1]Sheet1!$D:$D,[1]Sheet1!$C:$C,,0)</f>
        <v>YD2026042900029</v>
      </c>
      <c r="D30" s="6" t="s">
        <v>187</v>
      </c>
      <c r="E30" s="7" t="s">
        <v>188</v>
      </c>
      <c r="F30" s="6" t="s">
        <v>187</v>
      </c>
      <c r="G30" s="6" t="s">
        <v>189</v>
      </c>
      <c r="H30" s="6"/>
      <c r="I30" s="6"/>
      <c r="J30" s="6" t="s">
        <v>190</v>
      </c>
      <c r="K30" s="6">
        <v>1</v>
      </c>
      <c r="L30" s="6">
        <v>86</v>
      </c>
      <c r="M30" s="8">
        <v>1.5</v>
      </c>
      <c r="N30" s="8">
        <v>6.0000000000000001E-3</v>
      </c>
      <c r="O30" s="6" t="s">
        <v>191</v>
      </c>
      <c r="P30" s="6" t="s">
        <v>192</v>
      </c>
      <c r="Q30" s="6"/>
      <c r="R30" s="6"/>
    </row>
    <row r="31" spans="1:18" ht="27" x14ac:dyDescent="0.3">
      <c r="A31" s="6" t="str">
        <f>_xlfn.XLOOKUP(D31,[1]Sheet1!$D:$D,[1]Sheet1!$A:$A,,0)</f>
        <v>PC202604290003</v>
      </c>
      <c r="B31" s="6">
        <f>_xlfn.XLOOKUP(D31,[1]Sheet1!$D:$D,[1]Sheet1!$B:$B,,0)</f>
        <v>10</v>
      </c>
      <c r="C31" s="6" t="str">
        <f>_xlfn.XLOOKUP(D31,[1]Sheet1!$D:$D,[1]Sheet1!$C:$C,,0)</f>
        <v>YD2026042900030</v>
      </c>
      <c r="D31" s="6" t="s">
        <v>193</v>
      </c>
      <c r="E31" s="7" t="s">
        <v>194</v>
      </c>
      <c r="F31" s="6"/>
      <c r="G31" s="6" t="s">
        <v>195</v>
      </c>
      <c r="H31" s="6"/>
      <c r="I31" s="6"/>
      <c r="J31" s="6" t="s">
        <v>196</v>
      </c>
      <c r="K31" s="6">
        <v>2</v>
      </c>
      <c r="L31" s="6">
        <v>37</v>
      </c>
      <c r="M31" s="8">
        <v>3</v>
      </c>
      <c r="N31" s="8">
        <v>1.2E-2</v>
      </c>
      <c r="O31" s="6" t="s">
        <v>197</v>
      </c>
      <c r="P31" s="6" t="s">
        <v>198</v>
      </c>
      <c r="Q31" s="6"/>
      <c r="R31" s="6"/>
    </row>
    <row r="32" spans="1:18" ht="27" x14ac:dyDescent="0.3">
      <c r="A32" s="6" t="str">
        <f>_xlfn.XLOOKUP(D32,[1]Sheet1!$D:$D,[1]Sheet1!$A:$A,,0)</f>
        <v>PC202604290003</v>
      </c>
      <c r="B32" s="6">
        <f>_xlfn.XLOOKUP(D32,[1]Sheet1!$D:$D,[1]Sheet1!$B:$B,,0)</f>
        <v>11</v>
      </c>
      <c r="C32" s="6" t="str">
        <f>_xlfn.XLOOKUP(D32,[1]Sheet1!$D:$D,[1]Sheet1!$C:$C,,0)</f>
        <v>YD2026042900031</v>
      </c>
      <c r="D32" s="6" t="s">
        <v>175</v>
      </c>
      <c r="E32" s="7" t="s">
        <v>176</v>
      </c>
      <c r="F32" s="6"/>
      <c r="G32" s="6" t="s">
        <v>177</v>
      </c>
      <c r="H32" s="6"/>
      <c r="I32" s="6"/>
      <c r="J32" s="6" t="s">
        <v>178</v>
      </c>
      <c r="K32" s="6">
        <v>3</v>
      </c>
      <c r="L32" s="6">
        <v>98</v>
      </c>
      <c r="M32" s="8">
        <v>4.5</v>
      </c>
      <c r="N32" s="8">
        <v>1.7999999999999999E-2</v>
      </c>
      <c r="O32" s="6" t="s">
        <v>179</v>
      </c>
      <c r="P32" s="6" t="s">
        <v>180</v>
      </c>
      <c r="Q32" s="6"/>
      <c r="R3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传峰 王</cp:lastModifiedBy>
  <dcterms:created xsi:type="dcterms:W3CDTF">2026-04-29T03:11:49Z</dcterms:created>
  <dcterms:modified xsi:type="dcterms:W3CDTF">2026-04-29T05:58:48Z</dcterms:modified>
</cp:coreProperties>
</file>