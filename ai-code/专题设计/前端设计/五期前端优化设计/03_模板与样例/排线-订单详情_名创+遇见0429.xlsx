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5421\PycharmProjects\pythonProject\build\城市配送\数据分析脚本\物流产出结果\"/>
    </mc:Choice>
  </mc:AlternateContent>
  <xr:revisionPtr revIDLastSave="0" documentId="13_ncr:1_{E86F38FA-4D63-4F51-86BE-19CBA435F9E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A9" i="1"/>
  <c r="B9" i="1"/>
  <c r="C9" i="1"/>
  <c r="A17" i="1"/>
  <c r="B17" i="1"/>
  <c r="C17" i="1"/>
  <c r="A2" i="1"/>
  <c r="B2" i="1"/>
  <c r="C2" i="1"/>
  <c r="A31" i="1"/>
  <c r="B31" i="1"/>
  <c r="C31" i="1"/>
  <c r="A7" i="1"/>
  <c r="B7" i="1"/>
  <c r="C7" i="1"/>
  <c r="A6" i="1"/>
  <c r="B6" i="1"/>
  <c r="C6" i="1"/>
  <c r="A28" i="1"/>
  <c r="B28" i="1"/>
  <c r="C28" i="1"/>
  <c r="A32" i="1"/>
  <c r="B32" i="1"/>
  <c r="C32" i="1"/>
  <c r="A30" i="1"/>
  <c r="B30" i="1"/>
  <c r="C30" i="1"/>
  <c r="A10" i="1"/>
  <c r="B10" i="1"/>
  <c r="C10" i="1"/>
  <c r="A21" i="1"/>
  <c r="B21" i="1"/>
  <c r="C21" i="1"/>
  <c r="A20" i="1"/>
  <c r="B20" i="1"/>
  <c r="C20" i="1"/>
  <c r="A8" i="1"/>
  <c r="B8" i="1"/>
  <c r="C8" i="1"/>
  <c r="A11" i="1"/>
  <c r="B11" i="1"/>
  <c r="C11" i="1"/>
  <c r="C13" i="1"/>
  <c r="B13" i="1"/>
  <c r="A13" i="1"/>
  <c r="A27" i="1"/>
  <c r="B27" i="1"/>
  <c r="C27" i="1"/>
  <c r="A19" i="1"/>
  <c r="B19" i="1"/>
  <c r="C19" i="1"/>
  <c r="A5" i="1"/>
  <c r="B5" i="1"/>
  <c r="C5" i="1"/>
  <c r="A26" i="1"/>
  <c r="B26" i="1"/>
  <c r="C26" i="1"/>
  <c r="A25" i="1"/>
  <c r="B25" i="1"/>
  <c r="C25" i="1"/>
  <c r="A16" i="1"/>
  <c r="B16" i="1"/>
  <c r="C16" i="1"/>
  <c r="A18" i="1"/>
  <c r="B18" i="1"/>
  <c r="C18" i="1"/>
  <c r="A23" i="1"/>
  <c r="B23" i="1"/>
  <c r="C23" i="1"/>
  <c r="A3" i="1"/>
  <c r="B3" i="1"/>
  <c r="C3" i="1"/>
  <c r="A22" i="1"/>
  <c r="B22" i="1"/>
  <c r="C22" i="1"/>
  <c r="A24" i="1"/>
  <c r="B24" i="1"/>
  <c r="C24" i="1"/>
  <c r="A15" i="1"/>
  <c r="B15" i="1"/>
  <c r="C15" i="1"/>
  <c r="A14" i="1"/>
  <c r="B14" i="1"/>
  <c r="C14" i="1"/>
  <c r="A12" i="1"/>
  <c r="B12" i="1"/>
  <c r="C12" i="1"/>
  <c r="A29" i="1"/>
  <c r="B29" i="1"/>
  <c r="C29" i="1"/>
</calcChain>
</file>

<file path=xl/sharedStrings.xml><?xml version="1.0" encoding="utf-8"?>
<sst xmlns="http://schemas.openxmlformats.org/spreadsheetml/2006/main" count="138" uniqueCount="109">
  <si>
    <t>批次号</t>
  </si>
  <si>
    <t>排线序号</t>
  </si>
  <si>
    <t>运单号</t>
  </si>
  <si>
    <t>销售订单号</t>
  </si>
  <si>
    <t>客户名称</t>
  </si>
  <si>
    <t>订单备注</t>
  </si>
  <si>
    <t>收货地址</t>
  </si>
  <si>
    <t>整件数</t>
  </si>
  <si>
    <t>散件数</t>
  </si>
  <si>
    <t>总重量_kg</t>
  </si>
  <si>
    <t>总体积_m3</t>
  </si>
  <si>
    <t>集货位</t>
  </si>
  <si>
    <t>司机姓名</t>
  </si>
  <si>
    <t>车牌号</t>
  </si>
  <si>
    <t>XS1002026042800232</t>
  </si>
  <si>
    <t>XS1002026042800233</t>
  </si>
  <si>
    <t>XS1002026042800234</t>
  </si>
  <si>
    <t>XS1002026042800235</t>
  </si>
  <si>
    <t>XS1002026042800236</t>
  </si>
  <si>
    <t>XS1002026042800237</t>
  </si>
  <si>
    <t>XS1002026042800238</t>
  </si>
  <si>
    <t>XS1002026042800239</t>
  </si>
  <si>
    <t>XS1002026042800240</t>
  </si>
  <si>
    <t>XS1002026042800241</t>
  </si>
  <si>
    <t>XS1002026042800242</t>
  </si>
  <si>
    <t>XS1002026042800243</t>
  </si>
  <si>
    <t>XS1002026042800244</t>
  </si>
  <si>
    <t>XS1002026042800245</t>
  </si>
  <si>
    <t>XS1002026042800246</t>
  </si>
  <si>
    <t>XS1002026042800247</t>
  </si>
  <si>
    <t>名创优品（深圳福田华强北店）</t>
  </si>
  <si>
    <t>名创优品（广州番禺南村店）</t>
  </si>
  <si>
    <t>名创优品（深圳宝安西乡海滨新村店）</t>
  </si>
  <si>
    <t>名创优品（深圳罗湖洪湖路店）</t>
  </si>
  <si>
    <t>名创优品（广州海珠敦和路店）</t>
  </si>
  <si>
    <t>名创优品（广州荔湾周门北路店）</t>
  </si>
  <si>
    <t>名创优品（深圳南山粤海琼宇路店）</t>
  </si>
  <si>
    <t>名创优品（深圳南山南头国兴大厦店）</t>
  </si>
  <si>
    <t>名创优品（广州越秀寺右新马路店）</t>
  </si>
  <si>
    <t>名创优品（深圳龙岗坂田长发西路店）</t>
  </si>
  <si>
    <t>名创优品（广州天河育英路店）</t>
  </si>
  <si>
    <t>名创优品（广州越秀黄华路店）</t>
  </si>
  <si>
    <t>名创优品（深圳福田车公庙店）</t>
  </si>
  <si>
    <t>名创优品（深圳福田中港城店）</t>
  </si>
  <si>
    <t>名创优品（深圳龙华民治店）</t>
  </si>
  <si>
    <t>名创优品（深圳沙井松山西路店）</t>
  </si>
  <si>
    <t>日期全部小于五分之一</t>
  </si>
  <si>
    <t>华强北街道荔村社区华强北路3012号赛格科技园2栋东1001室</t>
  </si>
  <si>
    <t>南村镇万惠一路36号201</t>
  </si>
  <si>
    <t>西乡街道蚝业社区海滨新村沿河路14栋26号铺</t>
  </si>
  <si>
    <t>笋岗街道湖景社区洪湖路32号湖景花园湖滨阁裙楼第二层L2-I2#</t>
  </si>
  <si>
    <t>协爽IDEA创工场B栋4楼出电梯右转再左转直走403</t>
  </si>
  <si>
    <t>周门北路35号首层自编A01</t>
  </si>
  <si>
    <t>粤海街道科技园社区科技园琼宇路5号51栋厂房208</t>
  </si>
  <si>
    <t>南头街道田厦社区国兴大厦9A房</t>
  </si>
  <si>
    <t>寺右新马路77号地下1层</t>
  </si>
  <si>
    <t>坂田街道大发埔社区长发西路34号中宝通B3栋103房</t>
  </si>
  <si>
    <t>广州市天河区黄村育英路31号自编C106</t>
  </si>
  <si>
    <t>黄华路中约外街9号之一102房</t>
  </si>
  <si>
    <t>泰然四路24号中联大厦2楼201室</t>
  </si>
  <si>
    <t>中港城大厦4楼小班布教育城4层L416-2室</t>
  </si>
  <si>
    <t>龙华新区民治街道上芬社区西头村西头东苑1栋A203室</t>
  </si>
  <si>
    <t>沙井街道壆岗社区松山西路10号厂房205</t>
  </si>
  <si>
    <t>XS1002026042800194</t>
  </si>
  <si>
    <t>遇见个超市（笋岗店）</t>
  </si>
  <si>
    <t>4.29低温奶活动品</t>
  </si>
  <si>
    <t>广东省 深圳市 福田区 园岭街道八卦四路先科大院2栋4楼B区1`1</t>
  </si>
  <si>
    <t>XS1002026042800196</t>
  </si>
  <si>
    <t>遇见个超市（坪山店）</t>
  </si>
  <si>
    <t>广东省 深圳市 坪山区 马峦街道 坪环工业城102栋2楼遇见个超市（请勿三五，需要标签）</t>
  </si>
  <si>
    <t>XS1002026042800198</t>
  </si>
  <si>
    <t>遇见个超市（深圳大学店）</t>
  </si>
  <si>
    <t>广东省 深圳市 南山区 粤海街道 M-10栋1号厂房东南角一楼</t>
  </si>
  <si>
    <t>XS1002026042800201</t>
  </si>
  <si>
    <t>遇见个超市（清湖店）</t>
  </si>
  <si>
    <t>广东省 深圳市 龙华区 河背工业区遇见个超市清湖店</t>
  </si>
  <si>
    <t>XS1002026042800202</t>
  </si>
  <si>
    <t>遇见个超市（福城店）</t>
  </si>
  <si>
    <t>广东省 深圳市 龙华区福城街道 章阁社区章阁路78号荣力科技园G栋二楼</t>
  </si>
  <si>
    <t>XS1002026042800204</t>
  </si>
  <si>
    <t>遇见个超市（大运店）</t>
  </si>
  <si>
    <t>广东省 深圳市 龙岗区 龙城街道 爱联台中工业区A6-203遇见个超市</t>
  </si>
  <si>
    <t>XS1002026042800205</t>
  </si>
  <si>
    <t>遇见个超市（平湖店）</t>
  </si>
  <si>
    <t>广东省 深圳市 龙岗区 平湖街道 平龙东路96-2号</t>
  </si>
  <si>
    <t>XS1002026042800206</t>
  </si>
  <si>
    <t>遇见个超市（松岗店）</t>
  </si>
  <si>
    <t>广东省 深圳市 宝安区 松岗街道 红星社区松明大道185号二楼204</t>
  </si>
  <si>
    <t>XS1002026042800207</t>
  </si>
  <si>
    <t>遇见个超市（观澜店）</t>
  </si>
  <si>
    <t>广东省 深圳市 龙华区 观湖街道 金茂路17号 4栋2楼</t>
  </si>
  <si>
    <t>XS1002026042800208</t>
  </si>
  <si>
    <t>遇见个超市（凤凰城店）</t>
  </si>
  <si>
    <t>广东省 深圳市 光明区 凤凰街道 塘家社区塘兴路22号A栋101</t>
  </si>
  <si>
    <t>XS1002026042800211</t>
  </si>
  <si>
    <t>遇见个超市（天益城店）</t>
  </si>
  <si>
    <t>广东省 惠州市 惠城区 陈江街道 锦霞街8号厂房三楼（需要送货上门，拒绝三无产品需要贴合格证）</t>
  </si>
  <si>
    <t>XS1002026042800213</t>
  </si>
  <si>
    <t>遇见个超市（固戍店）</t>
  </si>
  <si>
    <t>广东省 深圳市 宝安区 航城街道 三围社区三围顺发楼3楼遇见【需送货上门】</t>
  </si>
  <si>
    <t>XS1002026042800216</t>
  </si>
  <si>
    <t>遇见个超市（西乡店）</t>
  </si>
  <si>
    <t>广东省 深圳市 宝安区 西乡街道 西乡荔园路4号西万大厦二楼</t>
  </si>
  <si>
    <t>XS1002026042800218</t>
  </si>
  <si>
    <t>遇见个超市（龙岗店）</t>
  </si>
  <si>
    <t>广东省 深圳市 龙岗区 向银路祥达利文创园32号3栋101</t>
  </si>
  <si>
    <t>XS1002026042800219</t>
  </si>
  <si>
    <t>遇见个超市（石岩店）</t>
  </si>
  <si>
    <t>广东省 深圳市 宝安区 石岩街道 石岩镇成功里光辉路1号B栋二楼203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</si>
</sst>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5421\PycharmProjects\pythonProject\build\&#22478;&#24066;&#37197;&#36865;\&#25968;&#25454;&#20998;&#26512;&#33050;&#26412;\&#29289;&#27969;&#20135;&#20986;&#32467;&#26524;\&#25490;&#32447;&#34920;0429.xlsx" TargetMode="External"/><Relationship Id="rId1" Type="http://schemas.openxmlformats.org/officeDocument/2006/relationships/externalLinkPath" Target="&#25490;&#32447;&#34920;04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批次号</v>
          </cell>
          <cell r="B1" t="str">
            <v>顺序</v>
          </cell>
          <cell r="C1" t="str">
            <v>运单号</v>
          </cell>
          <cell r="D1" t="str">
            <v>店铺名称</v>
          </cell>
        </row>
        <row r="2">
          <cell r="A2" t="str">
            <v>PC202604290001</v>
          </cell>
          <cell r="B2">
            <v>1</v>
          </cell>
          <cell r="C2" t="str">
            <v>YD2026042900001</v>
          </cell>
          <cell r="D2" t="str">
            <v>遇见个超市（清湖店）</v>
          </cell>
        </row>
        <row r="3">
          <cell r="A3" t="str">
            <v>PC202604290001</v>
          </cell>
          <cell r="B3">
            <v>2</v>
          </cell>
          <cell r="C3" t="str">
            <v>YD2026042900002</v>
          </cell>
          <cell r="D3" t="str">
            <v>名创优品（深圳龙岗坂田长发西路店）</v>
          </cell>
        </row>
        <row r="4">
          <cell r="A4" t="str">
            <v>PC202604290001</v>
          </cell>
          <cell r="B4">
            <v>3</v>
          </cell>
          <cell r="C4" t="str">
            <v>YD2026042900003</v>
          </cell>
          <cell r="D4" t="str">
            <v>遇见个超市（笋岗店）</v>
          </cell>
        </row>
        <row r="5">
          <cell r="A5" t="str">
            <v>PC202604290001</v>
          </cell>
          <cell r="B5">
            <v>4</v>
          </cell>
          <cell r="C5" t="str">
            <v>YD2026042900004</v>
          </cell>
          <cell r="D5" t="str">
            <v>名创优品（深圳罗湖洪湖路店）</v>
          </cell>
        </row>
        <row r="6">
          <cell r="A6" t="str">
            <v>PC202604290001</v>
          </cell>
          <cell r="B6">
            <v>5</v>
          </cell>
          <cell r="C6" t="str">
            <v>YD2026042900005</v>
          </cell>
          <cell r="D6" t="str">
            <v>遇见个超市（平湖店）</v>
          </cell>
        </row>
        <row r="7">
          <cell r="A7" t="str">
            <v>PC202604290001</v>
          </cell>
          <cell r="B7">
            <v>6</v>
          </cell>
          <cell r="C7" t="str">
            <v>YD2026042900006</v>
          </cell>
          <cell r="D7" t="str">
            <v>遇见个超市（大运店）</v>
          </cell>
        </row>
        <row r="8">
          <cell r="A8" t="str">
            <v>PC202604290001</v>
          </cell>
          <cell r="B8">
            <v>7</v>
          </cell>
          <cell r="C8" t="str">
            <v>YD2026042900007</v>
          </cell>
          <cell r="D8" t="str">
            <v>遇见个超市（龙岗店）</v>
          </cell>
        </row>
        <row r="9">
          <cell r="A9" t="str">
            <v>PC202604290001</v>
          </cell>
          <cell r="B9">
            <v>8</v>
          </cell>
          <cell r="C9" t="str">
            <v>YD2026042900008</v>
          </cell>
          <cell r="D9" t="str">
            <v>遇见个超市（坪山店）</v>
          </cell>
        </row>
        <row r="10">
          <cell r="A10" t="str">
            <v>PC202604290001</v>
          </cell>
          <cell r="B10">
            <v>9</v>
          </cell>
          <cell r="C10" t="str">
            <v>YD2026042900009</v>
          </cell>
          <cell r="D10" t="str">
            <v>遇见个超市（天益城店）</v>
          </cell>
        </row>
        <row r="11">
          <cell r="A11" t="str">
            <v>PC202604290002</v>
          </cell>
          <cell r="B11">
            <v>1</v>
          </cell>
          <cell r="C11" t="str">
            <v>YD2026042900010</v>
          </cell>
          <cell r="D11" t="str">
            <v>遇见个超市（石岩店）</v>
          </cell>
        </row>
        <row r="12">
          <cell r="A12" t="str">
            <v>PC202604290002</v>
          </cell>
          <cell r="B12">
            <v>2</v>
          </cell>
          <cell r="C12" t="str">
            <v>YD2026042900011</v>
          </cell>
          <cell r="D12" t="str">
            <v>名创优品（深圳龙华民治店）</v>
          </cell>
        </row>
        <row r="13">
          <cell r="A13" t="str">
            <v>PC202604290002</v>
          </cell>
          <cell r="B13">
            <v>3</v>
          </cell>
          <cell r="C13" t="str">
            <v>YD2026042900012</v>
          </cell>
          <cell r="D13" t="str">
            <v>名创优品（深圳福田华强北店）</v>
          </cell>
        </row>
        <row r="14">
          <cell r="A14" t="str">
            <v>PC202604290002</v>
          </cell>
          <cell r="B14">
            <v>4</v>
          </cell>
          <cell r="C14" t="str">
            <v>YD2026042900013</v>
          </cell>
          <cell r="D14" t="str">
            <v>名创优品（深圳福田中港城店）</v>
          </cell>
        </row>
        <row r="15">
          <cell r="A15" t="str">
            <v>PC202604290002</v>
          </cell>
          <cell r="B15">
            <v>5</v>
          </cell>
          <cell r="C15" t="str">
            <v>YD2026042900014</v>
          </cell>
          <cell r="D15" t="str">
            <v>名创优品（深圳福田车公庙店）</v>
          </cell>
        </row>
        <row r="16">
          <cell r="A16" t="str">
            <v>PC202604290002</v>
          </cell>
          <cell r="B16">
            <v>6</v>
          </cell>
          <cell r="C16" t="str">
            <v>YD2026042900015</v>
          </cell>
          <cell r="D16" t="str">
            <v>名创优品（深圳南山粤海琼宇路店）</v>
          </cell>
        </row>
        <row r="17">
          <cell r="A17" t="str">
            <v>PC202604290002</v>
          </cell>
          <cell r="B17">
            <v>7</v>
          </cell>
          <cell r="C17" t="str">
            <v>YD2026042900016</v>
          </cell>
          <cell r="D17" t="str">
            <v>遇见个超市（深圳大学店）</v>
          </cell>
        </row>
        <row r="18">
          <cell r="A18" t="str">
            <v>PC202604290002</v>
          </cell>
          <cell r="B18">
            <v>8</v>
          </cell>
          <cell r="C18" t="str">
            <v>YD2026042900017</v>
          </cell>
          <cell r="D18" t="str">
            <v>名创优品（深圳南山南头国兴大厦店）</v>
          </cell>
        </row>
        <row r="19">
          <cell r="A19" t="str">
            <v>PC202604290002</v>
          </cell>
          <cell r="B19">
            <v>9</v>
          </cell>
          <cell r="C19" t="str">
            <v>YD2026042900018</v>
          </cell>
          <cell r="D19" t="str">
            <v>名创优品（深圳宝安西乡海滨新村店）</v>
          </cell>
        </row>
        <row r="20">
          <cell r="A20" t="str">
            <v>PC202604290002</v>
          </cell>
          <cell r="B20">
            <v>10</v>
          </cell>
          <cell r="C20" t="str">
            <v>YD2026042900019</v>
          </cell>
          <cell r="D20" t="str">
            <v>遇见个超市（西乡店）</v>
          </cell>
        </row>
        <row r="21">
          <cell r="A21" t="str">
            <v>PC202604290002</v>
          </cell>
          <cell r="B21">
            <v>11</v>
          </cell>
          <cell r="C21" t="str">
            <v>YD2026042900020</v>
          </cell>
          <cell r="D21" t="str">
            <v>遇见个超市（固戍店）</v>
          </cell>
        </row>
        <row r="22">
          <cell r="A22" t="str">
            <v>PC202604290003</v>
          </cell>
          <cell r="B22">
            <v>1</v>
          </cell>
          <cell r="C22" t="str">
            <v>YD2026042900021</v>
          </cell>
          <cell r="D22" t="str">
            <v>名创优品（广州天河育英路店）</v>
          </cell>
        </row>
        <row r="23">
          <cell r="A23" t="str">
            <v>PC202604290003</v>
          </cell>
          <cell r="B23">
            <v>2</v>
          </cell>
          <cell r="C23" t="str">
            <v>YD2026042900022</v>
          </cell>
          <cell r="D23" t="str">
            <v>名创优品（广州越秀寺右新马路店）</v>
          </cell>
        </row>
        <row r="24">
          <cell r="A24" t="str">
            <v>PC202604290003</v>
          </cell>
          <cell r="B24">
            <v>3</v>
          </cell>
          <cell r="C24" t="str">
            <v>YD2026042900023</v>
          </cell>
          <cell r="D24" t="str">
            <v>名创优品（广州越秀黄华路店）</v>
          </cell>
        </row>
        <row r="25">
          <cell r="A25" t="str">
            <v>PC202604290003</v>
          </cell>
          <cell r="B25">
            <v>4</v>
          </cell>
          <cell r="C25" t="str">
            <v>YD2026042900024</v>
          </cell>
          <cell r="D25" t="str">
            <v>名创优品（广州荔湾周门北路店）</v>
          </cell>
        </row>
        <row r="26">
          <cell r="A26" t="str">
            <v>PC202604290003</v>
          </cell>
          <cell r="B26">
            <v>5</v>
          </cell>
          <cell r="C26" t="str">
            <v>YD2026042900025</v>
          </cell>
          <cell r="D26" t="str">
            <v>名创优品（广州海珠敦和路店）</v>
          </cell>
        </row>
        <row r="27">
          <cell r="A27" t="str">
            <v>PC202604290003</v>
          </cell>
          <cell r="B27">
            <v>6</v>
          </cell>
          <cell r="C27" t="str">
            <v>YD2026042900026</v>
          </cell>
          <cell r="D27" t="str">
            <v>名创优品（广州番禺南村店）</v>
          </cell>
        </row>
        <row r="28">
          <cell r="A28" t="str">
            <v>PC202604290003</v>
          </cell>
          <cell r="B28">
            <v>7</v>
          </cell>
          <cell r="C28" t="str">
            <v>YD2026042900027</v>
          </cell>
          <cell r="D28" t="str">
            <v>遇见个超市（松岗店）</v>
          </cell>
        </row>
        <row r="29">
          <cell r="A29" t="str">
            <v>PC202604290003</v>
          </cell>
          <cell r="B29">
            <v>8</v>
          </cell>
          <cell r="C29" t="str">
            <v>YD2026042900028</v>
          </cell>
          <cell r="D29" t="str">
            <v>名创优品（深圳沙井松山西路店）</v>
          </cell>
        </row>
        <row r="30">
          <cell r="A30" t="str">
            <v>PC202604290003</v>
          </cell>
          <cell r="B30">
            <v>9</v>
          </cell>
          <cell r="C30" t="str">
            <v>YD2026042900029</v>
          </cell>
          <cell r="D30" t="str">
            <v>遇见个超市（凤凰城店）</v>
          </cell>
        </row>
        <row r="31">
          <cell r="A31" t="str">
            <v>PC202604290003</v>
          </cell>
          <cell r="B31">
            <v>10</v>
          </cell>
          <cell r="C31" t="str">
            <v>YD2026042900030</v>
          </cell>
          <cell r="D31" t="str">
            <v>遇见个超市（福城店）</v>
          </cell>
        </row>
        <row r="32">
          <cell r="A32" t="str">
            <v>PC202604290003</v>
          </cell>
          <cell r="B32">
            <v>11</v>
          </cell>
          <cell r="C32" t="str">
            <v>YD2026042900031</v>
          </cell>
          <cell r="D32" t="str">
            <v>遇见个超市（观澜店）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3.5" x14ac:dyDescent="0.3"/>
  <cols>
    <col min="1" max="2" width="12.73046875" customWidth="1"/>
    <col min="3" max="3" width="17.06640625" customWidth="1"/>
    <col min="4" max="4" width="20.73046875" customWidth="1"/>
    <col min="5" max="5" width="27.6640625" customWidth="1"/>
    <col min="6" max="6" width="12.73046875" customWidth="1"/>
    <col min="7" max="7" width="34.73046875" customWidth="1"/>
    <col min="8" max="9" width="12.73046875" customWidth="1"/>
    <col min="10" max="10" width="20.73046875" style="1" customWidth="1"/>
    <col min="11" max="11" width="21.73046875" style="1" customWidth="1"/>
    <col min="12" max="14" width="12.73046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3">
      <c r="A2" t="str">
        <f>_xlfn.XLOOKUP(E2,[1]Sheet1!$D:$D,[1]Sheet1!$A:$A,,0)</f>
        <v>PC202604290001</v>
      </c>
      <c r="B2">
        <f>_xlfn.XLOOKUP(E2,[1]Sheet1!$D:$D,[1]Sheet1!$B:$B,,0)</f>
        <v>1</v>
      </c>
      <c r="C2" t="str">
        <f>_xlfn.XLOOKUP(E2,[1]Sheet1!$D:$D,[1]Sheet1!$C:$C,,0)</f>
        <v>YD2026042900001</v>
      </c>
      <c r="D2" t="s">
        <v>73</v>
      </c>
      <c r="E2" t="s">
        <v>74</v>
      </c>
      <c r="F2" t="s">
        <v>65</v>
      </c>
      <c r="G2" t="s">
        <v>75</v>
      </c>
      <c r="H2">
        <v>1</v>
      </c>
      <c r="I2">
        <v>94</v>
      </c>
      <c r="J2" s="1">
        <v>1.5</v>
      </c>
      <c r="K2" s="1">
        <v>6.0000000000000001E-3</v>
      </c>
    </row>
    <row r="3" spans="1:14" x14ac:dyDescent="0.3">
      <c r="A3" t="str">
        <f>_xlfn.XLOOKUP(E3,[1]Sheet1!$D:$D,[1]Sheet1!$A:$A,,0)</f>
        <v>PC202604290001</v>
      </c>
      <c r="B3">
        <f>_xlfn.XLOOKUP(E3,[1]Sheet1!$D:$D,[1]Sheet1!$B:$B,,0)</f>
        <v>2</v>
      </c>
      <c r="C3" t="str">
        <f>_xlfn.XLOOKUP(E3,[1]Sheet1!$D:$D,[1]Sheet1!$C:$C,,0)</f>
        <v>YD2026042900002</v>
      </c>
      <c r="D3" t="s">
        <v>23</v>
      </c>
      <c r="E3" t="s">
        <v>39</v>
      </c>
      <c r="F3" t="s">
        <v>46</v>
      </c>
      <c r="G3" t="s">
        <v>56</v>
      </c>
      <c r="H3">
        <v>27</v>
      </c>
      <c r="I3">
        <v>164</v>
      </c>
      <c r="J3" s="1">
        <v>182.75</v>
      </c>
      <c r="K3" s="1">
        <v>0.34494819999999993</v>
      </c>
    </row>
    <row r="4" spans="1:14" x14ac:dyDescent="0.3">
      <c r="A4" t="str">
        <f>_xlfn.XLOOKUP(E4,[1]Sheet1!$D:$D,[1]Sheet1!$A:$A,,0)</f>
        <v>PC202604290001</v>
      </c>
      <c r="B4">
        <f>_xlfn.XLOOKUP(E4,[1]Sheet1!$D:$D,[1]Sheet1!$B:$B,,0)</f>
        <v>3</v>
      </c>
      <c r="C4" t="str">
        <f>_xlfn.XLOOKUP(E4,[1]Sheet1!$D:$D,[1]Sheet1!$C:$C,,0)</f>
        <v>YD2026042900003</v>
      </c>
      <c r="D4" t="s">
        <v>63</v>
      </c>
      <c r="E4" t="s">
        <v>64</v>
      </c>
      <c r="F4" t="s">
        <v>65</v>
      </c>
      <c r="G4" t="s">
        <v>66</v>
      </c>
      <c r="H4">
        <v>2</v>
      </c>
      <c r="I4">
        <v>54</v>
      </c>
      <c r="J4" s="1">
        <v>3</v>
      </c>
      <c r="K4" s="1">
        <v>1.2E-2</v>
      </c>
    </row>
    <row r="5" spans="1:14" x14ac:dyDescent="0.3">
      <c r="A5" t="str">
        <f>_xlfn.XLOOKUP(E5,[1]Sheet1!$D:$D,[1]Sheet1!$A:$A,,0)</f>
        <v>PC202604290001</v>
      </c>
      <c r="B5">
        <f>_xlfn.XLOOKUP(E5,[1]Sheet1!$D:$D,[1]Sheet1!$B:$B,,0)</f>
        <v>4</v>
      </c>
      <c r="C5" t="str">
        <f>_xlfn.XLOOKUP(E5,[1]Sheet1!$D:$D,[1]Sheet1!$C:$C,,0)</f>
        <v>YD2026042900004</v>
      </c>
      <c r="D5" t="s">
        <v>17</v>
      </c>
      <c r="E5" t="s">
        <v>33</v>
      </c>
      <c r="F5" t="s">
        <v>46</v>
      </c>
      <c r="G5" t="s">
        <v>50</v>
      </c>
      <c r="H5">
        <v>23</v>
      </c>
      <c r="I5">
        <v>198</v>
      </c>
      <c r="J5" s="1">
        <v>164.35</v>
      </c>
      <c r="K5" s="1">
        <v>0.2731382</v>
      </c>
    </row>
    <row r="6" spans="1:14" x14ac:dyDescent="0.3">
      <c r="A6" t="str">
        <f>_xlfn.XLOOKUP(E6,[1]Sheet1!$D:$D,[1]Sheet1!$A:$A,,0)</f>
        <v>PC202604290001</v>
      </c>
      <c r="B6">
        <f>_xlfn.XLOOKUP(E6,[1]Sheet1!$D:$D,[1]Sheet1!$B:$B,,0)</f>
        <v>5</v>
      </c>
      <c r="C6" t="str">
        <f>_xlfn.XLOOKUP(E6,[1]Sheet1!$D:$D,[1]Sheet1!$C:$C,,0)</f>
        <v>YD2026042900005</v>
      </c>
      <c r="D6" t="s">
        <v>82</v>
      </c>
      <c r="E6" t="s">
        <v>83</v>
      </c>
      <c r="F6" t="s">
        <v>65</v>
      </c>
      <c r="G6" t="s">
        <v>84</v>
      </c>
      <c r="H6">
        <v>1</v>
      </c>
      <c r="I6">
        <v>76</v>
      </c>
      <c r="J6" s="1">
        <v>1.5</v>
      </c>
      <c r="K6" s="1">
        <v>6.0000000000000001E-3</v>
      </c>
    </row>
    <row r="7" spans="1:14" x14ac:dyDescent="0.3">
      <c r="A7" t="str">
        <f>_xlfn.XLOOKUP(E7,[1]Sheet1!$D:$D,[1]Sheet1!$A:$A,,0)</f>
        <v>PC202604290001</v>
      </c>
      <c r="B7">
        <f>_xlfn.XLOOKUP(E7,[1]Sheet1!$D:$D,[1]Sheet1!$B:$B,,0)</f>
        <v>6</v>
      </c>
      <c r="C7" t="str">
        <f>_xlfn.XLOOKUP(E7,[1]Sheet1!$D:$D,[1]Sheet1!$C:$C,,0)</f>
        <v>YD2026042900006</v>
      </c>
      <c r="D7" t="s">
        <v>79</v>
      </c>
      <c r="E7" t="s">
        <v>80</v>
      </c>
      <c r="F7" t="s">
        <v>65</v>
      </c>
      <c r="G7" t="s">
        <v>81</v>
      </c>
      <c r="H7">
        <v>1</v>
      </c>
      <c r="I7">
        <v>76</v>
      </c>
      <c r="J7" s="1">
        <v>1.5</v>
      </c>
      <c r="K7" s="1">
        <v>6.0000000000000001E-3</v>
      </c>
    </row>
    <row r="8" spans="1:14" x14ac:dyDescent="0.3">
      <c r="A8" t="str">
        <f>_xlfn.XLOOKUP(E8,[1]Sheet1!$D:$D,[1]Sheet1!$A:$A,,0)</f>
        <v>PC202604290001</v>
      </c>
      <c r="B8">
        <f>_xlfn.XLOOKUP(E8,[1]Sheet1!$D:$D,[1]Sheet1!$B:$B,,0)</f>
        <v>7</v>
      </c>
      <c r="C8" t="str">
        <f>_xlfn.XLOOKUP(E8,[1]Sheet1!$D:$D,[1]Sheet1!$C:$C,,0)</f>
        <v>YD2026042900007</v>
      </c>
      <c r="D8" t="s">
        <v>103</v>
      </c>
      <c r="E8" t="s">
        <v>104</v>
      </c>
      <c r="F8" t="s">
        <v>65</v>
      </c>
      <c r="G8" t="s">
        <v>105</v>
      </c>
      <c r="H8">
        <v>3</v>
      </c>
      <c r="I8">
        <v>48</v>
      </c>
      <c r="J8" s="1">
        <v>4.5</v>
      </c>
      <c r="K8" s="1">
        <v>1.7999999999999999E-2</v>
      </c>
    </row>
    <row r="9" spans="1:14" x14ac:dyDescent="0.3">
      <c r="A9" t="str">
        <f>_xlfn.XLOOKUP(E9,[1]Sheet1!$D:$D,[1]Sheet1!$A:$A,,0)</f>
        <v>PC202604290001</v>
      </c>
      <c r="B9">
        <f>_xlfn.XLOOKUP(E9,[1]Sheet1!$D:$D,[1]Sheet1!$B:$B,,0)</f>
        <v>8</v>
      </c>
      <c r="C9" t="str">
        <f>_xlfn.XLOOKUP(E9,[1]Sheet1!$D:$D,[1]Sheet1!$C:$C,,0)</f>
        <v>YD2026042900008</v>
      </c>
      <c r="D9" t="s">
        <v>67</v>
      </c>
      <c r="E9" t="s">
        <v>68</v>
      </c>
      <c r="F9" t="s">
        <v>65</v>
      </c>
      <c r="G9" t="s">
        <v>69</v>
      </c>
      <c r="H9">
        <v>0</v>
      </c>
      <c r="I9">
        <v>95</v>
      </c>
      <c r="J9" s="1">
        <v>0</v>
      </c>
      <c r="K9" s="1">
        <v>0</v>
      </c>
    </row>
    <row r="10" spans="1:14" x14ac:dyDescent="0.3">
      <c r="A10" t="str">
        <f>_xlfn.XLOOKUP(E10,[1]Sheet1!$D:$D,[1]Sheet1!$A:$A,,0)</f>
        <v>PC202604290001</v>
      </c>
      <c r="B10">
        <f>_xlfn.XLOOKUP(E10,[1]Sheet1!$D:$D,[1]Sheet1!$B:$B,,0)</f>
        <v>9</v>
      </c>
      <c r="C10" t="str">
        <f>_xlfn.XLOOKUP(E10,[1]Sheet1!$D:$D,[1]Sheet1!$C:$C,,0)</f>
        <v>YD2026042900009</v>
      </c>
      <c r="D10" t="s">
        <v>94</v>
      </c>
      <c r="E10" t="s">
        <v>95</v>
      </c>
      <c r="F10" t="s">
        <v>65</v>
      </c>
      <c r="G10" t="s">
        <v>96</v>
      </c>
      <c r="H10">
        <v>0</v>
      </c>
      <c r="I10">
        <v>77</v>
      </c>
      <c r="J10" s="1">
        <v>0</v>
      </c>
      <c r="K10" s="1">
        <v>0</v>
      </c>
    </row>
    <row r="11" spans="1:14" x14ac:dyDescent="0.3">
      <c r="A11" t="str">
        <f>_xlfn.XLOOKUP(E11,[1]Sheet1!$D:$D,[1]Sheet1!$A:$A,,0)</f>
        <v>PC202604290002</v>
      </c>
      <c r="B11">
        <f>_xlfn.XLOOKUP(E11,[1]Sheet1!$D:$D,[1]Sheet1!$B:$B,,0)</f>
        <v>1</v>
      </c>
      <c r="C11" t="str">
        <f>_xlfn.XLOOKUP(E11,[1]Sheet1!$D:$D,[1]Sheet1!$C:$C,,0)</f>
        <v>YD2026042900010</v>
      </c>
      <c r="D11" t="s">
        <v>106</v>
      </c>
      <c r="E11" t="s">
        <v>107</v>
      </c>
      <c r="F11" t="s">
        <v>65</v>
      </c>
      <c r="G11" t="s">
        <v>108</v>
      </c>
      <c r="H11">
        <v>1</v>
      </c>
      <c r="I11">
        <v>47</v>
      </c>
      <c r="J11" s="1">
        <v>1.5</v>
      </c>
      <c r="K11" s="1">
        <v>6.0000000000000001E-3</v>
      </c>
    </row>
    <row r="12" spans="1:14" x14ac:dyDescent="0.3">
      <c r="A12" t="str">
        <f>_xlfn.XLOOKUP(E12,[1]Sheet1!$D:$D,[1]Sheet1!$A:$A,,0)</f>
        <v>PC202604290002</v>
      </c>
      <c r="B12">
        <f>_xlfn.XLOOKUP(E12,[1]Sheet1!$D:$D,[1]Sheet1!$B:$B,,0)</f>
        <v>2</v>
      </c>
      <c r="C12" t="str">
        <f>_xlfn.XLOOKUP(E12,[1]Sheet1!$D:$D,[1]Sheet1!$C:$C,,0)</f>
        <v>YD2026042900011</v>
      </c>
      <c r="D12" t="s">
        <v>28</v>
      </c>
      <c r="E12" t="s">
        <v>44</v>
      </c>
      <c r="F12" t="s">
        <v>46</v>
      </c>
      <c r="G12" t="s">
        <v>61</v>
      </c>
      <c r="H12">
        <v>23</v>
      </c>
      <c r="I12">
        <v>164</v>
      </c>
      <c r="J12" s="1">
        <v>168.75</v>
      </c>
      <c r="K12" s="1">
        <v>0.27929630000000011</v>
      </c>
    </row>
    <row r="13" spans="1:14" x14ac:dyDescent="0.3">
      <c r="A13" t="str">
        <f>_xlfn.XLOOKUP(E13,[1]Sheet1!$D:$D,[1]Sheet1!$A:$A,,0)</f>
        <v>PC202604290002</v>
      </c>
      <c r="B13">
        <f>_xlfn.XLOOKUP(E13,[1]Sheet1!$D:$D,[1]Sheet1!$B:$B,,0)</f>
        <v>3</v>
      </c>
      <c r="C13" t="str">
        <f>_xlfn.XLOOKUP(E13,[1]Sheet1!$D:$D,[1]Sheet1!$C:$C,,0)</f>
        <v>YD2026042900012</v>
      </c>
      <c r="D13" t="s">
        <v>14</v>
      </c>
      <c r="E13" t="s">
        <v>30</v>
      </c>
      <c r="F13" t="s">
        <v>46</v>
      </c>
      <c r="G13" t="s">
        <v>47</v>
      </c>
      <c r="H13">
        <v>24</v>
      </c>
      <c r="I13">
        <v>204</v>
      </c>
      <c r="J13" s="1">
        <v>166.45</v>
      </c>
      <c r="K13" s="1">
        <v>0.29512290000000002</v>
      </c>
    </row>
    <row r="14" spans="1:14" x14ac:dyDescent="0.3">
      <c r="A14" t="str">
        <f>_xlfn.XLOOKUP(E14,[1]Sheet1!$D:$D,[1]Sheet1!$A:$A,,0)</f>
        <v>PC202604290002</v>
      </c>
      <c r="B14">
        <f>_xlfn.XLOOKUP(E14,[1]Sheet1!$D:$D,[1]Sheet1!$B:$B,,0)</f>
        <v>4</v>
      </c>
      <c r="C14" t="str">
        <f>_xlfn.XLOOKUP(E14,[1]Sheet1!$D:$D,[1]Sheet1!$C:$C,,0)</f>
        <v>YD2026042900013</v>
      </c>
      <c r="D14" t="s">
        <v>27</v>
      </c>
      <c r="E14" t="s">
        <v>43</v>
      </c>
      <c r="F14" t="s">
        <v>46</v>
      </c>
      <c r="G14" t="s">
        <v>60</v>
      </c>
      <c r="H14">
        <v>22</v>
      </c>
      <c r="I14">
        <v>170</v>
      </c>
      <c r="J14" s="1">
        <v>158.44999999999999</v>
      </c>
      <c r="K14" s="1">
        <v>0.26098009999999999</v>
      </c>
    </row>
    <row r="15" spans="1:14" x14ac:dyDescent="0.3">
      <c r="A15" t="str">
        <f>_xlfn.XLOOKUP(E15,[1]Sheet1!$D:$D,[1]Sheet1!$A:$A,,0)</f>
        <v>PC202604290002</v>
      </c>
      <c r="B15">
        <f>_xlfn.XLOOKUP(E15,[1]Sheet1!$D:$D,[1]Sheet1!$B:$B,,0)</f>
        <v>5</v>
      </c>
      <c r="C15" t="str">
        <f>_xlfn.XLOOKUP(E15,[1]Sheet1!$D:$D,[1]Sheet1!$C:$C,,0)</f>
        <v>YD2026042900014</v>
      </c>
      <c r="D15" t="s">
        <v>26</v>
      </c>
      <c r="E15" t="s">
        <v>42</v>
      </c>
      <c r="F15" t="s">
        <v>46</v>
      </c>
      <c r="G15" t="s">
        <v>59</v>
      </c>
      <c r="H15">
        <v>23</v>
      </c>
      <c r="I15">
        <v>162</v>
      </c>
      <c r="J15" s="1">
        <v>171.5</v>
      </c>
      <c r="K15" s="1">
        <v>0.28361809999999998</v>
      </c>
    </row>
    <row r="16" spans="1:14" x14ac:dyDescent="0.3">
      <c r="A16" t="str">
        <f>_xlfn.XLOOKUP(E16,[1]Sheet1!$D:$D,[1]Sheet1!$A:$A,,0)</f>
        <v>PC202604290002</v>
      </c>
      <c r="B16">
        <f>_xlfn.XLOOKUP(E16,[1]Sheet1!$D:$D,[1]Sheet1!$B:$B,,0)</f>
        <v>6</v>
      </c>
      <c r="C16" t="str">
        <f>_xlfn.XLOOKUP(E16,[1]Sheet1!$D:$D,[1]Sheet1!$C:$C,,0)</f>
        <v>YD2026042900015</v>
      </c>
      <c r="D16" t="s">
        <v>20</v>
      </c>
      <c r="E16" t="s">
        <v>36</v>
      </c>
      <c r="F16" t="s">
        <v>46</v>
      </c>
      <c r="G16" t="s">
        <v>53</v>
      </c>
      <c r="H16">
        <v>24</v>
      </c>
      <c r="I16">
        <v>174</v>
      </c>
      <c r="J16" s="1">
        <v>166.45</v>
      </c>
      <c r="K16" s="1">
        <v>0.29512290000000002</v>
      </c>
    </row>
    <row r="17" spans="1:11" x14ac:dyDescent="0.3">
      <c r="A17" t="str">
        <f>_xlfn.XLOOKUP(E17,[1]Sheet1!$D:$D,[1]Sheet1!$A:$A,,0)</f>
        <v>PC202604290002</v>
      </c>
      <c r="B17">
        <f>_xlfn.XLOOKUP(E17,[1]Sheet1!$D:$D,[1]Sheet1!$B:$B,,0)</f>
        <v>7</v>
      </c>
      <c r="C17" t="str">
        <f>_xlfn.XLOOKUP(E17,[1]Sheet1!$D:$D,[1]Sheet1!$C:$C,,0)</f>
        <v>YD2026042900016</v>
      </c>
      <c r="D17" t="s">
        <v>70</v>
      </c>
      <c r="E17" t="s">
        <v>71</v>
      </c>
      <c r="F17" t="s">
        <v>65</v>
      </c>
      <c r="G17" t="s">
        <v>72</v>
      </c>
      <c r="H17">
        <v>1</v>
      </c>
      <c r="I17">
        <v>44</v>
      </c>
      <c r="J17" s="1">
        <v>1.5</v>
      </c>
      <c r="K17" s="1">
        <v>6.0000000000000001E-3</v>
      </c>
    </row>
    <row r="18" spans="1:11" x14ac:dyDescent="0.3">
      <c r="A18" t="str">
        <f>_xlfn.XLOOKUP(E18,[1]Sheet1!$D:$D,[1]Sheet1!$A:$A,,0)</f>
        <v>PC202604290002</v>
      </c>
      <c r="B18">
        <f>_xlfn.XLOOKUP(E18,[1]Sheet1!$D:$D,[1]Sheet1!$B:$B,,0)</f>
        <v>8</v>
      </c>
      <c r="C18" t="str">
        <f>_xlfn.XLOOKUP(E18,[1]Sheet1!$D:$D,[1]Sheet1!$C:$C,,0)</f>
        <v>YD2026042900017</v>
      </c>
      <c r="D18" t="s">
        <v>21</v>
      </c>
      <c r="E18" t="s">
        <v>37</v>
      </c>
      <c r="F18" t="s">
        <v>46</v>
      </c>
      <c r="G18" t="s">
        <v>54</v>
      </c>
      <c r="H18">
        <v>24</v>
      </c>
      <c r="I18">
        <v>190</v>
      </c>
      <c r="J18" s="1">
        <v>162.05000000000001</v>
      </c>
      <c r="K18" s="1">
        <v>0.29765904999999998</v>
      </c>
    </row>
    <row r="19" spans="1:11" x14ac:dyDescent="0.3">
      <c r="A19" t="str">
        <f>_xlfn.XLOOKUP(E19,[1]Sheet1!$D:$D,[1]Sheet1!$A:$A,,0)</f>
        <v>PC202604290002</v>
      </c>
      <c r="B19">
        <f>_xlfn.XLOOKUP(E19,[1]Sheet1!$D:$D,[1]Sheet1!$B:$B,,0)</f>
        <v>9</v>
      </c>
      <c r="C19" t="str">
        <f>_xlfn.XLOOKUP(E19,[1]Sheet1!$D:$D,[1]Sheet1!$C:$C,,0)</f>
        <v>YD2026042900018</v>
      </c>
      <c r="D19" t="s">
        <v>16</v>
      </c>
      <c r="E19" t="s">
        <v>32</v>
      </c>
      <c r="F19" t="s">
        <v>46</v>
      </c>
      <c r="G19" t="s">
        <v>49</v>
      </c>
      <c r="H19">
        <v>25</v>
      </c>
      <c r="I19">
        <v>182</v>
      </c>
      <c r="J19" s="1">
        <v>168.55</v>
      </c>
      <c r="K19" s="1">
        <v>0.31710759999999999</v>
      </c>
    </row>
    <row r="20" spans="1:11" x14ac:dyDescent="0.3">
      <c r="A20" t="str">
        <f>_xlfn.XLOOKUP(E20,[1]Sheet1!$D:$D,[1]Sheet1!$A:$A,,0)</f>
        <v>PC202604290002</v>
      </c>
      <c r="B20">
        <f>_xlfn.XLOOKUP(E20,[1]Sheet1!$D:$D,[1]Sheet1!$B:$B,,0)</f>
        <v>10</v>
      </c>
      <c r="C20" t="str">
        <f>_xlfn.XLOOKUP(E20,[1]Sheet1!$D:$D,[1]Sheet1!$C:$C,,0)</f>
        <v>YD2026042900019</v>
      </c>
      <c r="D20" t="s">
        <v>100</v>
      </c>
      <c r="E20" t="s">
        <v>101</v>
      </c>
      <c r="F20" t="s">
        <v>65</v>
      </c>
      <c r="G20" t="s">
        <v>102</v>
      </c>
      <c r="H20">
        <v>4</v>
      </c>
      <c r="I20">
        <v>47</v>
      </c>
      <c r="J20" s="1">
        <v>6</v>
      </c>
      <c r="K20" s="1">
        <v>2.4E-2</v>
      </c>
    </row>
    <row r="21" spans="1:11" x14ac:dyDescent="0.3">
      <c r="A21" t="str">
        <f>_xlfn.XLOOKUP(E21,[1]Sheet1!$D:$D,[1]Sheet1!$A:$A,,0)</f>
        <v>PC202604290002</v>
      </c>
      <c r="B21">
        <f>_xlfn.XLOOKUP(E21,[1]Sheet1!$D:$D,[1]Sheet1!$B:$B,,0)</f>
        <v>11</v>
      </c>
      <c r="C21" t="str">
        <f>_xlfn.XLOOKUP(E21,[1]Sheet1!$D:$D,[1]Sheet1!$C:$C,,0)</f>
        <v>YD2026042900020</v>
      </c>
      <c r="D21" t="s">
        <v>97</v>
      </c>
      <c r="E21" t="s">
        <v>98</v>
      </c>
      <c r="F21" t="s">
        <v>65</v>
      </c>
      <c r="G21" t="s">
        <v>99</v>
      </c>
      <c r="H21">
        <v>2</v>
      </c>
      <c r="I21">
        <v>68</v>
      </c>
      <c r="J21" s="1">
        <v>3</v>
      </c>
      <c r="K21" s="1">
        <v>1.2E-2</v>
      </c>
    </row>
    <row r="22" spans="1:11" x14ac:dyDescent="0.3">
      <c r="A22" t="str">
        <f>_xlfn.XLOOKUP(E22,[1]Sheet1!$D:$D,[1]Sheet1!$A:$A,,0)</f>
        <v>PC202604290003</v>
      </c>
      <c r="B22">
        <f>_xlfn.XLOOKUP(E22,[1]Sheet1!$D:$D,[1]Sheet1!$B:$B,,0)</f>
        <v>1</v>
      </c>
      <c r="C22" t="str">
        <f>_xlfn.XLOOKUP(E22,[1]Sheet1!$D:$D,[1]Sheet1!$C:$C,,0)</f>
        <v>YD2026042900021</v>
      </c>
      <c r="D22" t="s">
        <v>24</v>
      </c>
      <c r="E22" t="s">
        <v>40</v>
      </c>
      <c r="F22" t="s">
        <v>46</v>
      </c>
      <c r="G22" t="s">
        <v>57</v>
      </c>
      <c r="H22">
        <v>23</v>
      </c>
      <c r="I22">
        <v>184</v>
      </c>
      <c r="J22" s="1">
        <v>164.35</v>
      </c>
      <c r="K22" s="1">
        <v>0.2731382</v>
      </c>
    </row>
    <row r="23" spans="1:11" x14ac:dyDescent="0.3">
      <c r="A23" t="str">
        <f>_xlfn.XLOOKUP(E23,[1]Sheet1!$D:$D,[1]Sheet1!$A:$A,,0)</f>
        <v>PC202604290003</v>
      </c>
      <c r="B23">
        <f>_xlfn.XLOOKUP(E23,[1]Sheet1!$D:$D,[1]Sheet1!$B:$B,,0)</f>
        <v>2</v>
      </c>
      <c r="C23" t="str">
        <f>_xlfn.XLOOKUP(E23,[1]Sheet1!$D:$D,[1]Sheet1!$C:$C,,0)</f>
        <v>YD2026042900022</v>
      </c>
      <c r="D23" t="s">
        <v>22</v>
      </c>
      <c r="E23" t="s">
        <v>38</v>
      </c>
      <c r="F23" t="s">
        <v>46</v>
      </c>
      <c r="G23" t="s">
        <v>55</v>
      </c>
      <c r="H23">
        <v>22</v>
      </c>
      <c r="I23">
        <v>176</v>
      </c>
      <c r="J23" s="1">
        <v>158.44999999999999</v>
      </c>
      <c r="K23" s="1">
        <v>0.26098009999999999</v>
      </c>
    </row>
    <row r="24" spans="1:11" x14ac:dyDescent="0.3">
      <c r="A24" t="str">
        <f>_xlfn.XLOOKUP(E24,[1]Sheet1!$D:$D,[1]Sheet1!$A:$A,,0)</f>
        <v>PC202604290003</v>
      </c>
      <c r="B24">
        <f>_xlfn.XLOOKUP(E24,[1]Sheet1!$D:$D,[1]Sheet1!$B:$B,,0)</f>
        <v>3</v>
      </c>
      <c r="C24" t="str">
        <f>_xlfn.XLOOKUP(E24,[1]Sheet1!$D:$D,[1]Sheet1!$C:$C,,0)</f>
        <v>YD2026042900023</v>
      </c>
      <c r="D24" t="s">
        <v>25</v>
      </c>
      <c r="E24" t="s">
        <v>41</v>
      </c>
      <c r="F24" t="s">
        <v>46</v>
      </c>
      <c r="G24" t="s">
        <v>58</v>
      </c>
      <c r="H24">
        <v>22</v>
      </c>
      <c r="I24">
        <v>180</v>
      </c>
      <c r="J24" s="1">
        <v>165.6</v>
      </c>
      <c r="K24" s="1">
        <v>0.27145999999999998</v>
      </c>
    </row>
    <row r="25" spans="1:11" x14ac:dyDescent="0.3">
      <c r="A25" t="str">
        <f>_xlfn.XLOOKUP(E25,[1]Sheet1!$D:$D,[1]Sheet1!$A:$A,,0)</f>
        <v>PC202604290003</v>
      </c>
      <c r="B25">
        <f>_xlfn.XLOOKUP(E25,[1]Sheet1!$D:$D,[1]Sheet1!$B:$B,,0)</f>
        <v>4</v>
      </c>
      <c r="C25" t="str">
        <f>_xlfn.XLOOKUP(E25,[1]Sheet1!$D:$D,[1]Sheet1!$C:$C,,0)</f>
        <v>YD2026042900024</v>
      </c>
      <c r="D25" t="s">
        <v>19</v>
      </c>
      <c r="E25" t="s">
        <v>35</v>
      </c>
      <c r="F25" t="s">
        <v>46</v>
      </c>
      <c r="G25" t="s">
        <v>52</v>
      </c>
      <c r="H25">
        <v>24</v>
      </c>
      <c r="I25">
        <v>186</v>
      </c>
      <c r="J25" s="1">
        <v>165.85</v>
      </c>
      <c r="K25" s="1">
        <v>0.28783245000000002</v>
      </c>
    </row>
    <row r="26" spans="1:11" x14ac:dyDescent="0.3">
      <c r="A26" t="str">
        <f>_xlfn.XLOOKUP(E26,[1]Sheet1!$D:$D,[1]Sheet1!$A:$A,,0)</f>
        <v>PC202604290003</v>
      </c>
      <c r="B26">
        <f>_xlfn.XLOOKUP(E26,[1]Sheet1!$D:$D,[1]Sheet1!$B:$B,,0)</f>
        <v>5</v>
      </c>
      <c r="C26" t="str">
        <f>_xlfn.XLOOKUP(E26,[1]Sheet1!$D:$D,[1]Sheet1!$C:$C,,0)</f>
        <v>YD2026042900025</v>
      </c>
      <c r="D26" t="s">
        <v>18</v>
      </c>
      <c r="E26" t="s">
        <v>34</v>
      </c>
      <c r="F26" t="s">
        <v>46</v>
      </c>
      <c r="G26" t="s">
        <v>51</v>
      </c>
      <c r="H26">
        <v>23</v>
      </c>
      <c r="I26">
        <v>172</v>
      </c>
      <c r="J26" s="1">
        <v>171.5</v>
      </c>
      <c r="K26" s="1">
        <v>0.28361809999999998</v>
      </c>
    </row>
    <row r="27" spans="1:11" x14ac:dyDescent="0.3">
      <c r="A27" t="str">
        <f>_xlfn.XLOOKUP(E27,[1]Sheet1!$D:$D,[1]Sheet1!$A:$A,,0)</f>
        <v>PC202604290003</v>
      </c>
      <c r="B27">
        <f>_xlfn.XLOOKUP(E27,[1]Sheet1!$D:$D,[1]Sheet1!$B:$B,,0)</f>
        <v>6</v>
      </c>
      <c r="C27" t="str">
        <f>_xlfn.XLOOKUP(E27,[1]Sheet1!$D:$D,[1]Sheet1!$C:$C,,0)</f>
        <v>YD2026042900026</v>
      </c>
      <c r="D27" t="s">
        <v>15</v>
      </c>
      <c r="E27" t="s">
        <v>31</v>
      </c>
      <c r="F27" t="s">
        <v>46</v>
      </c>
      <c r="G27" t="s">
        <v>48</v>
      </c>
      <c r="H27">
        <v>22</v>
      </c>
      <c r="I27">
        <v>178</v>
      </c>
      <c r="J27" s="1">
        <v>158.44999999999999</v>
      </c>
      <c r="K27" s="1">
        <v>0.26098009999999999</v>
      </c>
    </row>
    <row r="28" spans="1:11" x14ac:dyDescent="0.3">
      <c r="A28" t="str">
        <f>_xlfn.XLOOKUP(E28,[1]Sheet1!$D:$D,[1]Sheet1!$A:$A,,0)</f>
        <v>PC202604290003</v>
      </c>
      <c r="B28">
        <f>_xlfn.XLOOKUP(E28,[1]Sheet1!$D:$D,[1]Sheet1!$B:$B,,0)</f>
        <v>7</v>
      </c>
      <c r="C28" t="str">
        <f>_xlfn.XLOOKUP(E28,[1]Sheet1!$D:$D,[1]Sheet1!$C:$C,,0)</f>
        <v>YD2026042900027</v>
      </c>
      <c r="D28" t="s">
        <v>85</v>
      </c>
      <c r="E28" t="s">
        <v>86</v>
      </c>
      <c r="F28" t="s">
        <v>65</v>
      </c>
      <c r="G28" t="s">
        <v>87</v>
      </c>
      <c r="H28">
        <v>2</v>
      </c>
      <c r="I28">
        <v>49</v>
      </c>
      <c r="J28" s="1">
        <v>3</v>
      </c>
      <c r="K28" s="1">
        <v>1.2E-2</v>
      </c>
    </row>
    <row r="29" spans="1:11" x14ac:dyDescent="0.3">
      <c r="A29" t="str">
        <f>_xlfn.XLOOKUP(E29,[1]Sheet1!$D:$D,[1]Sheet1!$A:$A,,0)</f>
        <v>PC202604290003</v>
      </c>
      <c r="B29">
        <f>_xlfn.XLOOKUP(E29,[1]Sheet1!$D:$D,[1]Sheet1!$B:$B,,0)</f>
        <v>8</v>
      </c>
      <c r="C29" t="str">
        <f>_xlfn.XLOOKUP(E29,[1]Sheet1!$D:$D,[1]Sheet1!$C:$C,,0)</f>
        <v>YD2026042900028</v>
      </c>
      <c r="D29" t="s">
        <v>29</v>
      </c>
      <c r="E29" t="s">
        <v>45</v>
      </c>
      <c r="F29" t="s">
        <v>46</v>
      </c>
      <c r="G29" t="s">
        <v>62</v>
      </c>
      <c r="H29">
        <v>21</v>
      </c>
      <c r="I29">
        <v>160</v>
      </c>
      <c r="J29" s="1">
        <v>156.94999999999999</v>
      </c>
      <c r="K29" s="1">
        <v>0.25498009999999999</v>
      </c>
    </row>
    <row r="30" spans="1:11" x14ac:dyDescent="0.3">
      <c r="A30" t="str">
        <f>_xlfn.XLOOKUP(E30,[1]Sheet1!$D:$D,[1]Sheet1!$A:$A,,0)</f>
        <v>PC202604290003</v>
      </c>
      <c r="B30">
        <f>_xlfn.XLOOKUP(E30,[1]Sheet1!$D:$D,[1]Sheet1!$B:$B,,0)</f>
        <v>9</v>
      </c>
      <c r="C30" t="str">
        <f>_xlfn.XLOOKUP(E30,[1]Sheet1!$D:$D,[1]Sheet1!$C:$C,,0)</f>
        <v>YD2026042900029</v>
      </c>
      <c r="D30" t="s">
        <v>91</v>
      </c>
      <c r="E30" t="s">
        <v>92</v>
      </c>
      <c r="F30" t="s">
        <v>65</v>
      </c>
      <c r="G30" t="s">
        <v>93</v>
      </c>
      <c r="H30">
        <v>1</v>
      </c>
      <c r="I30">
        <v>86</v>
      </c>
      <c r="J30" s="1">
        <v>1.5</v>
      </c>
      <c r="K30" s="1">
        <v>6.0000000000000001E-3</v>
      </c>
    </row>
    <row r="31" spans="1:11" x14ac:dyDescent="0.3">
      <c r="A31" t="str">
        <f>_xlfn.XLOOKUP(E31,[1]Sheet1!$D:$D,[1]Sheet1!$A:$A,,0)</f>
        <v>PC202604290003</v>
      </c>
      <c r="B31">
        <f>_xlfn.XLOOKUP(E31,[1]Sheet1!$D:$D,[1]Sheet1!$B:$B,,0)</f>
        <v>10</v>
      </c>
      <c r="C31" t="str">
        <f>_xlfn.XLOOKUP(E31,[1]Sheet1!$D:$D,[1]Sheet1!$C:$C,,0)</f>
        <v>YD2026042900030</v>
      </c>
      <c r="D31" t="s">
        <v>76</v>
      </c>
      <c r="E31" t="s">
        <v>77</v>
      </c>
      <c r="F31" t="s">
        <v>65</v>
      </c>
      <c r="G31" t="s">
        <v>78</v>
      </c>
      <c r="H31">
        <v>2</v>
      </c>
      <c r="I31">
        <v>37</v>
      </c>
      <c r="J31" s="1">
        <v>3</v>
      </c>
      <c r="K31" s="1">
        <v>1.2E-2</v>
      </c>
    </row>
    <row r="32" spans="1:11" x14ac:dyDescent="0.3">
      <c r="A32" t="str">
        <f>_xlfn.XLOOKUP(E32,[1]Sheet1!$D:$D,[1]Sheet1!$A:$A,,0)</f>
        <v>PC202604290003</v>
      </c>
      <c r="B32">
        <f>_xlfn.XLOOKUP(E32,[1]Sheet1!$D:$D,[1]Sheet1!$B:$B,,0)</f>
        <v>11</v>
      </c>
      <c r="C32" t="str">
        <f>_xlfn.XLOOKUP(E32,[1]Sheet1!$D:$D,[1]Sheet1!$C:$C,,0)</f>
        <v>YD2026042900031</v>
      </c>
      <c r="D32" t="s">
        <v>88</v>
      </c>
      <c r="E32" t="s">
        <v>89</v>
      </c>
      <c r="F32" t="s">
        <v>65</v>
      </c>
      <c r="G32" t="s">
        <v>90</v>
      </c>
      <c r="H32">
        <v>3</v>
      </c>
      <c r="I32">
        <v>98</v>
      </c>
      <c r="J32" s="1">
        <v>4.5</v>
      </c>
      <c r="K32" s="1">
        <v>1.7999999999999999E-2</v>
      </c>
    </row>
  </sheetData>
  <autoFilter ref="A1:N1" xr:uid="{00000000-0001-0000-0000-000000000000}">
    <sortState xmlns:xlrd2="http://schemas.microsoft.com/office/spreadsheetml/2017/richdata2" ref="A2:N32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传峰 王</cp:lastModifiedBy>
  <dcterms:created xsi:type="dcterms:W3CDTF">2026-04-29T03:11:49Z</dcterms:created>
  <dcterms:modified xsi:type="dcterms:W3CDTF">2026-04-29T05:58:58Z</dcterms:modified>
</cp:coreProperties>
</file>